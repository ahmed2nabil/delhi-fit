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<sst xmlns="http://schemas.openxmlformats.org/spreadsheetml/2006/main" count="740" uniqueCount="133">
  <si>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</si>
  <si>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</si>
  <si>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</si>
  <si>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</si>
  <si>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</si>
  <si>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</si>
  <si>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</si>
  <si>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</si>
  <si>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</si>
  <si>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</si>
  <si>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</si>
  <si>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</si>
  <si>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</si>
  <si>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</si>
  <si>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</si>
  <si>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Dumbbell Press</t>
  </si>
  <si>
    <t>dumbbell pullover</t>
  </si>
  <si>
    <t xml:space="preserve">Banded Hamstring Curl </t>
  </si>
  <si>
    <t>8--10</t>
  </si>
  <si>
    <t>seated hammer curls</t>
  </si>
  <si>
    <t>اليوم 2- فل بودي</t>
  </si>
  <si>
    <t>الاحد</t>
  </si>
  <si>
    <t>One Arm Dumbbell Row on Rack</t>
  </si>
  <si>
    <t>Shoulder press</t>
  </si>
  <si>
    <t xml:space="preserve">Banded standing leg Curl </t>
  </si>
  <si>
    <t xml:space="preserve">banded triceps pushdown </t>
  </si>
  <si>
    <t>Standing calves raise home</t>
  </si>
  <si>
    <t>10--12</t>
  </si>
  <si>
    <t>اليوم 3- فل بودي</t>
  </si>
  <si>
    <t>الاثنين</t>
  </si>
  <si>
    <t>Conventional Deadlift</t>
  </si>
  <si>
    <t>Rack assisted split squat</t>
  </si>
  <si>
    <t>Seated Lateral Raises</t>
  </si>
  <si>
    <t>Banded adductors</t>
  </si>
  <si>
    <t>Modified crunches</t>
  </si>
  <si>
    <t>12--15</t>
  </si>
  <si>
    <t xml:space="preserve">سوي اول تمرين يظهر لك </t>
  </si>
  <si>
    <t>يوم راحة</t>
  </si>
  <si>
    <t>اليوم 4- فل بودي</t>
  </si>
  <si>
    <t>الاربعاء</t>
  </si>
  <si>
    <t>Barbell Bench Press</t>
  </si>
  <si>
    <t>Barbell Rows</t>
  </si>
  <si>
    <t>Dumbbell Glutes Bridge</t>
  </si>
  <si>
    <t>Dumbbell Curls</t>
  </si>
  <si>
    <t>STANDING CABLE ROTATION</t>
  </si>
  <si>
    <t>اليوم5- فل بودي</t>
  </si>
  <si>
    <t>الخميس</t>
  </si>
  <si>
    <t>Bulgarian Split Squats</t>
  </si>
  <si>
    <t>Incline Dumbbell Press</t>
  </si>
  <si>
    <t>resistance band Iliac Lat Pull Arounds</t>
  </si>
  <si>
    <t>Lateral Raise</t>
  </si>
  <si>
    <t>overhead R.B triceps extension</t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</si>
  <si>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</si>
  <si>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</si>
  <si>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</si>
  <si>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r>
      <rPr>
        <rFont val="Cairo"/>
        <b/>
        <color rgb="FF0000FF"/>
        <sz val="11.0"/>
        <u/>
      </rPr>
      <t>Tibia raises with band</t>
    </r>
    <r>
      <rPr>
        <rFont val="Cairo"/>
        <b/>
        <color rgb="FF0000FF"/>
        <sz val="11.0"/>
      </rPr>
      <t xml:space="preserve"> </t>
    </r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</si>
  <si>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</si>
  <si>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</si>
  <si>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</si>
  <si>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</si>
  <si>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</si>
  <si>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</si>
  <si>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</si>
  <si>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</si>
  <si>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</si>
  <si>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</si>
  <si>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</si>
  <si>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</si>
  <si>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</si>
  <si>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</si>
  <si>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</si>
  <si>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</si>
  <si>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</si>
  <si>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</si>
  <si>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</si>
  <si>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</si>
  <si>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</si>
  <si>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</si>
  <si>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</si>
  <si>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</si>
  <si>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</si>
  <si>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</si>
  <si>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</si>
  <si>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</si>
  <si>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</si>
  <si>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</si>
  <si>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</si>
  <si>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</si>
  <si>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</si>
  <si>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</si>
  <si>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</si>
  <si>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</si>
  <si>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</si>
  <si>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</si>
  <si>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</si>
  <si>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</si>
  <si>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</si>
  <si>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</si>
  <si>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</si>
  <si>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</si>
  <si>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</si>
  <si>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</si>
  <si>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</si>
  <si>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</si>
  <si>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</si>
  <si>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</si>
  <si>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</si>
  <si>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</si>
  <si>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</si>
  <si>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</si>
  <si>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</si>
  <si>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</si>
  <si>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</si>
  <si>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</si>
  <si>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</si>
  <si>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</si>
  <si>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</si>
  <si>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</si>
  <si>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</si>
  <si>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</si>
  <si>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(تحت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</si>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</sst>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8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color rgb="FF0000FF"/>
      <name val="Cairo"/>
    </font>
    <font>
      <sz val="11.0"/>
      <color theme="1"/>
      <name val="Arial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rgb="FFFBBC04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 readingOrder="0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9" numFmtId="0" xfId="0" applyFont="1"/>
    <xf borderId="9" fillId="6" fontId="14" numFmtId="9" xfId="0" applyAlignment="1" applyBorder="1" applyFont="1" applyNumberFormat="1">
      <alignment horizontal="center"/>
    </xf>
    <xf borderId="9" fillId="2" fontId="16" numFmtId="0" xfId="0" applyAlignment="1" applyBorder="1" applyFont="1">
      <alignment horizontal="center" readingOrder="0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6" fontId="17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6" fontId="17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readingOrder="0" shrinkToFit="0" vertical="center" wrapText="0"/>
    </xf>
    <xf borderId="4" fillId="7" fontId="4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vertical="center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8" fillId="2" fontId="9" numFmtId="0" xfId="0" applyBorder="1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9" fillId="2" fontId="20" numFmtId="0" xfId="0" applyAlignment="1" applyBorder="1" applyFont="1">
      <alignment horizontal="center" readingOrder="0" shrinkToFit="0" vertical="center" wrapText="0"/>
    </xf>
    <xf borderId="4" fillId="6" fontId="14" numFmtId="0" xfId="0" applyAlignment="1" applyBorder="1" applyFont="1">
      <alignment horizontal="center"/>
    </xf>
    <xf borderId="4" fillId="7" fontId="21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9" fillId="7" fontId="9" numFmtId="165" xfId="0" applyBorder="1" applyFont="1" applyNumberFormat="1"/>
    <xf borderId="8" fillId="2" fontId="4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5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1" fillId="5" fontId="26" numFmtId="0" xfId="0" applyAlignment="1" applyBorder="1" applyFont="1">
      <alignment horizontal="center" readingOrder="0" vertical="center"/>
    </xf>
    <xf borderId="12" fillId="5" fontId="26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6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27" numFmtId="0" xfId="0" applyAlignment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12" fillId="6" fontId="29" numFmtId="0" xfId="0" applyAlignment="1" applyBorder="1" applyFont="1">
      <alignment horizontal="center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15" fillId="2" fontId="34" numFmtId="0" xfId="0" applyAlignment="1" applyBorder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36" numFmtId="166" xfId="0" applyAlignment="1" applyFont="1" applyNumberFormat="1">
      <alignment horizontal="center" readingOrder="0" vertical="center"/>
    </xf>
    <xf borderId="0" fillId="2" fontId="9" numFmtId="166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2" fontId="36" numFmtId="166" xfId="0" applyAlignment="1" applyFont="1" applyNumberFormat="1">
      <alignment horizontal="center" readingOrder="2" vertical="center"/>
    </xf>
    <xf borderId="4" fillId="2" fontId="37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0" fillId="2" fontId="38" numFmtId="166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2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4" fillId="3" fontId="39" numFmtId="0" xfId="0" applyAlignment="1" applyBorder="1" applyFont="1">
      <alignment horizontal="center" readingOrder="0" vertical="center"/>
    </xf>
    <xf borderId="9" fillId="8" fontId="38" numFmtId="0" xfId="0" applyAlignment="1" applyBorder="1" applyFill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4" fillId="7" fontId="38" numFmtId="0" xfId="0" applyAlignment="1" applyBorder="1" applyFont="1">
      <alignment horizontal="center" readingOrder="0" vertical="center"/>
    </xf>
    <xf borderId="4" fillId="3" fontId="41" numFmtId="0" xfId="0" applyAlignment="1" applyBorder="1" applyFont="1">
      <alignment horizontal="center" readingOrder="1" shrinkToFit="0" vertical="center" wrapText="0"/>
    </xf>
    <xf borderId="9" fillId="3" fontId="40" numFmtId="0" xfId="0" applyAlignment="1" applyBorder="1" applyFont="1">
      <alignment horizontal="center"/>
    </xf>
    <xf borderId="9" fillId="3" fontId="42" numFmtId="0" xfId="0" applyAlignment="1" applyBorder="1" applyFont="1">
      <alignment horizontal="center"/>
    </xf>
    <xf borderId="9" fillId="3" fontId="42" numFmtId="0" xfId="0" applyAlignment="1" applyBorder="1" applyFont="1">
      <alignment horizontal="center" readingOrder="0"/>
    </xf>
    <xf borderId="0" fillId="2" fontId="33" numFmtId="0" xfId="0" applyAlignment="1" applyFont="1">
      <alignment horizontal="center" readingOrder="2" vertical="center"/>
    </xf>
    <xf borderId="9" fillId="3" fontId="42" numFmtId="0" xfId="0" applyAlignment="1" applyBorder="1" applyFont="1">
      <alignment horizontal="center" readingOrder="0" vertical="center"/>
    </xf>
    <xf borderId="9" fillId="3" fontId="43" numFmtId="0" xfId="0" applyAlignment="1" applyBorder="1" applyFon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vertical="bottom"/>
    </xf>
    <xf borderId="9" fillId="8" fontId="44" numFmtId="0" xfId="0" applyAlignment="1" applyBorder="1" applyFont="1">
      <alignment horizontal="center" readingOrder="0" vertical="center"/>
    </xf>
    <xf borderId="9" fillId="0" fontId="45" numFmtId="16" xfId="0" applyAlignment="1" applyBorder="1" applyFont="1" applyNumberFormat="1">
      <alignment horizontal="center" readingOrder="0" vertical="center"/>
    </xf>
    <xf borderId="9" fillId="2" fontId="32" numFmtId="0" xfId="0" applyAlignment="1" applyBorder="1" applyFont="1">
      <alignment horizontal="center" readingOrder="0" vertical="center"/>
    </xf>
    <xf borderId="9" fillId="5" fontId="38" numFmtId="167" xfId="0" applyAlignment="1" applyBorder="1" applyFont="1" applyNumberFormat="1">
      <alignment horizontal="center" vertical="bottom"/>
    </xf>
    <xf borderId="9" fillId="7" fontId="32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9" fillId="6" fontId="32" numFmtId="0" xfId="0" applyAlignment="1" applyBorder="1" applyFont="1">
      <alignment horizontal="center" vertical="bottom"/>
    </xf>
    <xf borderId="9" fillId="9" fontId="45" numFmtId="16" xfId="0" applyAlignment="1" applyBorder="1" applyFill="1" applyFont="1" applyNumberFormat="1">
      <alignment horizontal="center" vertical="center"/>
    </xf>
    <xf borderId="9" fillId="6" fontId="32" numFmtId="4" xfId="0" applyAlignment="1" applyBorder="1" applyFont="1" applyNumberFormat="1">
      <alignment horizontal="center" readingOrder="0" vertical="center"/>
    </xf>
    <xf borderId="9" fillId="6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/>
    </xf>
    <xf borderId="9" fillId="2" fontId="32" numFmtId="49" xfId="0" applyAlignment="1" applyBorder="1" applyFont="1" applyNumberFormat="1">
      <alignment horizontal="center" readingOrder="0" vertical="center"/>
    </xf>
    <xf borderId="0" fillId="2" fontId="38" numFmtId="167" xfId="0" applyAlignment="1" applyFont="1" applyNumberFormat="1">
      <alignment horizontal="center" readingOrder="0" vertical="center"/>
    </xf>
    <xf borderId="9" fillId="7" fontId="32" numFmtId="49" xfId="0" applyAlignment="1" applyBorder="1" applyFont="1" applyNumberFormat="1">
      <alignment horizontal="center" readingOrder="0" vertical="center"/>
    </xf>
    <xf borderId="9" fillId="2" fontId="32" numFmtId="4" xfId="0" applyAlignment="1" applyBorder="1" applyFont="1" applyNumberFormat="1">
      <alignment horizontal="center" readingOrder="0" vertical="center"/>
    </xf>
    <xf borderId="9" fillId="7" fontId="38" numFmtId="4" xfId="0" applyAlignment="1" applyBorder="1" applyFont="1" applyNumberFormat="1">
      <alignment horizontal="center" readingOrder="0" vertical="center"/>
    </xf>
    <xf borderId="9" fillId="10" fontId="46" numFmtId="0" xfId="0" applyAlignment="1" applyBorder="1" applyFill="1" applyFont="1">
      <alignment horizontal="center" readingOrder="0" vertical="center"/>
    </xf>
    <xf borderId="9" fillId="10" fontId="38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4" fillId="3" fontId="43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9" fillId="5" fontId="32" numFmtId="0" xfId="0" applyAlignment="1" applyBorder="1" applyFont="1">
      <alignment horizontal="center" readingOrder="0" vertical="bottom"/>
    </xf>
    <xf borderId="9" fillId="7" fontId="32" numFmtId="0" xfId="0" applyAlignment="1" applyBorder="1" applyFont="1">
      <alignment horizontal="center" readingOrder="0" vertical="center"/>
    </xf>
    <xf borderId="4" fillId="4" fontId="39" numFmtId="0" xfId="0" applyAlignment="1" applyBorder="1" applyFont="1">
      <alignment horizontal="center" readingOrder="0" vertical="center"/>
    </xf>
    <xf borderId="9" fillId="8" fontId="32" numFmtId="0" xfId="0" applyAlignment="1" applyBorder="1" applyFont="1">
      <alignment horizontal="center" readingOrder="0" vertical="center"/>
    </xf>
    <xf borderId="9" fillId="7" fontId="32" numFmtId="0" xfId="0" applyAlignment="1" applyBorder="1" applyFont="1">
      <alignment horizontal="center" readingOrder="0" vertical="center"/>
    </xf>
    <xf borderId="4" fillId="3" fontId="47" numFmtId="0" xfId="0" applyAlignment="1" applyBorder="1" applyFont="1">
      <alignment horizontal="center" readingOrder="1" shrinkToFit="0" vertical="center" wrapText="0"/>
    </xf>
    <xf borderId="9" fillId="7" fontId="38" numFmtId="166" xfId="0" applyAlignment="1" applyBorder="1" applyFont="1" applyNumberFormat="1">
      <alignment horizontal="center" readingOrder="0" vertical="center"/>
    </xf>
    <xf borderId="9" fillId="5" fontId="38" numFmtId="167" xfId="0" applyAlignment="1" applyBorder="1" applyFont="1" applyNumberFormat="1">
      <alignment horizontal="center" readingOrder="0" vertical="center"/>
    </xf>
    <xf borderId="6" fillId="2" fontId="36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666750</xdr:colOff>
      <xdr:row>34</xdr:row>
      <xdr:rowOff>133350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PkGesjlH7RQ" TargetMode="External"/><Relationship Id="rId42" Type="http://schemas.openxmlformats.org/officeDocument/2006/relationships/hyperlink" Target="https://www.youtube.com/shorts/fOfPwmb5FXU" TargetMode="External"/><Relationship Id="rId41" Type="http://schemas.openxmlformats.org/officeDocument/2006/relationships/hyperlink" Target="https://www.youtube.com/shorts/fOfPwmb5FXU" TargetMode="External"/><Relationship Id="rId44" Type="http://schemas.openxmlformats.org/officeDocument/2006/relationships/hyperlink" Target="https://www.youtube.com/shorts/fOfPwmb5FXU" TargetMode="External"/><Relationship Id="rId43" Type="http://schemas.openxmlformats.org/officeDocument/2006/relationships/hyperlink" Target="https://www.youtube.com/shorts/fOfPwmb5FXU" TargetMode="External"/><Relationship Id="rId46" Type="http://schemas.openxmlformats.org/officeDocument/2006/relationships/hyperlink" Target="https://www.youtube.com/watch?v=yPsj9TNs3B4" TargetMode="External"/><Relationship Id="rId45" Type="http://schemas.openxmlformats.org/officeDocument/2006/relationships/hyperlink" Target="https://www.youtube.com/watch?v=yPsj9TNs3B4" TargetMode="External"/><Relationship Id="rId107" Type="http://schemas.openxmlformats.org/officeDocument/2006/relationships/hyperlink" Target="https://youtube.com/shorts/JxQPsGSTPA8?feature=share" TargetMode="External"/><Relationship Id="rId106" Type="http://schemas.openxmlformats.org/officeDocument/2006/relationships/hyperlink" Target="https://youtube.com/shorts/JxQPsGSTPA8?feature=share" TargetMode="External"/><Relationship Id="rId105" Type="http://schemas.openxmlformats.org/officeDocument/2006/relationships/hyperlink" Target="https://youtube.com/shorts/JxQPsGSTPA8?feature=share" TargetMode="External"/><Relationship Id="rId104" Type="http://schemas.openxmlformats.org/officeDocument/2006/relationships/hyperlink" Target="https://www.youtube.com/watch?v=a_UGaAvrTts&amp;pp=ygUXQmFuZCBJbGlhYyBMYXQgUHVsbGRvd24%3D" TargetMode="External"/><Relationship Id="rId109" Type="http://schemas.openxmlformats.org/officeDocument/2006/relationships/hyperlink" Target="https://www.youtube.com/watch?v=2RtbofCPZQ4" TargetMode="External"/><Relationship Id="rId108" Type="http://schemas.openxmlformats.org/officeDocument/2006/relationships/hyperlink" Target="https://youtube.com/shorts/JxQPsGSTPA8?feature=share" TargetMode="External"/><Relationship Id="rId48" Type="http://schemas.openxmlformats.org/officeDocument/2006/relationships/hyperlink" Target="https://www.youtube.com/watch?v=yPsj9TNs3B4" TargetMode="External"/><Relationship Id="rId47" Type="http://schemas.openxmlformats.org/officeDocument/2006/relationships/hyperlink" Target="https://www.youtube.com/watch?v=yPsj9TNs3B4" TargetMode="External"/><Relationship Id="rId49" Type="http://schemas.openxmlformats.org/officeDocument/2006/relationships/hyperlink" Target="https://www.youtube.com/watch?v=yPsj9TNs3B4" TargetMode="External"/><Relationship Id="rId103" Type="http://schemas.openxmlformats.org/officeDocument/2006/relationships/hyperlink" Target="https://www.youtube.com/watch?v=a_UGaAvrTts&amp;pp=ygUXQmFuZCBJbGlhYyBMYXQgUHVsbGRvd24%3D" TargetMode="External"/><Relationship Id="rId102" Type="http://schemas.openxmlformats.org/officeDocument/2006/relationships/hyperlink" Target="https://www.youtube.com/watch?v=a_UGaAvrTts&amp;pp=ygUXQmFuZCBJbGlhYyBMYXQgUHVsbGRvd24%3D" TargetMode="External"/><Relationship Id="rId101" Type="http://schemas.openxmlformats.org/officeDocument/2006/relationships/hyperlink" Target="https://www.youtube.com/watch?v=a_UGaAvrTts&amp;pp=ygUXQmFuZCBJbGlhYyBMYXQgUHVsbGRvd24%3D" TargetMode="External"/><Relationship Id="rId100" Type="http://schemas.openxmlformats.org/officeDocument/2006/relationships/hyperlink" Target="https://youtu.be/0G2_XV7slIg?t=179" TargetMode="External"/><Relationship Id="rId31" Type="http://schemas.openxmlformats.org/officeDocument/2006/relationships/hyperlink" Target="https://www.youtube.com/shorts/ALRjJ0yPRzc" TargetMode="External"/><Relationship Id="rId30" Type="http://schemas.openxmlformats.org/officeDocument/2006/relationships/hyperlink" Target="https://www.youtube.com/shorts/ALRjJ0yPRzc" TargetMode="External"/><Relationship Id="rId33" Type="http://schemas.openxmlformats.org/officeDocument/2006/relationships/hyperlink" Target="https://www.youtube.com/shorts/nZpdICv0S48" TargetMode="External"/><Relationship Id="rId32" Type="http://schemas.openxmlformats.org/officeDocument/2006/relationships/hyperlink" Target="https://www.youtube.com/shorts/ALRjJ0yPRzc" TargetMode="External"/><Relationship Id="rId35" Type="http://schemas.openxmlformats.org/officeDocument/2006/relationships/hyperlink" Target="https://www.youtube.com/shorts/nZpdICv0S48" TargetMode="External"/><Relationship Id="rId34" Type="http://schemas.openxmlformats.org/officeDocument/2006/relationships/hyperlink" Target="https://www.youtube.com/shorts/nZpdICv0S48" TargetMode="External"/><Relationship Id="rId37" Type="http://schemas.openxmlformats.org/officeDocument/2006/relationships/hyperlink" Target="https://www.youtube.com/shorts/PkGesjlH7RQ" TargetMode="External"/><Relationship Id="rId36" Type="http://schemas.openxmlformats.org/officeDocument/2006/relationships/hyperlink" Target="https://www.youtube.com/shorts/nZpdICv0S48" TargetMode="External"/><Relationship Id="rId39" Type="http://schemas.openxmlformats.org/officeDocument/2006/relationships/hyperlink" Target="https://www.youtube.com/shorts/PkGesjlH7RQ" TargetMode="External"/><Relationship Id="rId38" Type="http://schemas.openxmlformats.org/officeDocument/2006/relationships/hyperlink" Target="https://www.youtube.com/shorts/PkGesjlH7RQ" TargetMode="External"/><Relationship Id="rId20" Type="http://schemas.openxmlformats.org/officeDocument/2006/relationships/hyperlink" Target="https://www.youtube.com/watch?v=6h1A7cpM1L0" TargetMode="External"/><Relationship Id="rId22" Type="http://schemas.openxmlformats.org/officeDocument/2006/relationships/hyperlink" Target="https://www.youtube.com/watch?v=kUZSOY0ev_s" TargetMode="External"/><Relationship Id="rId21" Type="http://schemas.openxmlformats.org/officeDocument/2006/relationships/hyperlink" Target="https://www.youtube.com/watch?v=kUZSOY0ev_s" TargetMode="External"/><Relationship Id="rId24" Type="http://schemas.openxmlformats.org/officeDocument/2006/relationships/hyperlink" Target="https://www.youtube.com/watch?v=kUZSOY0ev_s" TargetMode="External"/><Relationship Id="rId23" Type="http://schemas.openxmlformats.org/officeDocument/2006/relationships/hyperlink" Target="https://www.youtube.com/watch?v=kUZSOY0ev_s" TargetMode="External"/><Relationship Id="rId26" Type="http://schemas.openxmlformats.org/officeDocument/2006/relationships/hyperlink" Target="https://www.youtube.com/watch?v=CYhTXMoIYyM" TargetMode="External"/><Relationship Id="rId25" Type="http://schemas.openxmlformats.org/officeDocument/2006/relationships/hyperlink" Target="https://www.youtube.com/watch?v=CYhTXMoIYyM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www.youtube.com/watch?v=CYhTXMoIYyM" TargetMode="External"/><Relationship Id="rId27" Type="http://schemas.openxmlformats.org/officeDocument/2006/relationships/hyperlink" Target="https://www.youtube.com/watch?v=CYhTXMoIYyM" TargetMode="External"/><Relationship Id="rId29" Type="http://schemas.openxmlformats.org/officeDocument/2006/relationships/hyperlink" Target="https://www.youtube.com/shorts/ALRjJ0yPRzc" TargetMode="External"/><Relationship Id="rId95" Type="http://schemas.openxmlformats.org/officeDocument/2006/relationships/hyperlink" Target="https://www.youtube.com/shorts/uODWo4YqbT8" TargetMode="External"/><Relationship Id="rId94" Type="http://schemas.openxmlformats.org/officeDocument/2006/relationships/hyperlink" Target="https://www.youtube.com/shorts/uODWo4YqbT8" TargetMode="External"/><Relationship Id="rId97" Type="http://schemas.openxmlformats.org/officeDocument/2006/relationships/hyperlink" Target="https://youtu.be/0G2_XV7slIg?t=179" TargetMode="External"/><Relationship Id="rId96" Type="http://schemas.openxmlformats.org/officeDocument/2006/relationships/hyperlink" Target="https://www.youtube.com/shorts/uODWo4YqbT8" TargetMode="External"/><Relationship Id="rId11" Type="http://schemas.openxmlformats.org/officeDocument/2006/relationships/hyperlink" Target="https://www.youtube.com/watch?v=t90Vb6IBi0E" TargetMode="External"/><Relationship Id="rId99" Type="http://schemas.openxmlformats.org/officeDocument/2006/relationships/hyperlink" Target="https://youtu.be/0G2_XV7slIg?t=179" TargetMode="External"/><Relationship Id="rId10" Type="http://schemas.openxmlformats.org/officeDocument/2006/relationships/hyperlink" Target="https://www.youtube.com/watch?v=t90Vb6IBi0E" TargetMode="External"/><Relationship Id="rId98" Type="http://schemas.openxmlformats.org/officeDocument/2006/relationships/hyperlink" Target="https://youtu.be/0G2_XV7slIg?t=179" TargetMode="External"/><Relationship Id="rId13" Type="http://schemas.openxmlformats.org/officeDocument/2006/relationships/hyperlink" Target="https://www.youtube.com/watch?v=jQjWlIwG4sI" TargetMode="External"/><Relationship Id="rId12" Type="http://schemas.openxmlformats.org/officeDocument/2006/relationships/hyperlink" Target="https://www.youtube.com/watch?v=t90Vb6IBi0E" TargetMode="External"/><Relationship Id="rId91" Type="http://schemas.openxmlformats.org/officeDocument/2006/relationships/hyperlink" Target="https://www.youtube.com/watch?v=61ara6KJdrU" TargetMode="External"/><Relationship Id="rId90" Type="http://schemas.openxmlformats.org/officeDocument/2006/relationships/hyperlink" Target="https://www.youtube.com/watch?v=61ara6KJdrU" TargetMode="External"/><Relationship Id="rId93" Type="http://schemas.openxmlformats.org/officeDocument/2006/relationships/hyperlink" Target="https://www.youtube.com/shorts/uODWo4YqbT8" TargetMode="External"/><Relationship Id="rId92" Type="http://schemas.openxmlformats.org/officeDocument/2006/relationships/hyperlink" Target="https://www.youtube.com/watch?v=61ara6KJdrU" TargetMode="External"/><Relationship Id="rId118" Type="http://schemas.openxmlformats.org/officeDocument/2006/relationships/hyperlink" Target="https://www.youtube.com/shorts/5MNZ2x9Qzsw" TargetMode="External"/><Relationship Id="rId117" Type="http://schemas.openxmlformats.org/officeDocument/2006/relationships/hyperlink" Target="https://www.youtube.com/watch?v=uW3-Ue07H0M" TargetMode="External"/><Relationship Id="rId116" Type="http://schemas.openxmlformats.org/officeDocument/2006/relationships/hyperlink" Target="https://youtu.be/HNa-n4xq8ro?si=H4zUfJaaFBOq6yZ7&amp;t=5" TargetMode="External"/><Relationship Id="rId115" Type="http://schemas.openxmlformats.org/officeDocument/2006/relationships/hyperlink" Target="https://youtu.be/HNa-n4xq8ro?si=H4zUfJaaFBOq6yZ7&amp;t=5" TargetMode="External"/><Relationship Id="rId119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www.youtube.com/watch?v=jQjWlIwG4sI" TargetMode="External"/><Relationship Id="rId110" Type="http://schemas.openxmlformats.org/officeDocument/2006/relationships/hyperlink" Target="https://www.youtube.com/watch?v=2RtbofCPZQ4" TargetMode="External"/><Relationship Id="rId14" Type="http://schemas.openxmlformats.org/officeDocument/2006/relationships/hyperlink" Target="https://www.youtube.com/watch?v=jQjWlIwG4sI" TargetMode="External"/><Relationship Id="rId17" Type="http://schemas.openxmlformats.org/officeDocument/2006/relationships/hyperlink" Target="https://www.youtube.com/watch?v=6h1A7cpM1L0" TargetMode="External"/><Relationship Id="rId16" Type="http://schemas.openxmlformats.org/officeDocument/2006/relationships/hyperlink" Target="https://www.youtube.com/watch?v=jQjWlIwG4sI" TargetMode="External"/><Relationship Id="rId19" Type="http://schemas.openxmlformats.org/officeDocument/2006/relationships/hyperlink" Target="https://www.youtube.com/watch?v=6h1A7cpM1L0" TargetMode="External"/><Relationship Id="rId114" Type="http://schemas.openxmlformats.org/officeDocument/2006/relationships/hyperlink" Target="https://youtu.be/HNa-n4xq8ro?si=H4zUfJaaFBOq6yZ7&amp;t=5" TargetMode="External"/><Relationship Id="rId18" Type="http://schemas.openxmlformats.org/officeDocument/2006/relationships/hyperlink" Target="https://www.youtube.com/watch?v=6h1A7cpM1L0" TargetMode="External"/><Relationship Id="rId113" Type="http://schemas.openxmlformats.org/officeDocument/2006/relationships/hyperlink" Target="https://youtu.be/HNa-n4xq8ro?si=H4zUfJaaFBOq6yZ7&amp;t=5" TargetMode="External"/><Relationship Id="rId112" Type="http://schemas.openxmlformats.org/officeDocument/2006/relationships/hyperlink" Target="https://www.youtube.com/watch?v=2RtbofCPZQ4" TargetMode="External"/><Relationship Id="rId111" Type="http://schemas.openxmlformats.org/officeDocument/2006/relationships/hyperlink" Target="https://www.youtube.com/watch?v=2RtbofCPZQ4" TargetMode="External"/><Relationship Id="rId84" Type="http://schemas.openxmlformats.org/officeDocument/2006/relationships/hyperlink" Target="https://youtu.be/JpDDoINkrog?si=ljnSgx71RIzXDU71&amp;t=2" TargetMode="External"/><Relationship Id="rId83" Type="http://schemas.openxmlformats.org/officeDocument/2006/relationships/hyperlink" Target="https://youtu.be/JpDDoINkrog?si=ljnSgx71RIzXDU71&amp;t=2" TargetMode="External"/><Relationship Id="rId86" Type="http://schemas.openxmlformats.org/officeDocument/2006/relationships/hyperlink" Target="https://youtu.be/sAq_ocpRh_I?t=18" TargetMode="External"/><Relationship Id="rId85" Type="http://schemas.openxmlformats.org/officeDocument/2006/relationships/hyperlink" Target="https://youtu.be/sAq_ocpRh_I?t=18" TargetMode="External"/><Relationship Id="rId88" Type="http://schemas.openxmlformats.org/officeDocument/2006/relationships/hyperlink" Target="https://youtu.be/sAq_ocpRh_I?t=18" TargetMode="External"/><Relationship Id="rId87" Type="http://schemas.openxmlformats.org/officeDocument/2006/relationships/hyperlink" Target="https://youtu.be/sAq_ocpRh_I?t=18" TargetMode="External"/><Relationship Id="rId89" Type="http://schemas.openxmlformats.org/officeDocument/2006/relationships/hyperlink" Target="https://www.youtube.com/watch?v=61ara6KJdrU" TargetMode="External"/><Relationship Id="rId80" Type="http://schemas.openxmlformats.org/officeDocument/2006/relationships/hyperlink" Target="https://youtu.be/FjCzZUaxCuE?si=RZY5dStygLPm5wtH" TargetMode="External"/><Relationship Id="rId82" Type="http://schemas.openxmlformats.org/officeDocument/2006/relationships/hyperlink" Target="https://youtu.be/JpDDoINkrog?si=ljnSgx71RIzXDU71&amp;t=2" TargetMode="External"/><Relationship Id="rId81" Type="http://schemas.openxmlformats.org/officeDocument/2006/relationships/hyperlink" Target="https://youtu.be/JpDDoINkrog?si=ljnSgx71RIzXDU71&amp;t=2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www.youtube.com/watch?v=t90Vb6IBi0E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watch?v=jkQwOVIAVxA" TargetMode="External"/><Relationship Id="rId72" Type="http://schemas.openxmlformats.org/officeDocument/2006/relationships/hyperlink" Target="https://www.youtube.com/watch?v=jkQwOVIAVxA" TargetMode="External"/><Relationship Id="rId75" Type="http://schemas.openxmlformats.org/officeDocument/2006/relationships/hyperlink" Target="https://www.youtube.com/watch?v=jkQwOVIAVxA" TargetMode="External"/><Relationship Id="rId74" Type="http://schemas.openxmlformats.org/officeDocument/2006/relationships/hyperlink" Target="https://www.youtube.com/watch?v=jkQwOVIAVxA" TargetMode="External"/><Relationship Id="rId77" Type="http://schemas.openxmlformats.org/officeDocument/2006/relationships/hyperlink" Target="https://youtu.be/FjCzZUaxCuE?si=RZY5dStygLPm5wtH" TargetMode="External"/><Relationship Id="rId76" Type="http://schemas.openxmlformats.org/officeDocument/2006/relationships/hyperlink" Target="https://www.youtube.com/watch?v=jkQwOVIAVxA" TargetMode="External"/><Relationship Id="rId79" Type="http://schemas.openxmlformats.org/officeDocument/2006/relationships/hyperlink" Target="https://youtu.be/FjCzZUaxCuE?si=RZY5dStygLPm5wtH" TargetMode="External"/><Relationship Id="rId78" Type="http://schemas.openxmlformats.org/officeDocument/2006/relationships/hyperlink" Target="https://youtu.be/FjCzZUaxCuE?si=RZY5dStygLPm5wtH" TargetMode="External"/><Relationship Id="rId71" Type="http://schemas.openxmlformats.org/officeDocument/2006/relationships/hyperlink" Target="https://www.youtube.com/watch?v=jkQwOVIAVxA" TargetMode="External"/><Relationship Id="rId70" Type="http://schemas.openxmlformats.org/officeDocument/2006/relationships/hyperlink" Target="https://www.youtube.com/watch?v=jkQwOVIAVxA" TargetMode="External"/><Relationship Id="rId62" Type="http://schemas.openxmlformats.org/officeDocument/2006/relationships/hyperlink" Target="https://www.youtube.com/watch?v=rq8tHYwBAOY" TargetMode="External"/><Relationship Id="rId61" Type="http://schemas.openxmlformats.org/officeDocument/2006/relationships/hyperlink" Target="https://www.youtube.com/watch?v=rq8tHYwBAOY" TargetMode="External"/><Relationship Id="rId64" Type="http://schemas.openxmlformats.org/officeDocument/2006/relationships/hyperlink" Target="https://www.youtube.com/watch?v=rq8tHYwBAOY" TargetMode="External"/><Relationship Id="rId63" Type="http://schemas.openxmlformats.org/officeDocument/2006/relationships/hyperlink" Target="https://www.youtube.com/watch?v=rq8tHYwBAOY" TargetMode="External"/><Relationship Id="rId66" Type="http://schemas.openxmlformats.org/officeDocument/2006/relationships/hyperlink" Target="https://youtu.be/JIZy6qGTL2s?t=88" TargetMode="External"/><Relationship Id="rId65" Type="http://schemas.openxmlformats.org/officeDocument/2006/relationships/hyperlink" Target="https://youtu.be/JIZy6qGTL2s?t=88" TargetMode="External"/><Relationship Id="rId68" Type="http://schemas.openxmlformats.org/officeDocument/2006/relationships/hyperlink" Target="https://youtu.be/JIZy6qGTL2s?t=88" TargetMode="External"/><Relationship Id="rId67" Type="http://schemas.openxmlformats.org/officeDocument/2006/relationships/hyperlink" Target="https://youtu.be/JIZy6qGTL2s?t=88" TargetMode="External"/><Relationship Id="rId60" Type="http://schemas.openxmlformats.org/officeDocument/2006/relationships/hyperlink" Target="https://www.youtube.com/shorts/qqntiuPmLDM" TargetMode="External"/><Relationship Id="rId69" Type="http://schemas.openxmlformats.org/officeDocument/2006/relationships/hyperlink" Target="https://www.youtube.com/watch?v=jkQwOVIAVxA" TargetMode="External"/><Relationship Id="rId51" Type="http://schemas.openxmlformats.org/officeDocument/2006/relationships/hyperlink" Target="https://www.youtube.com/watch?v=yPsj9TNs3B4" TargetMode="External"/><Relationship Id="rId50" Type="http://schemas.openxmlformats.org/officeDocument/2006/relationships/hyperlink" Target="https://www.youtube.com/watch?v=yPsj9TNs3B4" TargetMode="External"/><Relationship Id="rId53" Type="http://schemas.openxmlformats.org/officeDocument/2006/relationships/hyperlink" Target="https://youtube.com/shorts/UfkO0K4lZQM?feature=share" TargetMode="External"/><Relationship Id="rId52" Type="http://schemas.openxmlformats.org/officeDocument/2006/relationships/hyperlink" Target="https://www.youtube.com/watch?v=yPsj9TNs3B4" TargetMode="External"/><Relationship Id="rId55" Type="http://schemas.openxmlformats.org/officeDocument/2006/relationships/hyperlink" Target="https://youtube.com/shorts/UfkO0K4lZQM?feature=share" TargetMode="External"/><Relationship Id="rId54" Type="http://schemas.openxmlformats.org/officeDocument/2006/relationships/hyperlink" Target="https://youtube.com/shorts/UfkO0K4lZQM?feature=share" TargetMode="External"/><Relationship Id="rId57" Type="http://schemas.openxmlformats.org/officeDocument/2006/relationships/hyperlink" Target="https://www.youtube.com/shorts/qqntiuPmLDM" TargetMode="External"/><Relationship Id="rId56" Type="http://schemas.openxmlformats.org/officeDocument/2006/relationships/hyperlink" Target="https://youtube.com/shorts/UfkO0K4lZQM?feature=share" TargetMode="External"/><Relationship Id="rId59" Type="http://schemas.openxmlformats.org/officeDocument/2006/relationships/hyperlink" Target="https://www.youtube.com/shorts/qqntiuPmLDM" TargetMode="External"/><Relationship Id="rId58" Type="http://schemas.openxmlformats.org/officeDocument/2006/relationships/hyperlink" Target="https://www.youtube.com/shorts/qqntiuPmLD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6"/>
      <c r="C12" s="27" t="s">
        <v>14</v>
      </c>
      <c r="D12" s="28">
        <v>1.0</v>
      </c>
      <c r="E12" s="29">
        <v>3.0</v>
      </c>
      <c r="F12" s="30">
        <v>5.0</v>
      </c>
      <c r="G12" s="31"/>
      <c r="H12" s="32"/>
      <c r="I12" s="33"/>
      <c r="J12" s="23"/>
      <c r="K12" s="33"/>
      <c r="L12" s="23"/>
      <c r="M12" s="26"/>
      <c r="N12" s="26"/>
      <c r="O12" s="27" t="s">
        <v>14</v>
      </c>
      <c r="P12" s="28">
        <v>1.0</v>
      </c>
      <c r="Q12" s="29">
        <v>3.0</v>
      </c>
      <c r="R12" s="30">
        <v>6.0</v>
      </c>
      <c r="S12" s="31"/>
      <c r="T12" s="32"/>
      <c r="U12" s="33"/>
      <c r="V12" s="23"/>
      <c r="W12" s="33"/>
      <c r="X12" s="23"/>
      <c r="Y12" s="26"/>
      <c r="Z12" s="26"/>
      <c r="AA12" s="27" t="s">
        <v>14</v>
      </c>
      <c r="AB12" s="28">
        <v>1.0</v>
      </c>
      <c r="AC12" s="29">
        <v>3.0</v>
      </c>
      <c r="AD12" s="30">
        <v>7.0</v>
      </c>
      <c r="AE12" s="31"/>
      <c r="AF12" s="32"/>
      <c r="AG12" s="33"/>
      <c r="AH12" s="23"/>
      <c r="AI12" s="33"/>
      <c r="AJ12" s="23"/>
      <c r="AK12" s="26"/>
      <c r="AL12" s="26"/>
      <c r="AM12" s="27" t="s">
        <v>14</v>
      </c>
      <c r="AN12" s="28">
        <v>1.0</v>
      </c>
      <c r="AO12" s="29">
        <v>3.0</v>
      </c>
      <c r="AP12" s="30">
        <v>7.0</v>
      </c>
      <c r="AQ12" s="31"/>
      <c r="AR12" s="32"/>
      <c r="AS12" s="33"/>
      <c r="AT12" s="23"/>
      <c r="AU12" s="33"/>
      <c r="AV12" s="23"/>
      <c r="AW12" s="34"/>
      <c r="AX12" s="34"/>
    </row>
    <row r="13" ht="20.25" customHeight="1">
      <c r="A13" s="26"/>
      <c r="B13" s="26"/>
      <c r="C13" s="27" t="s">
        <v>14</v>
      </c>
      <c r="D13" s="30">
        <v>2.0</v>
      </c>
      <c r="E13" s="29">
        <v>5.0</v>
      </c>
      <c r="F13" s="35">
        <v>-0.1</v>
      </c>
      <c r="G13" s="31"/>
      <c r="H13" s="32"/>
      <c r="I13" s="33"/>
      <c r="J13" s="23"/>
      <c r="K13" s="33"/>
      <c r="L13" s="23"/>
      <c r="M13" s="26"/>
      <c r="N13" s="26"/>
      <c r="O13" s="27" t="s">
        <v>14</v>
      </c>
      <c r="P13" s="30">
        <v>2.0</v>
      </c>
      <c r="Q13" s="29">
        <v>5.0</v>
      </c>
      <c r="R13" s="35">
        <v>-0.1</v>
      </c>
      <c r="S13" s="31"/>
      <c r="T13" s="32"/>
      <c r="U13" s="33"/>
      <c r="V13" s="23"/>
      <c r="W13" s="33"/>
      <c r="X13" s="23"/>
      <c r="Y13" s="26"/>
      <c r="Z13" s="26"/>
      <c r="AA13" s="27" t="s">
        <v>14</v>
      </c>
      <c r="AB13" s="30">
        <v>2.0</v>
      </c>
      <c r="AC13" s="29">
        <v>5.0</v>
      </c>
      <c r="AD13" s="35">
        <v>-0.1</v>
      </c>
      <c r="AE13" s="31"/>
      <c r="AF13" s="32"/>
      <c r="AG13" s="33"/>
      <c r="AH13" s="23"/>
      <c r="AI13" s="33"/>
      <c r="AJ13" s="23"/>
      <c r="AK13" s="26"/>
      <c r="AL13" s="26"/>
      <c r="AM13" s="27" t="s">
        <v>14</v>
      </c>
      <c r="AN13" s="30">
        <v>2.0</v>
      </c>
      <c r="AO13" s="29">
        <v>5.0</v>
      </c>
      <c r="AP13" s="35">
        <v>-0.1</v>
      </c>
      <c r="AQ13" s="31"/>
      <c r="AR13" s="32"/>
      <c r="AS13" s="33"/>
      <c r="AT13" s="23"/>
      <c r="AU13" s="33"/>
      <c r="AV13" s="23"/>
      <c r="AW13" s="34"/>
      <c r="AX13" s="34"/>
    </row>
    <row r="14" ht="20.25" customHeight="1">
      <c r="A14" s="4"/>
      <c r="B14" s="1"/>
      <c r="C14" s="36" t="s">
        <v>15</v>
      </c>
      <c r="D14" s="37">
        <v>3.0</v>
      </c>
      <c r="E14" s="38">
        <v>8.0</v>
      </c>
      <c r="F14" s="39">
        <v>8.0</v>
      </c>
      <c r="G14" s="40"/>
      <c r="H14" s="41"/>
      <c r="I14" s="42"/>
      <c r="J14" s="23"/>
      <c r="K14" s="42"/>
      <c r="L14" s="23"/>
      <c r="M14" s="17"/>
      <c r="N14" s="1"/>
      <c r="O14" s="36" t="s">
        <v>15</v>
      </c>
      <c r="P14" s="37">
        <v>3.0</v>
      </c>
      <c r="Q14" s="38">
        <v>8.0</v>
      </c>
      <c r="R14" s="39">
        <v>8.0</v>
      </c>
      <c r="S14" s="40"/>
      <c r="T14" s="41"/>
      <c r="U14" s="42"/>
      <c r="V14" s="23"/>
      <c r="W14" s="42"/>
      <c r="X14" s="23"/>
      <c r="Y14" s="1"/>
      <c r="Z14" s="1"/>
      <c r="AA14" s="36" t="s">
        <v>15</v>
      </c>
      <c r="AB14" s="37">
        <v>3.0</v>
      </c>
      <c r="AC14" s="38">
        <v>8.0</v>
      </c>
      <c r="AD14" s="39">
        <v>8.0</v>
      </c>
      <c r="AE14" s="40"/>
      <c r="AF14" s="41"/>
      <c r="AG14" s="42"/>
      <c r="AH14" s="23"/>
      <c r="AI14" s="42"/>
      <c r="AJ14" s="23"/>
      <c r="AK14" s="43"/>
      <c r="AL14" s="1"/>
      <c r="AM14" s="36" t="s">
        <v>15</v>
      </c>
      <c r="AN14" s="37">
        <v>3.0</v>
      </c>
      <c r="AO14" s="38">
        <v>8.0</v>
      </c>
      <c r="AP14" s="39">
        <v>8.0</v>
      </c>
      <c r="AQ14" s="40"/>
      <c r="AR14" s="41"/>
      <c r="AS14" s="42"/>
      <c r="AT14" s="23"/>
      <c r="AU14" s="42"/>
      <c r="AV14" s="23"/>
      <c r="AW14" s="44"/>
      <c r="AX14" s="44"/>
    </row>
    <row r="15" ht="20.25" customHeight="1">
      <c r="A15" s="4"/>
      <c r="B15" s="1"/>
      <c r="C15" s="36" t="s">
        <v>16</v>
      </c>
      <c r="D15" s="45">
        <v>3.0</v>
      </c>
      <c r="E15" s="39">
        <v>8.0</v>
      </c>
      <c r="F15" s="39">
        <v>8.0</v>
      </c>
      <c r="G15" s="46"/>
      <c r="H15" s="46"/>
      <c r="I15" s="42"/>
      <c r="J15" s="23"/>
      <c r="K15" s="42"/>
      <c r="L15" s="23"/>
      <c r="M15" s="47"/>
      <c r="N15" s="1"/>
      <c r="O15" s="36" t="s">
        <v>16</v>
      </c>
      <c r="P15" s="45">
        <v>3.0</v>
      </c>
      <c r="Q15" s="39">
        <v>8.0</v>
      </c>
      <c r="R15" s="39">
        <v>8.0</v>
      </c>
      <c r="S15" s="46"/>
      <c r="T15" s="46"/>
      <c r="U15" s="42"/>
      <c r="V15" s="23"/>
      <c r="W15" s="42"/>
      <c r="X15" s="23"/>
      <c r="Y15" s="1"/>
      <c r="Z15" s="1"/>
      <c r="AA15" s="36" t="s">
        <v>16</v>
      </c>
      <c r="AB15" s="45">
        <v>3.0</v>
      </c>
      <c r="AC15" s="39">
        <v>8.0</v>
      </c>
      <c r="AD15" s="39">
        <v>8.0</v>
      </c>
      <c r="AE15" s="46"/>
      <c r="AF15" s="46"/>
      <c r="AG15" s="42"/>
      <c r="AH15" s="23"/>
      <c r="AI15" s="42"/>
      <c r="AJ15" s="23"/>
      <c r="AK15" s="43"/>
      <c r="AL15" s="1"/>
      <c r="AM15" s="36" t="s">
        <v>16</v>
      </c>
      <c r="AN15" s="45">
        <v>3.0</v>
      </c>
      <c r="AO15" s="39">
        <v>8.0</v>
      </c>
      <c r="AP15" s="39">
        <v>8.0</v>
      </c>
      <c r="AQ15" s="46"/>
      <c r="AR15" s="46"/>
      <c r="AS15" s="42"/>
      <c r="AT15" s="23"/>
      <c r="AU15" s="42"/>
      <c r="AV15" s="23"/>
      <c r="AW15" s="44"/>
      <c r="AX15" s="44"/>
    </row>
    <row r="16" ht="20.25" customHeight="1">
      <c r="A16" s="1"/>
      <c r="B16" s="1"/>
      <c r="C16" s="36" t="s">
        <v>17</v>
      </c>
      <c r="D16" s="45">
        <v>3.0</v>
      </c>
      <c r="E16" s="39" t="s">
        <v>18</v>
      </c>
      <c r="F16" s="39">
        <v>8.0</v>
      </c>
      <c r="G16" s="46"/>
      <c r="H16" s="46"/>
      <c r="I16" s="42"/>
      <c r="J16" s="23"/>
      <c r="K16" s="42"/>
      <c r="L16" s="23"/>
      <c r="M16" s="47"/>
      <c r="N16" s="1"/>
      <c r="O16" s="36" t="s">
        <v>17</v>
      </c>
      <c r="P16" s="45">
        <v>3.0</v>
      </c>
      <c r="Q16" s="39" t="s">
        <v>18</v>
      </c>
      <c r="R16" s="39">
        <v>8.0</v>
      </c>
      <c r="S16" s="46"/>
      <c r="T16" s="46"/>
      <c r="U16" s="42"/>
      <c r="V16" s="23"/>
      <c r="W16" s="42"/>
      <c r="X16" s="23"/>
      <c r="Y16" s="24"/>
      <c r="Z16" s="1"/>
      <c r="AA16" s="36" t="s">
        <v>17</v>
      </c>
      <c r="AB16" s="45">
        <v>3.0</v>
      </c>
      <c r="AC16" s="39" t="s">
        <v>18</v>
      </c>
      <c r="AD16" s="39">
        <v>8.0</v>
      </c>
      <c r="AE16" s="46"/>
      <c r="AF16" s="46"/>
      <c r="AG16" s="42"/>
      <c r="AH16" s="23"/>
      <c r="AI16" s="42"/>
      <c r="AJ16" s="23"/>
      <c r="AK16" s="43"/>
      <c r="AL16" s="1"/>
      <c r="AM16" s="36" t="s">
        <v>17</v>
      </c>
      <c r="AN16" s="45">
        <v>3.0</v>
      </c>
      <c r="AO16" s="39" t="s">
        <v>18</v>
      </c>
      <c r="AP16" s="39">
        <v>8.0</v>
      </c>
      <c r="AQ16" s="46"/>
      <c r="AR16" s="46"/>
      <c r="AS16" s="42"/>
      <c r="AT16" s="23"/>
      <c r="AU16" s="42"/>
      <c r="AV16" s="23"/>
      <c r="AW16" s="44"/>
      <c r="AX16" s="44"/>
    </row>
    <row r="17">
      <c r="A17" s="1"/>
      <c r="B17" s="1"/>
      <c r="C17" s="36" t="s">
        <v>19</v>
      </c>
      <c r="D17" s="45">
        <v>3.0</v>
      </c>
      <c r="E17" s="39" t="s">
        <v>18</v>
      </c>
      <c r="F17" s="39">
        <v>8.0</v>
      </c>
      <c r="G17" s="46"/>
      <c r="H17" s="46"/>
      <c r="I17" s="42"/>
      <c r="J17" s="23"/>
      <c r="K17" s="42"/>
      <c r="L17" s="23"/>
      <c r="M17" s="47"/>
      <c r="N17" s="1"/>
      <c r="O17" s="36" t="s">
        <v>19</v>
      </c>
      <c r="P17" s="45">
        <v>3.0</v>
      </c>
      <c r="Q17" s="39" t="s">
        <v>18</v>
      </c>
      <c r="R17" s="39">
        <v>8.0</v>
      </c>
      <c r="S17" s="46"/>
      <c r="T17" s="46"/>
      <c r="U17" s="42"/>
      <c r="V17" s="23"/>
      <c r="W17" s="42"/>
      <c r="X17" s="23"/>
      <c r="Y17" s="1"/>
      <c r="Z17" s="1"/>
      <c r="AA17" s="36" t="s">
        <v>19</v>
      </c>
      <c r="AB17" s="45">
        <v>3.0</v>
      </c>
      <c r="AC17" s="39" t="s">
        <v>18</v>
      </c>
      <c r="AD17" s="39">
        <v>8.0</v>
      </c>
      <c r="AE17" s="46"/>
      <c r="AF17" s="46"/>
      <c r="AG17" s="42"/>
      <c r="AH17" s="23"/>
      <c r="AI17" s="42"/>
      <c r="AJ17" s="23"/>
      <c r="AK17" s="43"/>
      <c r="AL17" s="1"/>
      <c r="AM17" s="36" t="s">
        <v>19</v>
      </c>
      <c r="AN17" s="45">
        <v>3.0</v>
      </c>
      <c r="AO17" s="39" t="s">
        <v>18</v>
      </c>
      <c r="AP17" s="39">
        <v>8.0</v>
      </c>
      <c r="AQ17" s="46"/>
      <c r="AR17" s="46"/>
      <c r="AS17" s="42"/>
      <c r="AT17" s="23"/>
      <c r="AU17" s="42"/>
      <c r="AV17" s="23"/>
      <c r="AW17" s="44"/>
      <c r="AX17" s="4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48"/>
      <c r="AX18" s="48"/>
    </row>
    <row r="19" ht="20.25" customHeight="1">
      <c r="A19" s="1"/>
      <c r="B19" s="4"/>
      <c r="C19" s="12" t="s">
        <v>20</v>
      </c>
      <c r="D19" s="49"/>
      <c r="E19" s="49"/>
      <c r="F19" s="1"/>
      <c r="G19" s="1"/>
      <c r="H19" s="1"/>
      <c r="I19" s="1"/>
      <c r="J19" s="1"/>
      <c r="K19" s="1"/>
      <c r="L19" s="1"/>
      <c r="M19" s="5"/>
      <c r="N19" s="4"/>
      <c r="O19" s="12" t="s">
        <v>20</v>
      </c>
      <c r="P19" s="49"/>
      <c r="Q19" s="49"/>
      <c r="R19" s="1"/>
      <c r="S19" s="1"/>
      <c r="T19" s="1"/>
      <c r="U19" s="1"/>
      <c r="V19" s="1"/>
      <c r="W19" s="1"/>
      <c r="X19" s="1"/>
      <c r="Y19" s="24"/>
      <c r="Z19" s="4"/>
      <c r="AA19" s="12" t="s">
        <v>20</v>
      </c>
      <c r="AB19" s="49"/>
      <c r="AC19" s="49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20</v>
      </c>
      <c r="AN19" s="49"/>
      <c r="AO19" s="49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21</v>
      </c>
      <c r="C20" s="50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7"/>
      <c r="N20" s="12" t="s">
        <v>21</v>
      </c>
      <c r="O20" s="50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21</v>
      </c>
      <c r="AA20" s="50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3"/>
      <c r="AL20" s="12" t="s">
        <v>21</v>
      </c>
      <c r="AM20" s="50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1"/>
      <c r="B21" s="1"/>
      <c r="C21" s="36" t="s">
        <v>22</v>
      </c>
      <c r="D21" s="37">
        <v>3.0</v>
      </c>
      <c r="E21" s="39" t="s">
        <v>18</v>
      </c>
      <c r="F21" s="38">
        <v>8.0</v>
      </c>
      <c r="G21" s="46"/>
      <c r="H21" s="46"/>
      <c r="I21" s="42"/>
      <c r="J21" s="23"/>
      <c r="K21" s="42"/>
      <c r="L21" s="23"/>
      <c r="M21" s="47"/>
      <c r="N21" s="1"/>
      <c r="O21" s="36" t="s">
        <v>22</v>
      </c>
      <c r="P21" s="37">
        <v>3.0</v>
      </c>
      <c r="Q21" s="39" t="s">
        <v>18</v>
      </c>
      <c r="R21" s="38">
        <v>8.0</v>
      </c>
      <c r="S21" s="46"/>
      <c r="T21" s="46"/>
      <c r="U21" s="42"/>
      <c r="V21" s="23"/>
      <c r="W21" s="42"/>
      <c r="X21" s="23"/>
      <c r="Y21" s="24"/>
      <c r="Z21" s="1"/>
      <c r="AA21" s="36" t="s">
        <v>22</v>
      </c>
      <c r="AB21" s="37">
        <v>3.0</v>
      </c>
      <c r="AC21" s="39" t="s">
        <v>18</v>
      </c>
      <c r="AD21" s="38">
        <v>8.0</v>
      </c>
      <c r="AE21" s="46"/>
      <c r="AF21" s="46"/>
      <c r="AG21" s="42"/>
      <c r="AH21" s="23"/>
      <c r="AI21" s="42"/>
      <c r="AJ21" s="23"/>
      <c r="AK21" s="43"/>
      <c r="AL21" s="1"/>
      <c r="AM21" s="36" t="s">
        <v>22</v>
      </c>
      <c r="AN21" s="37">
        <v>3.0</v>
      </c>
      <c r="AO21" s="39" t="s">
        <v>18</v>
      </c>
      <c r="AP21" s="38">
        <v>8.0</v>
      </c>
      <c r="AQ21" s="46"/>
      <c r="AR21" s="46"/>
      <c r="AS21" s="42"/>
      <c r="AT21" s="23"/>
      <c r="AU21" s="42"/>
      <c r="AV21" s="23"/>
      <c r="AW21" s="44"/>
      <c r="AX21" s="44"/>
    </row>
    <row r="22" ht="20.25" customHeight="1">
      <c r="A22" s="4"/>
      <c r="B22" s="1"/>
      <c r="C22" s="36" t="s">
        <v>23</v>
      </c>
      <c r="D22" s="45">
        <v>3.0</v>
      </c>
      <c r="E22" s="38">
        <v>8.0</v>
      </c>
      <c r="F22" s="39">
        <v>8.0</v>
      </c>
      <c r="G22" s="46"/>
      <c r="H22" s="46"/>
      <c r="I22" s="42"/>
      <c r="J22" s="23"/>
      <c r="K22" s="42"/>
      <c r="L22" s="23"/>
      <c r="M22" s="47"/>
      <c r="N22" s="1"/>
      <c r="O22" s="36" t="s">
        <v>23</v>
      </c>
      <c r="P22" s="45">
        <v>3.0</v>
      </c>
      <c r="Q22" s="38">
        <v>8.0</v>
      </c>
      <c r="R22" s="39">
        <v>8.0</v>
      </c>
      <c r="S22" s="46"/>
      <c r="T22" s="46"/>
      <c r="U22" s="42"/>
      <c r="V22" s="23"/>
      <c r="W22" s="42"/>
      <c r="X22" s="23"/>
      <c r="Y22" s="24"/>
      <c r="Z22" s="1"/>
      <c r="AA22" s="36" t="s">
        <v>23</v>
      </c>
      <c r="AB22" s="45">
        <v>3.0</v>
      </c>
      <c r="AC22" s="38">
        <v>8.0</v>
      </c>
      <c r="AD22" s="39">
        <v>8.0</v>
      </c>
      <c r="AE22" s="46"/>
      <c r="AF22" s="46"/>
      <c r="AG22" s="42"/>
      <c r="AH22" s="23"/>
      <c r="AI22" s="42"/>
      <c r="AJ22" s="23"/>
      <c r="AK22" s="43"/>
      <c r="AL22" s="1"/>
      <c r="AM22" s="36" t="s">
        <v>23</v>
      </c>
      <c r="AN22" s="45">
        <v>3.0</v>
      </c>
      <c r="AO22" s="38">
        <v>8.0</v>
      </c>
      <c r="AP22" s="39">
        <v>8.0</v>
      </c>
      <c r="AQ22" s="46"/>
      <c r="AR22" s="46"/>
      <c r="AS22" s="42"/>
      <c r="AT22" s="23"/>
      <c r="AU22" s="42"/>
      <c r="AV22" s="23"/>
      <c r="AW22" s="44"/>
      <c r="AX22" s="44"/>
    </row>
    <row r="23" ht="20.25" customHeight="1">
      <c r="A23" s="1"/>
      <c r="B23" s="1"/>
      <c r="C23" s="51" t="s">
        <v>24</v>
      </c>
      <c r="D23" s="38">
        <v>3.0</v>
      </c>
      <c r="E23" s="39" t="s">
        <v>18</v>
      </c>
      <c r="F23" s="38">
        <v>8.0</v>
      </c>
      <c r="G23" s="46"/>
      <c r="H23" s="52"/>
      <c r="I23" s="42"/>
      <c r="J23" s="23"/>
      <c r="K23" s="42"/>
      <c r="L23" s="23"/>
      <c r="M23" s="5"/>
      <c r="N23" s="1"/>
      <c r="O23" s="51" t="s">
        <v>24</v>
      </c>
      <c r="P23" s="38">
        <v>3.0</v>
      </c>
      <c r="Q23" s="39" t="s">
        <v>18</v>
      </c>
      <c r="R23" s="38">
        <v>8.0</v>
      </c>
      <c r="S23" s="46"/>
      <c r="T23" s="52"/>
      <c r="U23" s="42"/>
      <c r="V23" s="23"/>
      <c r="W23" s="42"/>
      <c r="X23" s="23"/>
      <c r="Y23" s="2"/>
      <c r="Z23" s="1"/>
      <c r="AA23" s="51" t="s">
        <v>24</v>
      </c>
      <c r="AB23" s="38">
        <v>3.0</v>
      </c>
      <c r="AC23" s="39" t="s">
        <v>18</v>
      </c>
      <c r="AD23" s="38">
        <v>8.0</v>
      </c>
      <c r="AE23" s="46"/>
      <c r="AF23" s="52"/>
      <c r="AG23" s="42"/>
      <c r="AH23" s="23"/>
      <c r="AI23" s="42"/>
      <c r="AJ23" s="23"/>
      <c r="AK23" s="2"/>
      <c r="AL23" s="1"/>
      <c r="AM23" s="51" t="s">
        <v>24</v>
      </c>
      <c r="AN23" s="38">
        <v>3.0</v>
      </c>
      <c r="AO23" s="39" t="s">
        <v>18</v>
      </c>
      <c r="AP23" s="38">
        <v>8.0</v>
      </c>
      <c r="AQ23" s="46"/>
      <c r="AR23" s="52"/>
      <c r="AS23" s="42"/>
      <c r="AT23" s="23"/>
      <c r="AU23" s="42"/>
      <c r="AV23" s="23"/>
      <c r="AW23" s="44"/>
      <c r="AX23" s="44"/>
    </row>
    <row r="24" ht="20.25" customHeight="1">
      <c r="A24" s="1"/>
      <c r="B24" s="1"/>
      <c r="C24" s="36" t="s">
        <v>25</v>
      </c>
      <c r="D24" s="37">
        <v>3.0</v>
      </c>
      <c r="E24" s="39" t="s">
        <v>18</v>
      </c>
      <c r="F24" s="38">
        <v>8.0</v>
      </c>
      <c r="G24" s="46"/>
      <c r="H24" s="46"/>
      <c r="I24" s="42"/>
      <c r="J24" s="23"/>
      <c r="K24" s="42"/>
      <c r="L24" s="23"/>
      <c r="M24" s="47"/>
      <c r="N24" s="1"/>
      <c r="O24" s="36" t="s">
        <v>25</v>
      </c>
      <c r="P24" s="37">
        <v>3.0</v>
      </c>
      <c r="Q24" s="39" t="s">
        <v>18</v>
      </c>
      <c r="R24" s="38">
        <v>8.0</v>
      </c>
      <c r="S24" s="46"/>
      <c r="T24" s="46"/>
      <c r="U24" s="42"/>
      <c r="V24" s="23"/>
      <c r="W24" s="42"/>
      <c r="X24" s="23"/>
      <c r="Y24" s="24"/>
      <c r="Z24" s="1"/>
      <c r="AA24" s="36" t="s">
        <v>25</v>
      </c>
      <c r="AB24" s="37">
        <v>3.0</v>
      </c>
      <c r="AC24" s="39" t="s">
        <v>18</v>
      </c>
      <c r="AD24" s="38">
        <v>8.0</v>
      </c>
      <c r="AE24" s="46"/>
      <c r="AF24" s="46"/>
      <c r="AG24" s="42"/>
      <c r="AH24" s="23"/>
      <c r="AI24" s="42"/>
      <c r="AJ24" s="23"/>
      <c r="AK24" s="43"/>
      <c r="AL24" s="1"/>
      <c r="AM24" s="36" t="s">
        <v>25</v>
      </c>
      <c r="AN24" s="37">
        <v>3.0</v>
      </c>
      <c r="AO24" s="39" t="s">
        <v>18</v>
      </c>
      <c r="AP24" s="38">
        <v>8.0</v>
      </c>
      <c r="AQ24" s="46"/>
      <c r="AR24" s="46"/>
      <c r="AS24" s="42"/>
      <c r="AT24" s="23"/>
      <c r="AU24" s="42"/>
      <c r="AV24" s="23"/>
      <c r="AW24" s="44"/>
      <c r="AX24" s="44"/>
    </row>
    <row r="25" ht="20.25" customHeight="1">
      <c r="A25" s="1"/>
      <c r="B25" s="1"/>
      <c r="C25" s="53" t="s">
        <v>26</v>
      </c>
      <c r="D25" s="37">
        <v>3.0</v>
      </c>
      <c r="E25" s="38" t="s">
        <v>27</v>
      </c>
      <c r="F25" s="38">
        <v>8.0</v>
      </c>
      <c r="G25" s="46"/>
      <c r="H25" s="46"/>
      <c r="I25" s="42"/>
      <c r="J25" s="23"/>
      <c r="K25" s="42"/>
      <c r="L25" s="23"/>
      <c r="M25" s="5"/>
      <c r="N25" s="1"/>
      <c r="O25" s="53" t="s">
        <v>26</v>
      </c>
      <c r="P25" s="37">
        <v>3.0</v>
      </c>
      <c r="Q25" s="38" t="s">
        <v>27</v>
      </c>
      <c r="R25" s="38">
        <v>8.0</v>
      </c>
      <c r="S25" s="46"/>
      <c r="T25" s="46"/>
      <c r="U25" s="42"/>
      <c r="V25" s="23"/>
      <c r="W25" s="42"/>
      <c r="X25" s="23"/>
      <c r="Y25" s="2"/>
      <c r="Z25" s="1"/>
      <c r="AA25" s="53" t="s">
        <v>26</v>
      </c>
      <c r="AB25" s="37">
        <v>3.0</v>
      </c>
      <c r="AC25" s="38" t="s">
        <v>27</v>
      </c>
      <c r="AD25" s="38">
        <v>8.0</v>
      </c>
      <c r="AE25" s="46"/>
      <c r="AF25" s="46"/>
      <c r="AG25" s="42"/>
      <c r="AH25" s="23"/>
      <c r="AI25" s="42"/>
      <c r="AJ25" s="23"/>
      <c r="AK25" s="2"/>
      <c r="AL25" s="1"/>
      <c r="AM25" s="53" t="s">
        <v>26</v>
      </c>
      <c r="AN25" s="37">
        <v>3.0</v>
      </c>
      <c r="AO25" s="38" t="s">
        <v>27</v>
      </c>
      <c r="AP25" s="38">
        <v>8.0</v>
      </c>
      <c r="AQ25" s="46"/>
      <c r="AR25" s="46"/>
      <c r="AS25" s="42"/>
      <c r="AT25" s="23"/>
      <c r="AU25" s="42"/>
      <c r="AV25" s="23"/>
      <c r="AW25" s="44"/>
      <c r="AX25" s="44"/>
    </row>
    <row r="26" ht="20.25" customHeight="1">
      <c r="A26" s="1"/>
      <c r="B26" s="1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"/>
      <c r="N26" s="1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2"/>
      <c r="Z26" s="1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"/>
      <c r="AL26" s="1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48"/>
      <c r="AX26" s="48"/>
    </row>
    <row r="27" ht="20.25" customHeight="1">
      <c r="A27" s="1"/>
      <c r="B27" s="54"/>
      <c r="C27" s="55" t="s">
        <v>28</v>
      </c>
      <c r="D27" s="56"/>
      <c r="E27" s="56"/>
      <c r="F27" s="56"/>
      <c r="G27" s="56"/>
      <c r="H27" s="56"/>
      <c r="I27" s="56"/>
      <c r="J27" s="56"/>
      <c r="K27" s="56"/>
      <c r="L27" s="56"/>
      <c r="M27" s="5"/>
      <c r="N27" s="54"/>
      <c r="O27" s="55" t="s">
        <v>28</v>
      </c>
      <c r="P27" s="56"/>
      <c r="Q27" s="56"/>
      <c r="R27" s="56"/>
      <c r="S27" s="56"/>
      <c r="T27" s="56"/>
      <c r="U27" s="56"/>
      <c r="V27" s="56"/>
      <c r="W27" s="56"/>
      <c r="X27" s="56"/>
      <c r="Y27" s="2"/>
      <c r="Z27" s="54"/>
      <c r="AA27" s="55" t="s">
        <v>28</v>
      </c>
      <c r="AB27" s="56"/>
      <c r="AC27" s="56"/>
      <c r="AD27" s="56"/>
      <c r="AE27" s="56"/>
      <c r="AF27" s="56"/>
      <c r="AG27" s="56"/>
      <c r="AH27" s="56"/>
      <c r="AI27" s="56"/>
      <c r="AJ27" s="56"/>
      <c r="AK27" s="2"/>
      <c r="AL27" s="54"/>
      <c r="AM27" s="55" t="s">
        <v>28</v>
      </c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</row>
    <row r="28" ht="20.25" customHeight="1">
      <c r="A28" s="1"/>
      <c r="B28" s="57" t="s">
        <v>29</v>
      </c>
      <c r="C28" s="58" t="s">
        <v>6</v>
      </c>
      <c r="D28" s="58" t="s">
        <v>7</v>
      </c>
      <c r="E28" s="58" t="s">
        <v>8</v>
      </c>
      <c r="F28" s="58" t="s">
        <v>9</v>
      </c>
      <c r="G28" s="58" t="s">
        <v>10</v>
      </c>
      <c r="H28" s="58" t="s">
        <v>11</v>
      </c>
      <c r="I28" s="59" t="s">
        <v>12</v>
      </c>
      <c r="J28" s="23"/>
      <c r="K28" s="59" t="s">
        <v>13</v>
      </c>
      <c r="L28" s="23"/>
      <c r="M28" s="5"/>
      <c r="N28" s="57" t="s">
        <v>29</v>
      </c>
      <c r="O28" s="58" t="s">
        <v>6</v>
      </c>
      <c r="P28" s="58" t="s">
        <v>7</v>
      </c>
      <c r="Q28" s="58" t="s">
        <v>8</v>
      </c>
      <c r="R28" s="58" t="s">
        <v>9</v>
      </c>
      <c r="S28" s="58" t="s">
        <v>10</v>
      </c>
      <c r="T28" s="58" t="s">
        <v>11</v>
      </c>
      <c r="U28" s="59" t="s">
        <v>12</v>
      </c>
      <c r="V28" s="23"/>
      <c r="W28" s="59" t="s">
        <v>13</v>
      </c>
      <c r="X28" s="23"/>
      <c r="Y28" s="2"/>
      <c r="Z28" s="57" t="s">
        <v>29</v>
      </c>
      <c r="AA28" s="58" t="s">
        <v>6</v>
      </c>
      <c r="AB28" s="58" t="s">
        <v>7</v>
      </c>
      <c r="AC28" s="58" t="s">
        <v>8</v>
      </c>
      <c r="AD28" s="58" t="s">
        <v>9</v>
      </c>
      <c r="AE28" s="58" t="s">
        <v>10</v>
      </c>
      <c r="AF28" s="58" t="s">
        <v>11</v>
      </c>
      <c r="AG28" s="59" t="s">
        <v>12</v>
      </c>
      <c r="AH28" s="23"/>
      <c r="AI28" s="59" t="s">
        <v>13</v>
      </c>
      <c r="AJ28" s="23"/>
      <c r="AK28" s="2"/>
      <c r="AL28" s="57" t="s">
        <v>29</v>
      </c>
      <c r="AM28" s="58" t="s">
        <v>6</v>
      </c>
      <c r="AN28" s="58" t="s">
        <v>7</v>
      </c>
      <c r="AO28" s="58" t="s">
        <v>8</v>
      </c>
      <c r="AP28" s="58" t="s">
        <v>9</v>
      </c>
      <c r="AQ28" s="58" t="s">
        <v>10</v>
      </c>
      <c r="AR28" s="58" t="s">
        <v>11</v>
      </c>
      <c r="AS28" s="59" t="s">
        <v>12</v>
      </c>
      <c r="AT28" s="23"/>
      <c r="AU28" s="59" t="s">
        <v>13</v>
      </c>
      <c r="AV28" s="23"/>
      <c r="AW28" s="60"/>
      <c r="AX28" s="60"/>
    </row>
    <row r="29" ht="20.25" customHeight="1">
      <c r="A29" s="61"/>
      <c r="B29" s="26"/>
      <c r="C29" s="27" t="s">
        <v>30</v>
      </c>
      <c r="D29" s="62">
        <v>1.0</v>
      </c>
      <c r="E29" s="62">
        <v>3.0</v>
      </c>
      <c r="F29" s="30">
        <v>5.0</v>
      </c>
      <c r="G29" s="63"/>
      <c r="H29" s="63"/>
      <c r="I29" s="64"/>
      <c r="J29" s="23"/>
      <c r="K29" s="64"/>
      <c r="L29" s="23"/>
      <c r="M29" s="26"/>
      <c r="N29" s="26"/>
      <c r="O29" s="27" t="s">
        <v>30</v>
      </c>
      <c r="P29" s="62">
        <v>1.0</v>
      </c>
      <c r="Q29" s="62">
        <v>3.0</v>
      </c>
      <c r="R29" s="30">
        <v>6.0</v>
      </c>
      <c r="S29" s="63"/>
      <c r="T29" s="63"/>
      <c r="U29" s="64"/>
      <c r="V29" s="23"/>
      <c r="W29" s="64"/>
      <c r="X29" s="23"/>
      <c r="Y29" s="26"/>
      <c r="Z29" s="26"/>
      <c r="AA29" s="27" t="s">
        <v>30</v>
      </c>
      <c r="AB29" s="62">
        <v>1.0</v>
      </c>
      <c r="AC29" s="62">
        <v>3.0</v>
      </c>
      <c r="AD29" s="30">
        <v>7.0</v>
      </c>
      <c r="AE29" s="63"/>
      <c r="AF29" s="63"/>
      <c r="AG29" s="64"/>
      <c r="AH29" s="23"/>
      <c r="AI29" s="64"/>
      <c r="AJ29" s="23"/>
      <c r="AK29" s="61"/>
      <c r="AL29" s="26"/>
      <c r="AM29" s="27" t="s">
        <v>30</v>
      </c>
      <c r="AN29" s="62">
        <v>1.0</v>
      </c>
      <c r="AO29" s="62">
        <v>3.0</v>
      </c>
      <c r="AP29" s="30">
        <v>7.0</v>
      </c>
      <c r="AQ29" s="63"/>
      <c r="AR29" s="63"/>
      <c r="AS29" s="64"/>
      <c r="AT29" s="23"/>
      <c r="AU29" s="64"/>
      <c r="AV29" s="23"/>
      <c r="AW29" s="56"/>
      <c r="AX29" s="56"/>
    </row>
    <row r="30" ht="20.25" customHeight="1">
      <c r="A30" s="26"/>
      <c r="B30" s="26"/>
      <c r="C30" s="27" t="s">
        <v>30</v>
      </c>
      <c r="D30" s="30">
        <v>2.0</v>
      </c>
      <c r="E30" s="62">
        <v>5.0</v>
      </c>
      <c r="F30" s="35">
        <v>-0.1</v>
      </c>
      <c r="G30" s="63"/>
      <c r="H30" s="63"/>
      <c r="I30" s="64"/>
      <c r="J30" s="23"/>
      <c r="K30" s="64"/>
      <c r="L30" s="23"/>
      <c r="M30" s="26"/>
      <c r="N30" s="26"/>
      <c r="O30" s="27" t="s">
        <v>30</v>
      </c>
      <c r="P30" s="30">
        <v>2.0</v>
      </c>
      <c r="Q30" s="62">
        <v>5.0</v>
      </c>
      <c r="R30" s="35">
        <v>-0.1</v>
      </c>
      <c r="S30" s="63"/>
      <c r="T30" s="63"/>
      <c r="U30" s="64"/>
      <c r="V30" s="23"/>
      <c r="W30" s="64"/>
      <c r="X30" s="23"/>
      <c r="Y30" s="26"/>
      <c r="Z30" s="26"/>
      <c r="AA30" s="27" t="s">
        <v>30</v>
      </c>
      <c r="AB30" s="30">
        <v>2.0</v>
      </c>
      <c r="AC30" s="62">
        <v>5.0</v>
      </c>
      <c r="AD30" s="35">
        <v>-0.1</v>
      </c>
      <c r="AE30" s="63"/>
      <c r="AF30" s="63"/>
      <c r="AG30" s="64"/>
      <c r="AH30" s="23"/>
      <c r="AI30" s="64"/>
      <c r="AJ30" s="23"/>
      <c r="AK30" s="26"/>
      <c r="AL30" s="26"/>
      <c r="AM30" s="27" t="s">
        <v>30</v>
      </c>
      <c r="AN30" s="30">
        <v>2.0</v>
      </c>
      <c r="AO30" s="62">
        <v>5.0</v>
      </c>
      <c r="AP30" s="35">
        <v>-0.1</v>
      </c>
      <c r="AQ30" s="63"/>
      <c r="AR30" s="63"/>
      <c r="AS30" s="64"/>
      <c r="AT30" s="23"/>
      <c r="AU30" s="64"/>
      <c r="AV30" s="23"/>
      <c r="AW30" s="56"/>
      <c r="AX30" s="56"/>
    </row>
    <row r="31" ht="20.25" customHeight="1">
      <c r="A31" s="1"/>
      <c r="B31" s="1"/>
      <c r="C31" s="36" t="s">
        <v>31</v>
      </c>
      <c r="D31" s="38">
        <v>3.0</v>
      </c>
      <c r="E31" s="38">
        <v>8.0</v>
      </c>
      <c r="F31" s="38">
        <v>8.0</v>
      </c>
      <c r="G31" s="40"/>
      <c r="H31" s="46"/>
      <c r="I31" s="42"/>
      <c r="J31" s="23"/>
      <c r="K31" s="42"/>
      <c r="L31" s="23"/>
      <c r="M31" s="5"/>
      <c r="N31" s="1"/>
      <c r="O31" s="36" t="s">
        <v>31</v>
      </c>
      <c r="P31" s="38">
        <v>3.0</v>
      </c>
      <c r="Q31" s="38">
        <v>8.0</v>
      </c>
      <c r="R31" s="38">
        <v>8.0</v>
      </c>
      <c r="S31" s="40"/>
      <c r="T31" s="46"/>
      <c r="U31" s="42"/>
      <c r="V31" s="23"/>
      <c r="W31" s="42"/>
      <c r="X31" s="23"/>
      <c r="Y31" s="2"/>
      <c r="Z31" s="1"/>
      <c r="AA31" s="36" t="s">
        <v>31</v>
      </c>
      <c r="AB31" s="38">
        <v>3.0</v>
      </c>
      <c r="AC31" s="38">
        <v>8.0</v>
      </c>
      <c r="AD31" s="38">
        <v>8.0</v>
      </c>
      <c r="AE31" s="40"/>
      <c r="AF31" s="46"/>
      <c r="AG31" s="42"/>
      <c r="AH31" s="23"/>
      <c r="AI31" s="42"/>
      <c r="AJ31" s="23"/>
      <c r="AK31" s="2"/>
      <c r="AL31" s="1"/>
      <c r="AM31" s="36" t="s">
        <v>31</v>
      </c>
      <c r="AN31" s="38">
        <v>3.0</v>
      </c>
      <c r="AO31" s="38">
        <v>8.0</v>
      </c>
      <c r="AP31" s="38">
        <v>8.0</v>
      </c>
      <c r="AQ31" s="40"/>
      <c r="AR31" s="46"/>
      <c r="AS31" s="42"/>
      <c r="AT31" s="23"/>
      <c r="AU31" s="42"/>
      <c r="AV31" s="23"/>
      <c r="AW31" s="44"/>
      <c r="AX31" s="44"/>
    </row>
    <row r="32" ht="20.25" customHeight="1">
      <c r="A32" s="1"/>
      <c r="B32" s="26"/>
      <c r="C32" s="53" t="s">
        <v>32</v>
      </c>
      <c r="D32" s="62">
        <v>3.0</v>
      </c>
      <c r="E32" s="39" t="s">
        <v>18</v>
      </c>
      <c r="F32" s="62">
        <v>8.0</v>
      </c>
      <c r="G32" s="63"/>
      <c r="H32" s="63"/>
      <c r="I32" s="64"/>
      <c r="J32" s="23"/>
      <c r="K32" s="64"/>
      <c r="L32" s="23"/>
      <c r="M32" s="5"/>
      <c r="N32" s="26"/>
      <c r="O32" s="53" t="s">
        <v>32</v>
      </c>
      <c r="P32" s="62">
        <v>3.0</v>
      </c>
      <c r="Q32" s="39" t="s">
        <v>18</v>
      </c>
      <c r="R32" s="62">
        <v>8.0</v>
      </c>
      <c r="S32" s="63"/>
      <c r="T32" s="63"/>
      <c r="U32" s="64"/>
      <c r="V32" s="23"/>
      <c r="W32" s="64"/>
      <c r="X32" s="23"/>
      <c r="Y32" s="2"/>
      <c r="Z32" s="26"/>
      <c r="AA32" s="53" t="s">
        <v>32</v>
      </c>
      <c r="AB32" s="62">
        <v>3.0</v>
      </c>
      <c r="AC32" s="39" t="s">
        <v>18</v>
      </c>
      <c r="AD32" s="62">
        <v>8.0</v>
      </c>
      <c r="AE32" s="63"/>
      <c r="AF32" s="63"/>
      <c r="AG32" s="64"/>
      <c r="AH32" s="23"/>
      <c r="AI32" s="64"/>
      <c r="AJ32" s="23"/>
      <c r="AK32" s="2"/>
      <c r="AL32" s="26"/>
      <c r="AM32" s="53" t="s">
        <v>32</v>
      </c>
      <c r="AN32" s="62">
        <v>3.0</v>
      </c>
      <c r="AO32" s="39" t="s">
        <v>18</v>
      </c>
      <c r="AP32" s="62">
        <v>8.0</v>
      </c>
      <c r="AQ32" s="63"/>
      <c r="AR32" s="63"/>
      <c r="AS32" s="64"/>
      <c r="AT32" s="23"/>
      <c r="AU32" s="64"/>
      <c r="AV32" s="23"/>
      <c r="AW32" s="56"/>
      <c r="AX32" s="56"/>
    </row>
    <row r="33" ht="20.25" customHeight="1">
      <c r="A33" s="1"/>
      <c r="B33" s="26"/>
      <c r="C33" s="65" t="s">
        <v>33</v>
      </c>
      <c r="D33" s="66">
        <v>3.0</v>
      </c>
      <c r="E33" s="39" t="s">
        <v>18</v>
      </c>
      <c r="F33" s="62">
        <v>8.0</v>
      </c>
      <c r="G33" s="63"/>
      <c r="H33" s="63"/>
      <c r="I33" s="64"/>
      <c r="J33" s="23"/>
      <c r="K33" s="64"/>
      <c r="L33" s="23"/>
      <c r="M33" s="5"/>
      <c r="N33" s="26"/>
      <c r="O33" s="65" t="s">
        <v>33</v>
      </c>
      <c r="P33" s="66">
        <v>3.0</v>
      </c>
      <c r="Q33" s="39" t="s">
        <v>18</v>
      </c>
      <c r="R33" s="62">
        <v>8.0</v>
      </c>
      <c r="S33" s="63"/>
      <c r="T33" s="63"/>
      <c r="U33" s="64"/>
      <c r="V33" s="23"/>
      <c r="W33" s="64"/>
      <c r="X33" s="23"/>
      <c r="Y33" s="2"/>
      <c r="Z33" s="26"/>
      <c r="AA33" s="65" t="s">
        <v>33</v>
      </c>
      <c r="AB33" s="66">
        <v>3.0</v>
      </c>
      <c r="AC33" s="39" t="s">
        <v>18</v>
      </c>
      <c r="AD33" s="62">
        <v>8.0</v>
      </c>
      <c r="AE33" s="63"/>
      <c r="AF33" s="63"/>
      <c r="AG33" s="64"/>
      <c r="AH33" s="23"/>
      <c r="AI33" s="64"/>
      <c r="AJ33" s="23"/>
      <c r="AK33" s="2"/>
      <c r="AL33" s="26"/>
      <c r="AM33" s="65" t="s">
        <v>33</v>
      </c>
      <c r="AN33" s="66">
        <v>3.0</v>
      </c>
      <c r="AO33" s="39" t="s">
        <v>18</v>
      </c>
      <c r="AP33" s="62">
        <v>8.0</v>
      </c>
      <c r="AQ33" s="63"/>
      <c r="AR33" s="63"/>
      <c r="AS33" s="64"/>
      <c r="AT33" s="23"/>
      <c r="AU33" s="64"/>
      <c r="AV33" s="23"/>
      <c r="AW33" s="56"/>
      <c r="AX33" s="56"/>
    </row>
    <row r="34" ht="20.25" customHeight="1">
      <c r="A34" s="1"/>
      <c r="B34" s="54"/>
      <c r="C34" s="27" t="s">
        <v>34</v>
      </c>
      <c r="D34" s="62">
        <v>3.0</v>
      </c>
      <c r="E34" s="38" t="s">
        <v>35</v>
      </c>
      <c r="F34" s="62">
        <v>8.0</v>
      </c>
      <c r="G34" s="63"/>
      <c r="H34" s="63"/>
      <c r="I34" s="67" t="s">
        <v>36</v>
      </c>
      <c r="J34" s="23"/>
      <c r="K34" s="64"/>
      <c r="L34" s="23"/>
      <c r="M34" s="5"/>
      <c r="N34" s="54"/>
      <c r="O34" s="27" t="s">
        <v>34</v>
      </c>
      <c r="P34" s="62">
        <v>3.0</v>
      </c>
      <c r="Q34" s="38" t="s">
        <v>35</v>
      </c>
      <c r="R34" s="62">
        <v>8.0</v>
      </c>
      <c r="S34" s="63"/>
      <c r="T34" s="63"/>
      <c r="U34" s="67" t="s">
        <v>36</v>
      </c>
      <c r="V34" s="23"/>
      <c r="W34" s="64"/>
      <c r="X34" s="23"/>
      <c r="Y34" s="2"/>
      <c r="Z34" s="54"/>
      <c r="AA34" s="27" t="s">
        <v>34</v>
      </c>
      <c r="AB34" s="62">
        <v>3.0</v>
      </c>
      <c r="AC34" s="38" t="s">
        <v>35</v>
      </c>
      <c r="AD34" s="62">
        <v>8.0</v>
      </c>
      <c r="AE34" s="63"/>
      <c r="AF34" s="63"/>
      <c r="AG34" s="67" t="s">
        <v>36</v>
      </c>
      <c r="AH34" s="23"/>
      <c r="AI34" s="64"/>
      <c r="AJ34" s="23"/>
      <c r="AK34" s="2"/>
      <c r="AL34" s="54"/>
      <c r="AM34" s="27" t="s">
        <v>34</v>
      </c>
      <c r="AN34" s="62">
        <v>3.0</v>
      </c>
      <c r="AO34" s="38" t="s">
        <v>35</v>
      </c>
      <c r="AP34" s="62">
        <v>8.0</v>
      </c>
      <c r="AQ34" s="63"/>
      <c r="AR34" s="63"/>
      <c r="AS34" s="67" t="s">
        <v>36</v>
      </c>
      <c r="AT34" s="23"/>
      <c r="AU34" s="64"/>
      <c r="AV34" s="23"/>
      <c r="AW34" s="56"/>
      <c r="AX34" s="56"/>
    </row>
    <row r="35" ht="20.25" customHeight="1">
      <c r="A35" s="1"/>
      <c r="B35" s="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5"/>
      <c r="N35" s="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"/>
      <c r="Z35" s="1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2"/>
      <c r="AL35" s="1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48"/>
      <c r="AX35" s="48"/>
    </row>
    <row r="36" ht="20.25" customHeight="1">
      <c r="A36" s="1"/>
      <c r="B36" s="1"/>
      <c r="C36" s="68" t="s">
        <v>37</v>
      </c>
      <c r="D36" s="69"/>
      <c r="E36" s="69"/>
      <c r="F36" s="69"/>
      <c r="G36" s="69"/>
      <c r="H36" s="69"/>
      <c r="I36" s="69"/>
      <c r="J36" s="69"/>
      <c r="K36" s="69"/>
      <c r="L36" s="23"/>
      <c r="M36" s="5"/>
      <c r="N36" s="1"/>
      <c r="O36" s="68" t="s">
        <v>37</v>
      </c>
      <c r="P36" s="69"/>
      <c r="Q36" s="69"/>
      <c r="R36" s="69"/>
      <c r="S36" s="69"/>
      <c r="T36" s="69"/>
      <c r="U36" s="69"/>
      <c r="V36" s="69"/>
      <c r="W36" s="69"/>
      <c r="X36" s="23"/>
      <c r="Y36" s="70"/>
      <c r="Z36" s="1"/>
      <c r="AA36" s="68" t="s">
        <v>37</v>
      </c>
      <c r="AB36" s="69"/>
      <c r="AC36" s="69"/>
      <c r="AD36" s="69"/>
      <c r="AE36" s="69"/>
      <c r="AF36" s="69"/>
      <c r="AG36" s="69"/>
      <c r="AH36" s="69"/>
      <c r="AI36" s="69"/>
      <c r="AJ36" s="23"/>
      <c r="AK36" s="3"/>
      <c r="AL36" s="1"/>
      <c r="AM36" s="68" t="s">
        <v>37</v>
      </c>
      <c r="AN36" s="69"/>
      <c r="AO36" s="69"/>
      <c r="AP36" s="69"/>
      <c r="AQ36" s="69"/>
      <c r="AR36" s="69"/>
      <c r="AS36" s="69"/>
      <c r="AT36" s="69"/>
      <c r="AU36" s="69"/>
      <c r="AV36" s="23"/>
      <c r="AW36" s="71"/>
      <c r="AX36" s="71"/>
    </row>
    <row r="37" ht="27.0" customHeight="1">
      <c r="A37" s="4"/>
      <c r="B37" s="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47"/>
      <c r="N37" s="2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44"/>
      <c r="Z37" s="2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43"/>
      <c r="AL37" s="2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48"/>
      <c r="AX37" s="48"/>
    </row>
    <row r="38">
      <c r="A38" s="1"/>
      <c r="B38" s="16"/>
      <c r="C38" s="12" t="s">
        <v>38</v>
      </c>
      <c r="D38" s="49"/>
      <c r="E38" s="49"/>
      <c r="F38" s="1"/>
      <c r="G38" s="1"/>
      <c r="H38" s="1"/>
      <c r="I38" s="1"/>
      <c r="J38" s="1"/>
      <c r="K38" s="1"/>
      <c r="L38" s="1"/>
      <c r="M38" s="47"/>
      <c r="N38" s="16"/>
      <c r="O38" s="12" t="s">
        <v>38</v>
      </c>
      <c r="P38" s="49"/>
      <c r="Q38" s="49"/>
      <c r="R38" s="1"/>
      <c r="S38" s="1"/>
      <c r="T38" s="1"/>
      <c r="U38" s="1"/>
      <c r="V38" s="1"/>
      <c r="W38" s="1"/>
      <c r="X38" s="1"/>
      <c r="Y38" s="44"/>
      <c r="Z38" s="16"/>
      <c r="AA38" s="12" t="s">
        <v>38</v>
      </c>
      <c r="AB38" s="49"/>
      <c r="AC38" s="49"/>
      <c r="AD38" s="1"/>
      <c r="AE38" s="1"/>
      <c r="AF38" s="1"/>
      <c r="AG38" s="1"/>
      <c r="AH38" s="1"/>
      <c r="AI38" s="1"/>
      <c r="AJ38" s="1"/>
      <c r="AK38" s="43"/>
      <c r="AL38" s="16"/>
      <c r="AM38" s="12" t="s">
        <v>38</v>
      </c>
      <c r="AN38" s="49"/>
      <c r="AO38" s="49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7"/>
      <c r="B39" s="72" t="s">
        <v>39</v>
      </c>
      <c r="C39" s="21" t="s">
        <v>6</v>
      </c>
      <c r="D39" s="21" t="s">
        <v>7</v>
      </c>
      <c r="E39" s="21" t="s">
        <v>8</v>
      </c>
      <c r="F39" s="20" t="s">
        <v>9</v>
      </c>
      <c r="G39" s="21" t="s">
        <v>10</v>
      </c>
      <c r="H39" s="21" t="s">
        <v>11</v>
      </c>
      <c r="I39" s="22" t="s">
        <v>12</v>
      </c>
      <c r="J39" s="23"/>
      <c r="K39" s="22" t="s">
        <v>13</v>
      </c>
      <c r="L39" s="23"/>
      <c r="M39" s="5"/>
      <c r="N39" s="72" t="s">
        <v>39</v>
      </c>
      <c r="O39" s="21" t="s">
        <v>6</v>
      </c>
      <c r="P39" s="21" t="s">
        <v>7</v>
      </c>
      <c r="Q39" s="21" t="s">
        <v>8</v>
      </c>
      <c r="R39" s="20" t="s">
        <v>9</v>
      </c>
      <c r="S39" s="21" t="s">
        <v>10</v>
      </c>
      <c r="T39" s="21" t="s">
        <v>11</v>
      </c>
      <c r="U39" s="22" t="s">
        <v>12</v>
      </c>
      <c r="V39" s="23"/>
      <c r="W39" s="22" t="s">
        <v>13</v>
      </c>
      <c r="X39" s="23"/>
      <c r="Y39" s="44"/>
      <c r="Z39" s="72" t="s">
        <v>39</v>
      </c>
      <c r="AA39" s="21" t="s">
        <v>6</v>
      </c>
      <c r="AB39" s="21" t="s">
        <v>7</v>
      </c>
      <c r="AC39" s="21" t="s">
        <v>8</v>
      </c>
      <c r="AD39" s="20" t="s">
        <v>9</v>
      </c>
      <c r="AE39" s="21" t="s">
        <v>10</v>
      </c>
      <c r="AF39" s="21" t="s">
        <v>11</v>
      </c>
      <c r="AG39" s="22" t="s">
        <v>12</v>
      </c>
      <c r="AH39" s="23"/>
      <c r="AI39" s="22" t="s">
        <v>13</v>
      </c>
      <c r="AJ39" s="23"/>
      <c r="AK39" s="73"/>
      <c r="AL39" s="72" t="s">
        <v>39</v>
      </c>
      <c r="AM39" s="21" t="s">
        <v>6</v>
      </c>
      <c r="AN39" s="21" t="s">
        <v>7</v>
      </c>
      <c r="AO39" s="21" t="s">
        <v>8</v>
      </c>
      <c r="AP39" s="20" t="s">
        <v>9</v>
      </c>
      <c r="AQ39" s="21" t="s">
        <v>10</v>
      </c>
      <c r="AR39" s="21" t="s">
        <v>11</v>
      </c>
      <c r="AS39" s="22" t="s">
        <v>12</v>
      </c>
      <c r="AT39" s="23"/>
      <c r="AU39" s="22" t="s">
        <v>13</v>
      </c>
      <c r="AV39" s="23"/>
      <c r="AW39" s="25"/>
      <c r="AX39" s="25"/>
    </row>
    <row r="40" ht="20.25" customHeight="1">
      <c r="A40" s="56"/>
      <c r="B40" s="26"/>
      <c r="C40" s="27" t="s">
        <v>40</v>
      </c>
      <c r="D40" s="28">
        <v>1.0</v>
      </c>
      <c r="E40" s="29">
        <v>3.0</v>
      </c>
      <c r="F40" s="30">
        <v>5.0</v>
      </c>
      <c r="G40" s="32"/>
      <c r="H40" s="74"/>
      <c r="I40" s="33"/>
      <c r="J40" s="23"/>
      <c r="K40" s="33"/>
      <c r="L40" s="23"/>
      <c r="M40" s="26"/>
      <c r="N40" s="26"/>
      <c r="O40" s="27" t="s">
        <v>40</v>
      </c>
      <c r="P40" s="28">
        <v>1.0</v>
      </c>
      <c r="Q40" s="29">
        <v>3.0</v>
      </c>
      <c r="R40" s="30">
        <v>6.0</v>
      </c>
      <c r="S40" s="32"/>
      <c r="T40" s="74"/>
      <c r="U40" s="33"/>
      <c r="V40" s="23"/>
      <c r="W40" s="33"/>
      <c r="X40" s="23"/>
      <c r="Y40" s="34"/>
      <c r="Z40" s="26"/>
      <c r="AA40" s="27" t="s">
        <v>40</v>
      </c>
      <c r="AB40" s="28">
        <v>1.0</v>
      </c>
      <c r="AC40" s="29">
        <v>3.0</v>
      </c>
      <c r="AD40" s="30">
        <v>7.0</v>
      </c>
      <c r="AE40" s="32"/>
      <c r="AF40" s="74"/>
      <c r="AG40" s="33"/>
      <c r="AH40" s="23"/>
      <c r="AI40" s="33"/>
      <c r="AJ40" s="23"/>
      <c r="AK40" s="26"/>
      <c r="AL40" s="26"/>
      <c r="AM40" s="27" t="s">
        <v>40</v>
      </c>
      <c r="AN40" s="28">
        <v>1.0</v>
      </c>
      <c r="AO40" s="29">
        <v>3.0</v>
      </c>
      <c r="AP40" s="30">
        <v>7.0</v>
      </c>
      <c r="AQ40" s="32"/>
      <c r="AR40" s="74"/>
      <c r="AS40" s="33"/>
      <c r="AT40" s="23"/>
      <c r="AU40" s="33"/>
      <c r="AV40" s="23"/>
      <c r="AW40" s="34"/>
      <c r="AX40" s="34"/>
    </row>
    <row r="41" ht="20.25" customHeight="1">
      <c r="A41" s="56"/>
      <c r="B41" s="26"/>
      <c r="C41" s="36" t="s">
        <v>40</v>
      </c>
      <c r="D41" s="30">
        <v>2.0</v>
      </c>
      <c r="E41" s="29">
        <v>5.0</v>
      </c>
      <c r="F41" s="35">
        <v>-0.1</v>
      </c>
      <c r="G41" s="32"/>
      <c r="H41" s="32"/>
      <c r="I41" s="33"/>
      <c r="J41" s="23"/>
      <c r="K41" s="33"/>
      <c r="L41" s="23"/>
      <c r="M41" s="26"/>
      <c r="N41" s="26"/>
      <c r="O41" s="36" t="s">
        <v>40</v>
      </c>
      <c r="P41" s="30">
        <v>2.0</v>
      </c>
      <c r="Q41" s="29">
        <v>5.0</v>
      </c>
      <c r="R41" s="35">
        <v>-0.1</v>
      </c>
      <c r="S41" s="32"/>
      <c r="T41" s="32"/>
      <c r="U41" s="33"/>
      <c r="V41" s="23"/>
      <c r="W41" s="33"/>
      <c r="X41" s="23"/>
      <c r="Y41" s="34"/>
      <c r="Z41" s="26"/>
      <c r="AA41" s="36" t="s">
        <v>40</v>
      </c>
      <c r="AB41" s="30">
        <v>2.0</v>
      </c>
      <c r="AC41" s="29">
        <v>5.0</v>
      </c>
      <c r="AD41" s="35">
        <v>-0.1</v>
      </c>
      <c r="AE41" s="32"/>
      <c r="AF41" s="32"/>
      <c r="AG41" s="33"/>
      <c r="AH41" s="23"/>
      <c r="AI41" s="33"/>
      <c r="AJ41" s="23"/>
      <c r="AK41" s="26"/>
      <c r="AL41" s="26"/>
      <c r="AM41" s="36" t="s">
        <v>40</v>
      </c>
      <c r="AN41" s="30">
        <v>2.0</v>
      </c>
      <c r="AO41" s="29">
        <v>5.0</v>
      </c>
      <c r="AP41" s="35">
        <v>-0.1</v>
      </c>
      <c r="AQ41" s="32"/>
      <c r="AR41" s="32"/>
      <c r="AS41" s="33"/>
      <c r="AT41" s="23"/>
      <c r="AU41" s="33"/>
      <c r="AV41" s="23"/>
      <c r="AW41" s="34"/>
      <c r="AX41" s="34"/>
    </row>
    <row r="42" ht="20.25" customHeight="1">
      <c r="A42" s="75"/>
      <c r="B42" s="1"/>
      <c r="C42" s="27" t="s">
        <v>41</v>
      </c>
      <c r="D42" s="38">
        <v>3.0</v>
      </c>
      <c r="E42" s="39">
        <v>8.0</v>
      </c>
      <c r="F42" s="38">
        <v>8.0</v>
      </c>
      <c r="G42" s="40"/>
      <c r="H42" s="46"/>
      <c r="I42" s="42"/>
      <c r="J42" s="23"/>
      <c r="K42" s="42"/>
      <c r="L42" s="23"/>
      <c r="M42" s="5"/>
      <c r="N42" s="1"/>
      <c r="O42" s="27" t="s">
        <v>41</v>
      </c>
      <c r="P42" s="38">
        <v>3.0</v>
      </c>
      <c r="Q42" s="39">
        <v>8.0</v>
      </c>
      <c r="R42" s="38">
        <v>8.0</v>
      </c>
      <c r="S42" s="40"/>
      <c r="T42" s="46"/>
      <c r="U42" s="42"/>
      <c r="V42" s="23"/>
      <c r="W42" s="42"/>
      <c r="X42" s="23"/>
      <c r="Y42" s="24"/>
      <c r="Z42" s="1"/>
      <c r="AA42" s="27" t="s">
        <v>41</v>
      </c>
      <c r="AB42" s="38">
        <v>3.0</v>
      </c>
      <c r="AC42" s="39">
        <v>8.0</v>
      </c>
      <c r="AD42" s="38">
        <v>8.0</v>
      </c>
      <c r="AE42" s="40"/>
      <c r="AF42" s="46"/>
      <c r="AG42" s="42"/>
      <c r="AH42" s="23"/>
      <c r="AI42" s="42"/>
      <c r="AJ42" s="23"/>
      <c r="AK42" s="76"/>
      <c r="AL42" s="1"/>
      <c r="AM42" s="27" t="s">
        <v>41</v>
      </c>
      <c r="AN42" s="38">
        <v>3.0</v>
      </c>
      <c r="AO42" s="39">
        <v>8.0</v>
      </c>
      <c r="AP42" s="38">
        <v>8.0</v>
      </c>
      <c r="AQ42" s="40"/>
      <c r="AR42" s="46"/>
      <c r="AS42" s="42"/>
      <c r="AT42" s="23"/>
      <c r="AU42" s="42"/>
      <c r="AV42" s="23"/>
      <c r="AW42" s="44"/>
      <c r="AX42" s="44"/>
    </row>
    <row r="43" ht="20.25" customHeight="1">
      <c r="A43" s="1"/>
      <c r="B43" s="1"/>
      <c r="C43" s="36" t="s">
        <v>42</v>
      </c>
      <c r="D43" s="38">
        <v>3.0</v>
      </c>
      <c r="E43" s="39" t="s">
        <v>18</v>
      </c>
      <c r="F43" s="38">
        <v>8.0</v>
      </c>
      <c r="G43" s="46"/>
      <c r="H43" s="52"/>
      <c r="I43" s="42"/>
      <c r="J43" s="23"/>
      <c r="K43" s="42"/>
      <c r="L43" s="23"/>
      <c r="M43" s="47"/>
      <c r="N43" s="1"/>
      <c r="O43" s="36" t="s">
        <v>42</v>
      </c>
      <c r="P43" s="38">
        <v>3.0</v>
      </c>
      <c r="Q43" s="39" t="s">
        <v>18</v>
      </c>
      <c r="R43" s="38">
        <v>8.0</v>
      </c>
      <c r="S43" s="46"/>
      <c r="T43" s="52"/>
      <c r="U43" s="42"/>
      <c r="V43" s="23"/>
      <c r="W43" s="42"/>
      <c r="X43" s="23"/>
      <c r="Y43" s="1"/>
      <c r="Z43" s="1"/>
      <c r="AA43" s="36" t="s">
        <v>42</v>
      </c>
      <c r="AB43" s="38">
        <v>3.0</v>
      </c>
      <c r="AC43" s="39" t="s">
        <v>18</v>
      </c>
      <c r="AD43" s="38">
        <v>8.0</v>
      </c>
      <c r="AE43" s="46"/>
      <c r="AF43" s="52"/>
      <c r="AG43" s="42"/>
      <c r="AH43" s="23"/>
      <c r="AI43" s="42"/>
      <c r="AJ43" s="23"/>
      <c r="AK43" s="43"/>
      <c r="AL43" s="1"/>
      <c r="AM43" s="36" t="s">
        <v>42</v>
      </c>
      <c r="AN43" s="38">
        <v>3.0</v>
      </c>
      <c r="AO43" s="39" t="s">
        <v>18</v>
      </c>
      <c r="AP43" s="38">
        <v>8.0</v>
      </c>
      <c r="AQ43" s="46"/>
      <c r="AR43" s="52"/>
      <c r="AS43" s="42"/>
      <c r="AT43" s="23"/>
      <c r="AU43" s="42"/>
      <c r="AV43" s="23"/>
      <c r="AW43" s="44"/>
      <c r="AX43" s="44"/>
    </row>
    <row r="44" ht="20.25" customHeight="1">
      <c r="A44" s="1"/>
      <c r="B44" s="1"/>
      <c r="C44" s="27" t="s">
        <v>43</v>
      </c>
      <c r="D44" s="77">
        <v>2.0</v>
      </c>
      <c r="E44" s="39" t="s">
        <v>18</v>
      </c>
      <c r="F44" s="38">
        <v>8.0</v>
      </c>
      <c r="G44" s="46"/>
      <c r="H44" s="46"/>
      <c r="I44" s="42"/>
      <c r="J44" s="23"/>
      <c r="K44" s="42"/>
      <c r="L44" s="23"/>
      <c r="M44" s="5"/>
      <c r="N44" s="1"/>
      <c r="O44" s="27" t="s">
        <v>43</v>
      </c>
      <c r="P44" s="77">
        <v>2.0</v>
      </c>
      <c r="Q44" s="39" t="s">
        <v>18</v>
      </c>
      <c r="R44" s="38">
        <v>8.0</v>
      </c>
      <c r="S44" s="46"/>
      <c r="T44" s="46"/>
      <c r="U44" s="42"/>
      <c r="V44" s="23"/>
      <c r="W44" s="42"/>
      <c r="X44" s="23"/>
      <c r="Y44" s="2"/>
      <c r="Z44" s="1"/>
      <c r="AA44" s="27" t="s">
        <v>43</v>
      </c>
      <c r="AB44" s="77">
        <v>2.0</v>
      </c>
      <c r="AC44" s="39" t="s">
        <v>18</v>
      </c>
      <c r="AD44" s="38">
        <v>8.0</v>
      </c>
      <c r="AE44" s="46"/>
      <c r="AF44" s="46"/>
      <c r="AG44" s="42"/>
      <c r="AH44" s="23"/>
      <c r="AI44" s="42"/>
      <c r="AJ44" s="23"/>
      <c r="AK44" s="2"/>
      <c r="AL44" s="1"/>
      <c r="AM44" s="27" t="s">
        <v>43</v>
      </c>
      <c r="AN44" s="77">
        <v>2.0</v>
      </c>
      <c r="AO44" s="39" t="s">
        <v>18</v>
      </c>
      <c r="AP44" s="38">
        <v>8.0</v>
      </c>
      <c r="AQ44" s="46"/>
      <c r="AR44" s="46"/>
      <c r="AS44" s="42"/>
      <c r="AT44" s="23"/>
      <c r="AU44" s="42"/>
      <c r="AV44" s="23"/>
      <c r="AW44" s="44"/>
      <c r="AX44" s="44"/>
    </row>
    <row r="45" ht="20.25" customHeight="1">
      <c r="A45" s="1"/>
      <c r="B45" s="16"/>
      <c r="C45" s="27" t="s">
        <v>44</v>
      </c>
      <c r="D45" s="37">
        <v>3.0</v>
      </c>
      <c r="E45" s="38" t="s">
        <v>35</v>
      </c>
      <c r="F45" s="38">
        <v>8.0</v>
      </c>
      <c r="G45" s="46"/>
      <c r="H45" s="46"/>
      <c r="I45" s="42"/>
      <c r="J45" s="23"/>
      <c r="K45" s="42"/>
      <c r="L45" s="23"/>
      <c r="M45" s="5"/>
      <c r="N45" s="16"/>
      <c r="O45" s="27" t="s">
        <v>44</v>
      </c>
      <c r="P45" s="37">
        <v>3.0</v>
      </c>
      <c r="Q45" s="38" t="s">
        <v>35</v>
      </c>
      <c r="R45" s="38">
        <v>8.0</v>
      </c>
      <c r="S45" s="46"/>
      <c r="T45" s="46"/>
      <c r="U45" s="42"/>
      <c r="V45" s="23"/>
      <c r="W45" s="42"/>
      <c r="X45" s="23"/>
      <c r="Y45" s="70"/>
      <c r="Z45" s="16"/>
      <c r="AA45" s="27" t="s">
        <v>44</v>
      </c>
      <c r="AB45" s="37">
        <v>3.0</v>
      </c>
      <c r="AC45" s="38" t="s">
        <v>35</v>
      </c>
      <c r="AD45" s="38">
        <v>8.0</v>
      </c>
      <c r="AE45" s="46"/>
      <c r="AF45" s="46"/>
      <c r="AG45" s="42"/>
      <c r="AH45" s="23"/>
      <c r="AI45" s="42"/>
      <c r="AJ45" s="23"/>
      <c r="AK45" s="3"/>
      <c r="AL45" s="16"/>
      <c r="AM45" s="27" t="s">
        <v>44</v>
      </c>
      <c r="AN45" s="37">
        <v>3.0</v>
      </c>
      <c r="AO45" s="38" t="s">
        <v>35</v>
      </c>
      <c r="AP45" s="38">
        <v>8.0</v>
      </c>
      <c r="AQ45" s="46"/>
      <c r="AR45" s="46"/>
      <c r="AS45" s="42"/>
      <c r="AT45" s="23"/>
      <c r="AU45" s="42"/>
      <c r="AV45" s="23"/>
      <c r="AW45" s="44"/>
      <c r="AX45" s="44"/>
    </row>
    <row r="46" ht="20.25" customHeight="1">
      <c r="A46" s="1"/>
      <c r="B46" s="2"/>
      <c r="C46" s="2"/>
      <c r="D46" s="3"/>
      <c r="E46" s="3"/>
      <c r="F46" s="2"/>
      <c r="G46" s="4"/>
      <c r="H46" s="1"/>
      <c r="I46" s="1"/>
      <c r="J46" s="1"/>
      <c r="K46" s="1"/>
      <c r="L46" s="1"/>
      <c r="M46" s="5"/>
      <c r="N46" s="2"/>
      <c r="O46" s="2"/>
      <c r="P46" s="3"/>
      <c r="Q46" s="3"/>
      <c r="R46" s="2"/>
      <c r="S46" s="4"/>
      <c r="T46" s="1"/>
      <c r="U46" s="1"/>
      <c r="V46" s="1"/>
      <c r="W46" s="1"/>
      <c r="X46" s="1"/>
      <c r="Y46" s="2"/>
      <c r="Z46" s="2"/>
      <c r="AA46" s="2"/>
      <c r="AB46" s="3"/>
      <c r="AC46" s="3"/>
      <c r="AD46" s="2"/>
      <c r="AE46" s="4"/>
      <c r="AF46" s="1"/>
      <c r="AG46" s="1"/>
      <c r="AH46" s="1"/>
      <c r="AI46" s="1"/>
      <c r="AJ46" s="1"/>
      <c r="AK46" s="2"/>
      <c r="AL46" s="2"/>
      <c r="AM46" s="2"/>
      <c r="AN46" s="3"/>
      <c r="AO46" s="3"/>
      <c r="AP46" s="2"/>
      <c r="AQ46" s="4"/>
      <c r="AR46" s="1"/>
      <c r="AS46" s="1"/>
      <c r="AT46" s="1"/>
      <c r="AU46" s="1"/>
      <c r="AV46" s="1"/>
      <c r="AW46" s="1"/>
      <c r="AX46" s="1"/>
    </row>
    <row r="47" ht="20.25" customHeight="1">
      <c r="A47" s="1"/>
      <c r="B47" s="16"/>
      <c r="C47" s="12" t="s">
        <v>45</v>
      </c>
      <c r="D47" s="49"/>
      <c r="E47" s="49"/>
      <c r="F47" s="1"/>
      <c r="G47" s="1"/>
      <c r="H47" s="1"/>
      <c r="I47" s="1"/>
      <c r="J47" s="1"/>
      <c r="K47" s="1"/>
      <c r="L47" s="1"/>
      <c r="M47" s="5"/>
      <c r="N47" s="16"/>
      <c r="O47" s="12" t="s">
        <v>45</v>
      </c>
      <c r="P47" s="49"/>
      <c r="Q47" s="49"/>
      <c r="R47" s="1"/>
      <c r="S47" s="1"/>
      <c r="T47" s="1"/>
      <c r="U47" s="1"/>
      <c r="V47" s="1"/>
      <c r="W47" s="1"/>
      <c r="X47" s="1"/>
      <c r="Y47" s="2"/>
      <c r="Z47" s="16"/>
      <c r="AA47" s="12" t="s">
        <v>45</v>
      </c>
      <c r="AB47" s="49"/>
      <c r="AC47" s="49"/>
      <c r="AD47" s="1"/>
      <c r="AE47" s="1"/>
      <c r="AF47" s="1"/>
      <c r="AG47" s="1"/>
      <c r="AH47" s="1"/>
      <c r="AI47" s="1"/>
      <c r="AJ47" s="1"/>
      <c r="AK47" s="2"/>
      <c r="AL47" s="16"/>
      <c r="AM47" s="12" t="s">
        <v>45</v>
      </c>
      <c r="AN47" s="49"/>
      <c r="AO47" s="49"/>
      <c r="AP47" s="1"/>
      <c r="AQ47" s="1"/>
      <c r="AR47" s="1"/>
      <c r="AS47" s="1"/>
      <c r="AT47" s="1"/>
      <c r="AU47" s="1"/>
      <c r="AV47" s="1"/>
      <c r="AW47" s="1"/>
      <c r="AX47" s="1"/>
    </row>
    <row r="48" ht="20.25" customHeight="1">
      <c r="A48" s="1"/>
      <c r="B48" s="72" t="s">
        <v>46</v>
      </c>
      <c r="C48" s="21" t="s">
        <v>6</v>
      </c>
      <c r="D48" s="21" t="s">
        <v>7</v>
      </c>
      <c r="E48" s="21" t="s">
        <v>8</v>
      </c>
      <c r="F48" s="20" t="s">
        <v>9</v>
      </c>
      <c r="G48" s="21" t="s">
        <v>10</v>
      </c>
      <c r="H48" s="21" t="s">
        <v>11</v>
      </c>
      <c r="I48" s="22" t="s">
        <v>12</v>
      </c>
      <c r="J48" s="23"/>
      <c r="K48" s="22" t="s">
        <v>13</v>
      </c>
      <c r="L48" s="23"/>
      <c r="M48" s="5"/>
      <c r="N48" s="72" t="s">
        <v>46</v>
      </c>
      <c r="O48" s="21" t="s">
        <v>6</v>
      </c>
      <c r="P48" s="21" t="s">
        <v>7</v>
      </c>
      <c r="Q48" s="21" t="s">
        <v>8</v>
      </c>
      <c r="R48" s="20" t="s">
        <v>9</v>
      </c>
      <c r="S48" s="21" t="s">
        <v>10</v>
      </c>
      <c r="T48" s="21" t="s">
        <v>11</v>
      </c>
      <c r="U48" s="22" t="s">
        <v>12</v>
      </c>
      <c r="V48" s="23"/>
      <c r="W48" s="22" t="s">
        <v>13</v>
      </c>
      <c r="X48" s="23"/>
      <c r="Y48" s="2"/>
      <c r="Z48" s="72" t="s">
        <v>46</v>
      </c>
      <c r="AA48" s="21" t="s">
        <v>6</v>
      </c>
      <c r="AB48" s="21" t="s">
        <v>7</v>
      </c>
      <c r="AC48" s="21" t="s">
        <v>8</v>
      </c>
      <c r="AD48" s="20" t="s">
        <v>9</v>
      </c>
      <c r="AE48" s="21" t="s">
        <v>10</v>
      </c>
      <c r="AF48" s="21" t="s">
        <v>11</v>
      </c>
      <c r="AG48" s="22" t="s">
        <v>12</v>
      </c>
      <c r="AH48" s="23"/>
      <c r="AI48" s="22" t="s">
        <v>13</v>
      </c>
      <c r="AJ48" s="23"/>
      <c r="AK48" s="2"/>
      <c r="AL48" s="72" t="s">
        <v>46</v>
      </c>
      <c r="AM48" s="21" t="s">
        <v>6</v>
      </c>
      <c r="AN48" s="21" t="s">
        <v>7</v>
      </c>
      <c r="AO48" s="21" t="s">
        <v>8</v>
      </c>
      <c r="AP48" s="20" t="s">
        <v>9</v>
      </c>
      <c r="AQ48" s="21" t="s">
        <v>10</v>
      </c>
      <c r="AR48" s="21" t="s">
        <v>11</v>
      </c>
      <c r="AS48" s="22" t="s">
        <v>12</v>
      </c>
      <c r="AT48" s="23"/>
      <c r="AU48" s="22" t="s">
        <v>13</v>
      </c>
      <c r="AV48" s="23"/>
      <c r="AW48" s="25"/>
      <c r="AX48" s="25"/>
    </row>
    <row r="49" ht="20.25" customHeight="1">
      <c r="A49" s="1"/>
      <c r="B49" s="26"/>
      <c r="C49" s="53" t="s">
        <v>47</v>
      </c>
      <c r="D49" s="62">
        <v>3.0</v>
      </c>
      <c r="E49" s="30">
        <v>8.0</v>
      </c>
      <c r="F49" s="62">
        <v>8.0</v>
      </c>
      <c r="G49" s="63"/>
      <c r="H49" s="63"/>
      <c r="I49" s="64"/>
      <c r="J49" s="23"/>
      <c r="K49" s="64"/>
      <c r="L49" s="23"/>
      <c r="M49" s="5"/>
      <c r="N49" s="26"/>
      <c r="O49" s="53" t="s">
        <v>47</v>
      </c>
      <c r="P49" s="62">
        <v>3.0</v>
      </c>
      <c r="Q49" s="30">
        <v>8.0</v>
      </c>
      <c r="R49" s="62">
        <v>8.0</v>
      </c>
      <c r="S49" s="63"/>
      <c r="T49" s="63"/>
      <c r="U49" s="64"/>
      <c r="V49" s="23"/>
      <c r="W49" s="64"/>
      <c r="X49" s="23"/>
      <c r="Y49" s="2"/>
      <c r="Z49" s="26"/>
      <c r="AA49" s="53" t="s">
        <v>47</v>
      </c>
      <c r="AB49" s="62">
        <v>3.0</v>
      </c>
      <c r="AC49" s="30">
        <v>8.0</v>
      </c>
      <c r="AD49" s="62">
        <v>8.0</v>
      </c>
      <c r="AE49" s="63"/>
      <c r="AF49" s="63"/>
      <c r="AG49" s="64"/>
      <c r="AH49" s="23"/>
      <c r="AI49" s="64"/>
      <c r="AJ49" s="23"/>
      <c r="AK49" s="2"/>
      <c r="AL49" s="26"/>
      <c r="AM49" s="53" t="s">
        <v>47</v>
      </c>
      <c r="AN49" s="62">
        <v>3.0</v>
      </c>
      <c r="AO49" s="30">
        <v>8.0</v>
      </c>
      <c r="AP49" s="62">
        <v>8.0</v>
      </c>
      <c r="AQ49" s="63"/>
      <c r="AR49" s="63"/>
      <c r="AS49" s="64"/>
      <c r="AT49" s="23"/>
      <c r="AU49" s="64"/>
      <c r="AV49" s="23"/>
      <c r="AW49" s="56"/>
      <c r="AX49" s="56"/>
    </row>
    <row r="50" ht="20.25" customHeight="1">
      <c r="A50" s="1"/>
      <c r="B50" s="1"/>
      <c r="C50" s="53" t="s">
        <v>48</v>
      </c>
      <c r="D50" s="38">
        <v>2.0</v>
      </c>
      <c r="E50" s="38">
        <v>8.0</v>
      </c>
      <c r="F50" s="38">
        <v>8.0</v>
      </c>
      <c r="G50" s="46"/>
      <c r="H50" s="46"/>
      <c r="I50" s="42"/>
      <c r="J50" s="23"/>
      <c r="K50" s="42"/>
      <c r="L50" s="23"/>
      <c r="M50" s="5"/>
      <c r="N50" s="1"/>
      <c r="O50" s="53" t="s">
        <v>48</v>
      </c>
      <c r="P50" s="38">
        <v>2.0</v>
      </c>
      <c r="Q50" s="38">
        <v>8.0</v>
      </c>
      <c r="R50" s="38">
        <v>8.0</v>
      </c>
      <c r="S50" s="46"/>
      <c r="T50" s="46"/>
      <c r="U50" s="42"/>
      <c r="V50" s="23"/>
      <c r="W50" s="42"/>
      <c r="X50" s="23"/>
      <c r="Y50" s="2"/>
      <c r="Z50" s="1"/>
      <c r="AA50" s="53" t="s">
        <v>48</v>
      </c>
      <c r="AB50" s="38">
        <v>2.0</v>
      </c>
      <c r="AC50" s="38">
        <v>8.0</v>
      </c>
      <c r="AD50" s="38">
        <v>8.0</v>
      </c>
      <c r="AE50" s="46"/>
      <c r="AF50" s="46"/>
      <c r="AG50" s="42"/>
      <c r="AH50" s="23"/>
      <c r="AI50" s="42"/>
      <c r="AJ50" s="23"/>
      <c r="AK50" s="2"/>
      <c r="AL50" s="1"/>
      <c r="AM50" s="53" t="s">
        <v>48</v>
      </c>
      <c r="AN50" s="38">
        <v>2.0</v>
      </c>
      <c r="AO50" s="38">
        <v>8.0</v>
      </c>
      <c r="AP50" s="38">
        <v>8.0</v>
      </c>
      <c r="AQ50" s="46"/>
      <c r="AR50" s="46"/>
      <c r="AS50" s="42"/>
      <c r="AT50" s="23"/>
      <c r="AU50" s="42"/>
      <c r="AV50" s="23"/>
      <c r="AW50" s="44"/>
      <c r="AX50" s="44"/>
    </row>
    <row r="51" ht="20.25" customHeight="1">
      <c r="A51" s="1"/>
      <c r="B51" s="1"/>
      <c r="C51" s="53" t="s">
        <v>49</v>
      </c>
      <c r="D51" s="38">
        <v>3.0</v>
      </c>
      <c r="E51" s="39" t="s">
        <v>18</v>
      </c>
      <c r="F51" s="38">
        <v>8.0</v>
      </c>
      <c r="G51" s="46"/>
      <c r="H51" s="52"/>
      <c r="I51" s="42"/>
      <c r="J51" s="23"/>
      <c r="K51" s="42"/>
      <c r="L51" s="23"/>
      <c r="M51" s="47"/>
      <c r="N51" s="1"/>
      <c r="O51" s="53" t="s">
        <v>49</v>
      </c>
      <c r="P51" s="38">
        <v>3.0</v>
      </c>
      <c r="Q51" s="39" t="s">
        <v>18</v>
      </c>
      <c r="R51" s="38">
        <v>8.0</v>
      </c>
      <c r="S51" s="46"/>
      <c r="T51" s="52"/>
      <c r="U51" s="42"/>
      <c r="V51" s="23"/>
      <c r="W51" s="42"/>
      <c r="X51" s="23"/>
      <c r="Y51" s="1"/>
      <c r="Z51" s="1"/>
      <c r="AA51" s="53" t="s">
        <v>49</v>
      </c>
      <c r="AB51" s="38">
        <v>3.0</v>
      </c>
      <c r="AC51" s="39" t="s">
        <v>18</v>
      </c>
      <c r="AD51" s="38">
        <v>8.0</v>
      </c>
      <c r="AE51" s="46"/>
      <c r="AF51" s="52"/>
      <c r="AG51" s="42"/>
      <c r="AH51" s="23"/>
      <c r="AI51" s="42"/>
      <c r="AJ51" s="23"/>
      <c r="AK51" s="43"/>
      <c r="AL51" s="1"/>
      <c r="AM51" s="53" t="s">
        <v>49</v>
      </c>
      <c r="AN51" s="38">
        <v>3.0</v>
      </c>
      <c r="AO51" s="39" t="s">
        <v>18</v>
      </c>
      <c r="AP51" s="38">
        <v>8.0</v>
      </c>
      <c r="AQ51" s="46"/>
      <c r="AR51" s="52"/>
      <c r="AS51" s="42"/>
      <c r="AT51" s="23"/>
      <c r="AU51" s="42"/>
      <c r="AV51" s="23"/>
      <c r="AW51" s="44"/>
      <c r="AX51" s="44"/>
    </row>
    <row r="52" ht="20.25" customHeight="1">
      <c r="A52" s="1"/>
      <c r="B52" s="1"/>
      <c r="C52" s="53" t="s">
        <v>50</v>
      </c>
      <c r="D52" s="38">
        <v>3.0</v>
      </c>
      <c r="E52" s="39" t="s">
        <v>18</v>
      </c>
      <c r="F52" s="38">
        <v>8.0</v>
      </c>
      <c r="G52" s="46"/>
      <c r="H52" s="52"/>
      <c r="I52" s="42"/>
      <c r="J52" s="23"/>
      <c r="K52" s="42"/>
      <c r="L52" s="23"/>
      <c r="M52" s="5"/>
      <c r="N52" s="1"/>
      <c r="O52" s="53" t="s">
        <v>50</v>
      </c>
      <c r="P52" s="38">
        <v>3.0</v>
      </c>
      <c r="Q52" s="39" t="s">
        <v>18</v>
      </c>
      <c r="R52" s="38">
        <v>8.0</v>
      </c>
      <c r="S52" s="46"/>
      <c r="T52" s="52"/>
      <c r="U52" s="42"/>
      <c r="V52" s="23"/>
      <c r="W52" s="42"/>
      <c r="X52" s="23"/>
      <c r="Y52" s="2"/>
      <c r="Z52" s="1"/>
      <c r="AA52" s="53" t="s">
        <v>50</v>
      </c>
      <c r="AB52" s="38">
        <v>3.0</v>
      </c>
      <c r="AC52" s="39" t="s">
        <v>18</v>
      </c>
      <c r="AD52" s="38">
        <v>8.0</v>
      </c>
      <c r="AE52" s="46"/>
      <c r="AF52" s="52"/>
      <c r="AG52" s="42"/>
      <c r="AH52" s="23"/>
      <c r="AI52" s="42"/>
      <c r="AJ52" s="23"/>
      <c r="AK52" s="2"/>
      <c r="AL52" s="1"/>
      <c r="AM52" s="53" t="s">
        <v>50</v>
      </c>
      <c r="AN52" s="38">
        <v>3.0</v>
      </c>
      <c r="AO52" s="39" t="s">
        <v>18</v>
      </c>
      <c r="AP52" s="38">
        <v>8.0</v>
      </c>
      <c r="AQ52" s="46"/>
      <c r="AR52" s="52"/>
      <c r="AS52" s="42"/>
      <c r="AT52" s="23"/>
      <c r="AU52" s="42"/>
      <c r="AV52" s="23"/>
      <c r="AW52" s="44"/>
      <c r="AX52" s="44"/>
    </row>
    <row r="53" ht="20.25" customHeight="1">
      <c r="A53" s="1"/>
      <c r="B53" s="16"/>
      <c r="C53" s="53" t="s">
        <v>51</v>
      </c>
      <c r="D53" s="37">
        <v>3.0</v>
      </c>
      <c r="E53" s="39" t="s">
        <v>18</v>
      </c>
      <c r="F53" s="38">
        <v>8.0</v>
      </c>
      <c r="G53" s="46"/>
      <c r="H53" s="46"/>
      <c r="I53" s="42"/>
      <c r="J53" s="23"/>
      <c r="K53" s="42"/>
      <c r="L53" s="23"/>
      <c r="M53" s="5"/>
      <c r="N53" s="16"/>
      <c r="O53" s="53" t="s">
        <v>51</v>
      </c>
      <c r="P53" s="37">
        <v>3.0</v>
      </c>
      <c r="Q53" s="39" t="s">
        <v>18</v>
      </c>
      <c r="R53" s="38">
        <v>8.0</v>
      </c>
      <c r="S53" s="46"/>
      <c r="T53" s="46"/>
      <c r="U53" s="42"/>
      <c r="V53" s="23"/>
      <c r="W53" s="42"/>
      <c r="X53" s="23"/>
      <c r="Y53" s="2"/>
      <c r="Z53" s="16"/>
      <c r="AA53" s="53" t="s">
        <v>51</v>
      </c>
      <c r="AB53" s="37">
        <v>3.0</v>
      </c>
      <c r="AC53" s="39" t="s">
        <v>18</v>
      </c>
      <c r="AD53" s="38">
        <v>8.0</v>
      </c>
      <c r="AE53" s="46"/>
      <c r="AF53" s="46"/>
      <c r="AG53" s="42"/>
      <c r="AH53" s="23"/>
      <c r="AI53" s="42"/>
      <c r="AJ53" s="23"/>
      <c r="AK53" s="2"/>
      <c r="AL53" s="16"/>
      <c r="AM53" s="53" t="s">
        <v>51</v>
      </c>
      <c r="AN53" s="37">
        <v>3.0</v>
      </c>
      <c r="AO53" s="39" t="s">
        <v>18</v>
      </c>
      <c r="AP53" s="38">
        <v>8.0</v>
      </c>
      <c r="AQ53" s="46"/>
      <c r="AR53" s="46"/>
      <c r="AS53" s="42"/>
      <c r="AT53" s="23"/>
      <c r="AU53" s="42"/>
      <c r="AV53" s="23"/>
      <c r="AW53" s="44"/>
      <c r="AX53" s="44"/>
    </row>
    <row r="54" ht="20.25" customHeight="1">
      <c r="A54" s="1"/>
      <c r="B54" s="1"/>
      <c r="C54" s="53" t="s">
        <v>52</v>
      </c>
      <c r="D54" s="78">
        <v>3.0</v>
      </c>
      <c r="E54" s="39" t="s">
        <v>18</v>
      </c>
      <c r="F54" s="38">
        <v>8.0</v>
      </c>
      <c r="G54" s="46"/>
      <c r="H54" s="46"/>
      <c r="I54" s="42"/>
      <c r="J54" s="23"/>
      <c r="K54" s="42"/>
      <c r="L54" s="23"/>
      <c r="M54" s="5"/>
      <c r="N54" s="1"/>
      <c r="O54" s="53" t="s">
        <v>53</v>
      </c>
      <c r="P54" s="78">
        <v>3.0</v>
      </c>
      <c r="Q54" s="39" t="s">
        <v>18</v>
      </c>
      <c r="R54" s="38">
        <v>8.0</v>
      </c>
      <c r="S54" s="46"/>
      <c r="T54" s="46"/>
      <c r="U54" s="42"/>
      <c r="V54" s="23"/>
      <c r="W54" s="42"/>
      <c r="X54" s="23"/>
      <c r="Y54" s="2"/>
      <c r="Z54" s="1"/>
      <c r="AA54" s="53" t="s">
        <v>54</v>
      </c>
      <c r="AB54" s="78">
        <v>3.0</v>
      </c>
      <c r="AC54" s="39" t="s">
        <v>18</v>
      </c>
      <c r="AD54" s="38">
        <v>8.0</v>
      </c>
      <c r="AE54" s="46"/>
      <c r="AF54" s="46"/>
      <c r="AG54" s="42"/>
      <c r="AH54" s="23"/>
      <c r="AI54" s="42"/>
      <c r="AJ54" s="23"/>
      <c r="AK54" s="2"/>
      <c r="AL54" s="1"/>
      <c r="AM54" s="53" t="s">
        <v>55</v>
      </c>
      <c r="AN54" s="78">
        <v>3.0</v>
      </c>
      <c r="AO54" s="39" t="s">
        <v>18</v>
      </c>
      <c r="AP54" s="38">
        <v>8.0</v>
      </c>
      <c r="AQ54" s="46"/>
      <c r="AR54" s="46"/>
      <c r="AS54" s="42"/>
      <c r="AT54" s="23"/>
      <c r="AU54" s="42"/>
      <c r="AV54" s="23"/>
      <c r="AW54" s="44"/>
      <c r="AX54" s="44"/>
    </row>
    <row r="55" ht="20.25" customHeight="1">
      <c r="A55" s="1"/>
      <c r="B55" s="16"/>
      <c r="C55" s="16"/>
      <c r="D55" s="16"/>
      <c r="E55" s="16"/>
      <c r="F55" s="16"/>
      <c r="G55" s="16"/>
      <c r="H55" s="16"/>
      <c r="I55" s="16"/>
      <c r="K55" s="16"/>
      <c r="M55" s="5"/>
      <c r="N55" s="16"/>
      <c r="O55" s="16"/>
      <c r="P55" s="16"/>
      <c r="Q55" s="16"/>
      <c r="R55" s="16"/>
      <c r="S55" s="16"/>
      <c r="T55" s="16"/>
      <c r="U55" s="16"/>
      <c r="W55" s="16"/>
      <c r="Y55" s="2"/>
      <c r="Z55" s="16"/>
      <c r="AA55" s="16"/>
      <c r="AB55" s="16"/>
      <c r="AC55" s="16"/>
      <c r="AD55" s="16"/>
      <c r="AE55" s="16"/>
      <c r="AF55" s="16"/>
      <c r="AG55" s="16"/>
      <c r="AI55" s="16"/>
      <c r="AK55" s="2"/>
      <c r="AL55" s="16"/>
      <c r="AM55" s="16"/>
      <c r="AN55" s="16"/>
      <c r="AO55" s="16"/>
      <c r="AP55" s="16"/>
      <c r="AQ55" s="16"/>
      <c r="AR55" s="16"/>
      <c r="AS55" s="16"/>
      <c r="AU55" s="16"/>
      <c r="AW55" s="48"/>
      <c r="AX55" s="48"/>
    </row>
    <row r="56" ht="20.25" customHeight="1">
      <c r="A56" s="1"/>
      <c r="B56" s="16"/>
      <c r="C56" s="68" t="s">
        <v>37</v>
      </c>
      <c r="D56" s="69"/>
      <c r="E56" s="69"/>
      <c r="F56" s="69"/>
      <c r="G56" s="69"/>
      <c r="H56" s="69"/>
      <c r="I56" s="69"/>
      <c r="J56" s="69"/>
      <c r="K56" s="69"/>
      <c r="L56" s="23"/>
      <c r="M56" s="5"/>
      <c r="N56" s="16"/>
      <c r="O56" s="68" t="s">
        <v>37</v>
      </c>
      <c r="P56" s="69"/>
      <c r="Q56" s="69"/>
      <c r="R56" s="69"/>
      <c r="S56" s="69"/>
      <c r="T56" s="69"/>
      <c r="U56" s="69"/>
      <c r="V56" s="69"/>
      <c r="W56" s="69"/>
      <c r="X56" s="23"/>
      <c r="Y56" s="2"/>
      <c r="Z56" s="16"/>
      <c r="AA56" s="68" t="s">
        <v>37</v>
      </c>
      <c r="AB56" s="69"/>
      <c r="AC56" s="69"/>
      <c r="AD56" s="69"/>
      <c r="AE56" s="69"/>
      <c r="AF56" s="69"/>
      <c r="AG56" s="69"/>
      <c r="AH56" s="69"/>
      <c r="AI56" s="69"/>
      <c r="AJ56" s="23"/>
      <c r="AK56" s="2"/>
      <c r="AL56" s="16"/>
      <c r="AM56" s="68" t="s">
        <v>37</v>
      </c>
      <c r="AN56" s="69"/>
      <c r="AO56" s="69"/>
      <c r="AP56" s="69"/>
      <c r="AQ56" s="69"/>
      <c r="AR56" s="69"/>
      <c r="AS56" s="69"/>
      <c r="AT56" s="69"/>
      <c r="AU56" s="69"/>
      <c r="AV56" s="23"/>
      <c r="AW56" s="71"/>
      <c r="AX56" s="71"/>
    </row>
    <row r="57" ht="20.25" customHeight="1">
      <c r="A57" s="1"/>
      <c r="B57" s="16"/>
      <c r="C57" s="16"/>
      <c r="D57" s="16"/>
      <c r="E57" s="16"/>
      <c r="F57" s="16"/>
      <c r="G57" s="79"/>
      <c r="H57" s="1"/>
      <c r="I57" s="1"/>
      <c r="K57" s="1"/>
      <c r="M57" s="5"/>
      <c r="N57" s="16"/>
      <c r="O57" s="16"/>
      <c r="P57" s="16"/>
      <c r="Q57" s="16"/>
      <c r="R57" s="16"/>
      <c r="S57" s="79"/>
      <c r="T57" s="1"/>
      <c r="U57" s="1"/>
      <c r="V57" s="1"/>
      <c r="W57" s="1"/>
      <c r="X57" s="1"/>
      <c r="Y57" s="80"/>
      <c r="Z57" s="18"/>
      <c r="AA57" s="18"/>
      <c r="AB57" s="18"/>
      <c r="AC57" s="18"/>
      <c r="AD57" s="18"/>
      <c r="AE57" s="11"/>
      <c r="AF57" s="11"/>
      <c r="AG57" s="11"/>
      <c r="AH57" s="11"/>
      <c r="AI57" s="11"/>
      <c r="AJ57" s="11"/>
      <c r="AK57" s="2"/>
      <c r="AL57" s="18"/>
      <c r="AM57" s="18"/>
      <c r="AN57" s="18"/>
      <c r="AO57" s="18"/>
      <c r="AP57" s="18"/>
      <c r="AQ57" s="11"/>
      <c r="AR57" s="11"/>
      <c r="AS57" s="11"/>
      <c r="AT57" s="11"/>
      <c r="AU57" s="11"/>
      <c r="AV57" s="11"/>
      <c r="AW57" s="11"/>
      <c r="AX57" s="11"/>
    </row>
    <row r="58" ht="20.25" customHeight="1">
      <c r="A58" s="1"/>
      <c r="B58" s="16"/>
      <c r="C58" s="16"/>
      <c r="D58" s="16"/>
      <c r="E58" s="16"/>
      <c r="F58" s="16"/>
      <c r="G58" s="79"/>
      <c r="H58" s="81"/>
      <c r="I58" s="1"/>
      <c r="K58" s="1"/>
      <c r="M58" s="5"/>
      <c r="N58" s="2"/>
      <c r="O58" s="2"/>
      <c r="P58" s="2"/>
      <c r="Q58" s="2"/>
      <c r="R58" s="2"/>
      <c r="S58" s="2"/>
      <c r="T58" s="8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82" t="s">
        <v>56</v>
      </c>
      <c r="C59" s="9"/>
      <c r="D59" s="9"/>
      <c r="E59" s="9"/>
      <c r="F59" s="10"/>
      <c r="G59" s="83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4"/>
      <c r="E60" s="14"/>
      <c r="F60" s="15"/>
      <c r="G60" s="83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84" t="s">
        <v>6</v>
      </c>
      <c r="C61" s="9"/>
      <c r="D61" s="10"/>
      <c r="E61" s="85" t="s">
        <v>7</v>
      </c>
      <c r="F61" s="85" t="s">
        <v>57</v>
      </c>
      <c r="G61" s="7"/>
      <c r="H61" s="1"/>
      <c r="I61" s="1"/>
      <c r="K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86"/>
      <c r="F62" s="86"/>
      <c r="G62" s="7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87" t="s">
        <v>58</v>
      </c>
      <c r="C63" s="9"/>
      <c r="D63" s="9"/>
      <c r="E63" s="9"/>
      <c r="F63" s="10"/>
      <c r="G63" s="88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3"/>
      <c r="C64" s="14"/>
      <c r="D64" s="14"/>
      <c r="E64" s="14"/>
      <c r="F64" s="15"/>
      <c r="G64" s="88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6"/>
      <c r="B65" s="89" t="s">
        <v>59</v>
      </c>
      <c r="C65" s="9"/>
      <c r="D65" s="10"/>
      <c r="E65" s="90">
        <v>1.0</v>
      </c>
      <c r="F65" s="91" t="s">
        <v>60</v>
      </c>
      <c r="G65" s="9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13"/>
      <c r="C66" s="14"/>
      <c r="D66" s="15"/>
      <c r="E66" s="86"/>
      <c r="F66" s="86"/>
      <c r="G66" s="9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89" t="s">
        <v>61</v>
      </c>
      <c r="C67" s="9"/>
      <c r="D67" s="10"/>
      <c r="E67" s="90">
        <v>1.0</v>
      </c>
      <c r="F67" s="91" t="s">
        <v>62</v>
      </c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13"/>
      <c r="C68" s="14"/>
      <c r="D68" s="15"/>
      <c r="E68" s="86"/>
      <c r="F68" s="86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93" t="s">
        <v>63</v>
      </c>
      <c r="C69" s="9"/>
      <c r="D69" s="10"/>
      <c r="E69" s="94">
        <v>1.0</v>
      </c>
      <c r="F69" s="95" t="s">
        <v>62</v>
      </c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13"/>
      <c r="C70" s="14"/>
      <c r="D70" s="15"/>
      <c r="E70" s="86"/>
      <c r="F70" s="86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96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96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96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96"/>
      <c r="C77" s="97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96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98"/>
      <c r="E81" s="98"/>
      <c r="F81" s="4"/>
      <c r="G81" s="4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98"/>
      <c r="E82" s="98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98"/>
      <c r="E83" s="98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98"/>
      <c r="E84" s="98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4"/>
      <c r="C85" s="4"/>
      <c r="D85" s="98"/>
      <c r="E85" s="98"/>
      <c r="F85" s="4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1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1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2"/>
      <c r="D99" s="3"/>
      <c r="E99" s="3"/>
      <c r="F99" s="2"/>
      <c r="G99" s="2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49"/>
      <c r="E100" s="49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9"/>
      <c r="E101" s="49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9"/>
      <c r="E102" s="49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9"/>
      <c r="E103" s="49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9"/>
      <c r="E104" s="49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9"/>
      <c r="E105" s="49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9"/>
      <c r="E106" s="49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9"/>
      <c r="E107" s="49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9"/>
      <c r="E108" s="49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9"/>
      <c r="E109" s="49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49"/>
      <c r="E110" s="49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49"/>
      <c r="E111" s="49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20.25" customHeight="1">
      <c r="A112" s="1"/>
      <c r="B112" s="2"/>
      <c r="C112" s="1"/>
      <c r="D112" s="49"/>
      <c r="E112" s="49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49"/>
      <c r="E113" s="49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9"/>
      <c r="E114" s="49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9"/>
      <c r="E115" s="49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9"/>
      <c r="E116" s="49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9"/>
      <c r="E117" s="49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9"/>
      <c r="E118" s="49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9"/>
      <c r="E119" s="49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9"/>
      <c r="E120" s="49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9"/>
      <c r="E121" s="49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9"/>
      <c r="E122" s="49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9"/>
      <c r="E123" s="49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9"/>
      <c r="E124" s="49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9"/>
      <c r="E125" s="49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9"/>
      <c r="E126" s="49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9"/>
      <c r="E127" s="49"/>
      <c r="F127" s="1"/>
      <c r="G127" s="1"/>
      <c r="H127" s="1"/>
      <c r="I127" s="1"/>
      <c r="J127" s="1"/>
      <c r="K127" s="1"/>
      <c r="L127" s="1"/>
      <c r="M127" s="5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9"/>
      <c r="E128" s="49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9"/>
      <c r="E129" s="49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9"/>
      <c r="E130" s="49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9"/>
      <c r="E131" s="49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9"/>
      <c r="E132" s="49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9"/>
      <c r="E133" s="49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9"/>
      <c r="E134" s="49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9"/>
      <c r="E135" s="49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9"/>
      <c r="E136" s="49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9"/>
      <c r="E137" s="49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9"/>
      <c r="E138" s="49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9"/>
      <c r="E139" s="49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9"/>
      <c r="E140" s="49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9"/>
      <c r="E141" s="49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9"/>
      <c r="E142" s="49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9"/>
      <c r="E143" s="49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9"/>
      <c r="E144" s="49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9"/>
      <c r="E145" s="49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9"/>
      <c r="E146" s="49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9"/>
      <c r="E147" s="49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9"/>
      <c r="E148" s="49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9"/>
      <c r="E149" s="49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9"/>
      <c r="E150" s="49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9"/>
      <c r="E151" s="49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9"/>
      <c r="E152" s="49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9"/>
      <c r="E153" s="49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9"/>
      <c r="E154" s="49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9"/>
      <c r="E155" s="49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9"/>
      <c r="E156" s="49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9"/>
      <c r="E157" s="49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9"/>
      <c r="E158" s="49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9"/>
      <c r="E159" s="49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9"/>
      <c r="E160" s="49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9"/>
      <c r="E161" s="49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49"/>
      <c r="E162" s="49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49"/>
      <c r="E163" s="49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1"/>
      <c r="D164" s="49"/>
      <c r="E164" s="49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9"/>
      <c r="D165" s="49"/>
      <c r="E165" s="49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9"/>
      <c r="D166" s="49"/>
      <c r="E166" s="49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9"/>
      <c r="D167" s="49"/>
      <c r="E167" s="49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9"/>
      <c r="D168" s="49"/>
      <c r="E168" s="49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9"/>
      <c r="D169" s="49"/>
      <c r="E169" s="49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99"/>
      <c r="D170" s="49"/>
      <c r="E170" s="49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99"/>
      <c r="D171" s="49"/>
      <c r="E171" s="49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99"/>
      <c r="D172" s="49"/>
      <c r="E172" s="49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99"/>
      <c r="D173" s="49"/>
      <c r="E173" s="49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2"/>
      <c r="C174" s="99"/>
      <c r="D174" s="49"/>
      <c r="E174" s="49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3"/>
      <c r="C175" s="76"/>
      <c r="D175" s="49"/>
      <c r="E175" s="49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3"/>
      <c r="C176" s="76"/>
      <c r="D176" s="49"/>
      <c r="E176" s="49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3"/>
      <c r="C177" s="76"/>
      <c r="D177" s="49"/>
      <c r="E177" s="49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100" t="s">
        <v>64</v>
      </c>
      <c r="C178" s="101" t="s">
        <v>65</v>
      </c>
      <c r="D178" s="49"/>
      <c r="E178" s="49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100" t="s">
        <v>66</v>
      </c>
      <c r="C179" s="101" t="s">
        <v>67</v>
      </c>
      <c r="D179" s="49"/>
      <c r="E179" s="49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100" t="s">
        <v>68</v>
      </c>
      <c r="C180" s="102">
        <v>24.0</v>
      </c>
      <c r="D180" s="49"/>
      <c r="E180" s="49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100" t="s">
        <v>69</v>
      </c>
      <c r="C181" s="102">
        <v>174.5</v>
      </c>
      <c r="D181" s="49"/>
      <c r="E181" s="49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100" t="s">
        <v>70</v>
      </c>
      <c r="C182" s="102">
        <v>78.0</v>
      </c>
      <c r="D182" s="49"/>
      <c r="E182" s="49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100" t="s">
        <v>71</v>
      </c>
      <c r="C183" s="103" t="s">
        <v>72</v>
      </c>
      <c r="D183" s="49"/>
      <c r="E183" s="49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100" t="s">
        <v>73</v>
      </c>
      <c r="C184" s="103" t="s">
        <v>74</v>
      </c>
      <c r="D184" s="49"/>
      <c r="E184" s="49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100" t="s">
        <v>75</v>
      </c>
      <c r="C185" s="103" t="s">
        <v>76</v>
      </c>
      <c r="D185" s="49"/>
      <c r="E185" s="49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100" t="s">
        <v>77</v>
      </c>
      <c r="C186" s="103" t="s">
        <v>78</v>
      </c>
      <c r="D186" s="49"/>
      <c r="E186" s="49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100" t="s">
        <v>79</v>
      </c>
      <c r="C187" s="103" t="s">
        <v>80</v>
      </c>
      <c r="D187" s="49"/>
      <c r="E187" s="49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73"/>
      <c r="B188" s="100" t="s">
        <v>81</v>
      </c>
      <c r="C188" s="102" t="s">
        <v>82</v>
      </c>
      <c r="D188" s="104"/>
      <c r="E188" s="104"/>
      <c r="F188" s="73"/>
      <c r="G188" s="73"/>
      <c r="H188" s="73"/>
      <c r="I188" s="73"/>
      <c r="J188" s="73"/>
      <c r="K188" s="73"/>
      <c r="L188" s="73"/>
      <c r="M188" s="5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</row>
    <row r="189" ht="20.25" customHeight="1">
      <c r="A189" s="73"/>
      <c r="B189" s="100" t="s">
        <v>83</v>
      </c>
      <c r="C189" s="102">
        <v>0.0</v>
      </c>
      <c r="D189" s="104"/>
      <c r="E189" s="104"/>
      <c r="F189" s="73"/>
      <c r="G189" s="73"/>
      <c r="H189" s="73"/>
      <c r="I189" s="73"/>
      <c r="J189" s="73"/>
      <c r="K189" s="73"/>
      <c r="L189" s="73"/>
      <c r="M189" s="5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</row>
    <row r="190" ht="20.25" customHeight="1">
      <c r="A190" s="73"/>
      <c r="B190" s="100" t="s">
        <v>84</v>
      </c>
      <c r="C190" s="103" t="s">
        <v>85</v>
      </c>
      <c r="D190" s="104"/>
      <c r="E190" s="104"/>
      <c r="F190" s="73"/>
      <c r="G190" s="73"/>
      <c r="H190" s="73"/>
      <c r="I190" s="73"/>
      <c r="J190" s="73"/>
      <c r="K190" s="73"/>
      <c r="L190" s="73"/>
      <c r="M190" s="5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</row>
    <row r="191" ht="20.25" customHeight="1">
      <c r="A191" s="73"/>
      <c r="B191" s="100" t="s">
        <v>86</v>
      </c>
      <c r="C191" s="101" t="s">
        <v>87</v>
      </c>
      <c r="D191" s="104"/>
      <c r="E191" s="104"/>
      <c r="F191" s="73"/>
      <c r="G191" s="73"/>
      <c r="H191" s="73"/>
      <c r="I191" s="73"/>
      <c r="J191" s="73"/>
      <c r="K191" s="73"/>
      <c r="L191" s="73"/>
      <c r="M191" s="5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</row>
    <row r="192" ht="20.25" customHeight="1">
      <c r="A192" s="73"/>
      <c r="B192" s="105"/>
      <c r="C192" s="105"/>
      <c r="D192" s="104"/>
      <c r="E192" s="104"/>
      <c r="F192" s="73"/>
      <c r="G192" s="73"/>
      <c r="H192" s="73"/>
      <c r="I192" s="73"/>
      <c r="J192" s="73"/>
      <c r="K192" s="73"/>
      <c r="L192" s="73"/>
      <c r="M192" s="5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</row>
    <row r="193" ht="20.25" customHeight="1">
      <c r="A193" s="73"/>
      <c r="B193" s="105"/>
      <c r="C193" s="105"/>
      <c r="D193" s="104"/>
      <c r="E193" s="104"/>
      <c r="F193" s="73"/>
      <c r="G193" s="73"/>
      <c r="H193" s="73"/>
      <c r="I193" s="73"/>
      <c r="J193" s="73"/>
      <c r="K193" s="73"/>
      <c r="L193" s="73"/>
      <c r="M193" s="5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</row>
    <row r="194" ht="20.25" customHeight="1">
      <c r="A194" s="73"/>
      <c r="B194" s="105"/>
      <c r="C194" s="105"/>
      <c r="D194" s="104"/>
      <c r="E194" s="104"/>
      <c r="F194" s="73"/>
      <c r="G194" s="73"/>
      <c r="H194" s="73"/>
      <c r="I194" s="73"/>
      <c r="J194" s="73"/>
      <c r="K194" s="73"/>
      <c r="L194" s="73"/>
      <c r="M194" s="5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</row>
    <row r="195" ht="20.25" customHeight="1">
      <c r="A195" s="73"/>
      <c r="B195" s="105"/>
      <c r="C195" s="106"/>
      <c r="D195" s="104"/>
      <c r="E195" s="104"/>
      <c r="F195" s="73"/>
      <c r="G195" s="73"/>
      <c r="H195" s="73"/>
      <c r="I195" s="73"/>
      <c r="J195" s="73"/>
      <c r="K195" s="73"/>
      <c r="L195" s="73"/>
      <c r="M195" s="5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</row>
    <row r="196" ht="20.25" customHeight="1">
      <c r="A196" s="73"/>
      <c r="B196" s="73"/>
      <c r="C196" s="73"/>
      <c r="D196" s="104"/>
      <c r="E196" s="104"/>
      <c r="F196" s="73"/>
      <c r="G196" s="73"/>
      <c r="H196" s="73"/>
      <c r="I196" s="73"/>
      <c r="J196" s="73"/>
      <c r="K196" s="73"/>
      <c r="L196" s="73"/>
      <c r="M196" s="5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</row>
    <row r="197" ht="20.25" customHeight="1">
      <c r="A197" s="1"/>
      <c r="B197" s="73"/>
      <c r="C197" s="73"/>
      <c r="D197" s="49"/>
      <c r="E197" s="49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73"/>
      <c r="C198" s="73"/>
      <c r="D198" s="49"/>
      <c r="E198" s="49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9"/>
      <c r="D199" s="49"/>
      <c r="E199" s="49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9"/>
      <c r="D200" s="49"/>
      <c r="E200" s="49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9"/>
      <c r="D201" s="49"/>
      <c r="E201" s="49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9"/>
      <c r="D202" s="49"/>
      <c r="E202" s="49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9"/>
      <c r="D203" s="49"/>
      <c r="E203" s="49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9"/>
      <c r="D204" s="49"/>
      <c r="E204" s="49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9"/>
      <c r="D205" s="49"/>
      <c r="E205" s="49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9"/>
      <c r="D206" s="49"/>
      <c r="E206" s="49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9"/>
      <c r="D207" s="49"/>
      <c r="E207" s="49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9"/>
      <c r="D208" s="49"/>
      <c r="E208" s="49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9"/>
      <c r="D209" s="49"/>
      <c r="E209" s="49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9"/>
      <c r="D210" s="49"/>
      <c r="E210" s="49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9"/>
      <c r="D211" s="49"/>
      <c r="E211" s="49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9"/>
      <c r="D212" s="49"/>
      <c r="E212" s="49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9"/>
      <c r="D213" s="49"/>
      <c r="E213" s="49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9"/>
      <c r="D214" s="49"/>
      <c r="E214" s="49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9"/>
      <c r="D215" s="49"/>
      <c r="E215" s="49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9"/>
      <c r="D216" s="49"/>
      <c r="E216" s="49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9"/>
      <c r="D217" s="49"/>
      <c r="E217" s="49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9"/>
      <c r="D218" s="49"/>
      <c r="E218" s="49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9"/>
      <c r="D219" s="49"/>
      <c r="E219" s="49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9"/>
      <c r="D220" s="49"/>
      <c r="E220" s="49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9"/>
      <c r="D221" s="49"/>
      <c r="E221" s="49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9"/>
      <c r="D222" s="49"/>
      <c r="E222" s="49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9"/>
      <c r="D223" s="49"/>
      <c r="E223" s="49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9"/>
      <c r="D224" s="49"/>
      <c r="E224" s="49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9"/>
      <c r="D225" s="49"/>
      <c r="E225" s="49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9"/>
      <c r="D226" s="49"/>
      <c r="E226" s="49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9"/>
      <c r="D227" s="49"/>
      <c r="E227" s="49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9"/>
      <c r="D228" s="49"/>
      <c r="E228" s="49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9"/>
      <c r="D229" s="49"/>
      <c r="E229" s="49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9"/>
      <c r="D230" s="49"/>
      <c r="E230" s="49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9"/>
      <c r="D231" s="49"/>
      <c r="E231" s="49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9"/>
      <c r="D232" s="49"/>
      <c r="E232" s="49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9"/>
      <c r="D233" s="49"/>
      <c r="E233" s="49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9"/>
      <c r="D234" s="49"/>
      <c r="E234" s="49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9"/>
      <c r="D235" s="49"/>
      <c r="E235" s="49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9"/>
      <c r="D236" s="49"/>
      <c r="E236" s="49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9"/>
      <c r="D237" s="49"/>
      <c r="E237" s="49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9"/>
      <c r="D238" s="49"/>
      <c r="E238" s="49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9"/>
      <c r="D239" s="49"/>
      <c r="E239" s="49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9"/>
      <c r="D240" s="49"/>
      <c r="E240" s="49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9"/>
      <c r="D241" s="49"/>
      <c r="E241" s="49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9"/>
      <c r="D242" s="49"/>
      <c r="E242" s="49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9"/>
      <c r="D243" s="49"/>
      <c r="E243" s="49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9"/>
      <c r="D244" s="49"/>
      <c r="E244" s="49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9"/>
      <c r="D245" s="49"/>
      <c r="E245" s="49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9"/>
      <c r="D246" s="49"/>
      <c r="E246" s="49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9"/>
      <c r="D247" s="49"/>
      <c r="E247" s="49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9"/>
      <c r="D248" s="49"/>
      <c r="E248" s="49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9"/>
      <c r="D249" s="49"/>
      <c r="E249" s="49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9"/>
      <c r="D250" s="49"/>
      <c r="E250" s="49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9"/>
      <c r="D251" s="49"/>
      <c r="E251" s="49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9"/>
      <c r="D252" s="49"/>
      <c r="E252" s="49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9"/>
      <c r="D253" s="49"/>
      <c r="E253" s="49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9"/>
      <c r="D254" s="49"/>
      <c r="E254" s="49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9"/>
      <c r="D255" s="49"/>
      <c r="E255" s="49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9"/>
      <c r="D256" s="49"/>
      <c r="E256" s="49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9"/>
      <c r="D257" s="49"/>
      <c r="E257" s="49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9"/>
      <c r="D258" s="49"/>
      <c r="E258" s="49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9"/>
      <c r="D259" s="49"/>
      <c r="E259" s="49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9"/>
      <c r="D260" s="49"/>
      <c r="E260" s="49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9"/>
      <c r="D261" s="49"/>
      <c r="E261" s="49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9"/>
      <c r="D262" s="49"/>
      <c r="E262" s="49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9"/>
      <c r="D263" s="49"/>
      <c r="E263" s="49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9"/>
      <c r="D264" s="49"/>
      <c r="E264" s="49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9"/>
      <c r="D265" s="49"/>
      <c r="E265" s="49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9"/>
      <c r="D266" s="49"/>
      <c r="E266" s="49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9"/>
      <c r="D267" s="49"/>
      <c r="E267" s="49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9"/>
      <c r="D268" s="49"/>
      <c r="E268" s="49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9"/>
      <c r="D269" s="49"/>
      <c r="E269" s="49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9"/>
      <c r="D270" s="49"/>
      <c r="E270" s="49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9"/>
      <c r="D271" s="49"/>
      <c r="E271" s="49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9"/>
      <c r="D272" s="49"/>
      <c r="E272" s="49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9"/>
      <c r="D273" s="49"/>
      <c r="E273" s="49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9"/>
      <c r="D274" s="49"/>
      <c r="E274" s="49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9"/>
      <c r="D275" s="49"/>
      <c r="E275" s="49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9"/>
      <c r="D276" s="49"/>
      <c r="E276" s="49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9"/>
      <c r="D277" s="49"/>
      <c r="E277" s="49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9"/>
      <c r="D278" s="49"/>
      <c r="E278" s="49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9"/>
      <c r="D279" s="49"/>
      <c r="E279" s="49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9"/>
      <c r="D280" s="49"/>
      <c r="E280" s="49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9"/>
      <c r="D281" s="49"/>
      <c r="E281" s="49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9"/>
      <c r="D282" s="49"/>
      <c r="E282" s="49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9"/>
      <c r="D283" s="49"/>
      <c r="E283" s="49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9"/>
      <c r="D284" s="49"/>
      <c r="E284" s="49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9"/>
      <c r="D285" s="49"/>
      <c r="E285" s="49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9"/>
      <c r="D286" s="49"/>
      <c r="E286" s="49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9"/>
      <c r="D287" s="49"/>
      <c r="E287" s="49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9"/>
      <c r="D288" s="49"/>
      <c r="E288" s="49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9"/>
      <c r="D289" s="49"/>
      <c r="E289" s="49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9"/>
      <c r="D290" s="49"/>
      <c r="E290" s="49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9"/>
      <c r="D291" s="49"/>
      <c r="E291" s="49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9"/>
      <c r="D292" s="49"/>
      <c r="E292" s="49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9"/>
      <c r="D293" s="49"/>
      <c r="E293" s="49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9"/>
      <c r="D294" s="49"/>
      <c r="E294" s="49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9"/>
      <c r="D295" s="49"/>
      <c r="E295" s="49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9"/>
      <c r="D296" s="49"/>
      <c r="E296" s="49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9"/>
      <c r="D297" s="49"/>
      <c r="E297" s="49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9"/>
      <c r="D298" s="49"/>
      <c r="E298" s="49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9"/>
      <c r="D299" s="49"/>
      <c r="E299" s="49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9"/>
      <c r="D300" s="49"/>
      <c r="E300" s="49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9"/>
      <c r="D301" s="49"/>
      <c r="E301" s="49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9"/>
      <c r="D302" s="49"/>
      <c r="E302" s="49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9"/>
      <c r="D303" s="49"/>
      <c r="E303" s="49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9"/>
      <c r="D304" s="49"/>
      <c r="E304" s="49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9"/>
      <c r="D305" s="49"/>
      <c r="E305" s="49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9"/>
      <c r="D306" s="49"/>
      <c r="E306" s="49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9"/>
      <c r="D307" s="49"/>
      <c r="E307" s="49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9"/>
      <c r="D308" s="49"/>
      <c r="E308" s="49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9"/>
      <c r="D309" s="49"/>
      <c r="E309" s="49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9"/>
      <c r="D310" s="49"/>
      <c r="E310" s="49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9"/>
      <c r="D311" s="49"/>
      <c r="E311" s="49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9"/>
      <c r="D312" s="49"/>
      <c r="E312" s="49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9"/>
      <c r="D313" s="49"/>
      <c r="E313" s="49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9"/>
      <c r="D314" s="49"/>
      <c r="E314" s="49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9"/>
      <c r="D315" s="49"/>
      <c r="E315" s="49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9"/>
      <c r="D316" s="49"/>
      <c r="E316" s="49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9"/>
      <c r="D317" s="49"/>
      <c r="E317" s="49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9"/>
      <c r="D318" s="49"/>
      <c r="E318" s="49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9"/>
      <c r="D319" s="49"/>
      <c r="E319" s="49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9"/>
      <c r="D320" s="49"/>
      <c r="E320" s="49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9"/>
      <c r="D321" s="49"/>
      <c r="E321" s="49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9"/>
      <c r="D322" s="49"/>
      <c r="E322" s="49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9"/>
      <c r="D323" s="49"/>
      <c r="E323" s="49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9"/>
      <c r="D324" s="49"/>
      <c r="E324" s="49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9"/>
      <c r="D325" s="49"/>
      <c r="E325" s="49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9"/>
      <c r="D326" s="49"/>
      <c r="E326" s="49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9"/>
      <c r="D327" s="49"/>
      <c r="E327" s="49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9"/>
      <c r="D328" s="49"/>
      <c r="E328" s="49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9"/>
      <c r="D329" s="49"/>
      <c r="E329" s="49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9"/>
      <c r="D330" s="49"/>
      <c r="E330" s="49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9"/>
      <c r="D331" s="49"/>
      <c r="E331" s="49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9"/>
      <c r="D332" s="49"/>
      <c r="E332" s="49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9"/>
      <c r="D333" s="49"/>
      <c r="E333" s="49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9"/>
      <c r="D334" s="49"/>
      <c r="E334" s="49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9"/>
      <c r="D335" s="49"/>
      <c r="E335" s="49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9"/>
      <c r="D336" s="49"/>
      <c r="E336" s="49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9"/>
      <c r="D337" s="49"/>
      <c r="E337" s="49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9"/>
      <c r="D338" s="49"/>
      <c r="E338" s="49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9"/>
      <c r="D339" s="49"/>
      <c r="E339" s="49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9"/>
      <c r="D340" s="49"/>
      <c r="E340" s="49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9"/>
      <c r="D341" s="49"/>
      <c r="E341" s="49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9"/>
      <c r="D342" s="49"/>
      <c r="E342" s="49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9"/>
      <c r="D343" s="49"/>
      <c r="E343" s="49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9"/>
      <c r="D344" s="49"/>
      <c r="E344" s="49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9"/>
      <c r="D345" s="49"/>
      <c r="E345" s="49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9"/>
      <c r="D346" s="49"/>
      <c r="E346" s="49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9"/>
      <c r="D347" s="49"/>
      <c r="E347" s="49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9"/>
      <c r="D348" s="49"/>
      <c r="E348" s="49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9"/>
      <c r="D349" s="49"/>
      <c r="E349" s="49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9"/>
      <c r="D350" s="49"/>
      <c r="E350" s="49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9"/>
      <c r="D351" s="49"/>
      <c r="E351" s="49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9"/>
      <c r="D352" s="49"/>
      <c r="E352" s="49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9"/>
      <c r="D353" s="49"/>
      <c r="E353" s="49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9"/>
      <c r="D354" s="49"/>
      <c r="E354" s="49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9"/>
      <c r="D355" s="49"/>
      <c r="E355" s="49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9"/>
      <c r="D356" s="49"/>
      <c r="E356" s="49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9"/>
      <c r="D357" s="49"/>
      <c r="E357" s="49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9"/>
      <c r="D358" s="49"/>
      <c r="E358" s="49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9"/>
      <c r="D359" s="49"/>
      <c r="E359" s="49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9"/>
      <c r="D360" s="49"/>
      <c r="E360" s="49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9"/>
      <c r="D361" s="49"/>
      <c r="E361" s="49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9"/>
      <c r="D362" s="49"/>
      <c r="E362" s="49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9"/>
      <c r="D363" s="49"/>
      <c r="E363" s="49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9"/>
      <c r="D364" s="49"/>
      <c r="E364" s="49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9"/>
      <c r="D365" s="49"/>
      <c r="E365" s="49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9"/>
      <c r="D366" s="49"/>
      <c r="E366" s="49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9"/>
      <c r="D367" s="49"/>
      <c r="E367" s="49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9"/>
      <c r="D368" s="49"/>
      <c r="E368" s="49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9"/>
      <c r="D369" s="49"/>
      <c r="E369" s="49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9"/>
      <c r="D370" s="49"/>
      <c r="E370" s="49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9"/>
      <c r="D371" s="49"/>
      <c r="E371" s="49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9"/>
      <c r="D372" s="49"/>
      <c r="E372" s="49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9"/>
      <c r="D373" s="49"/>
      <c r="E373" s="49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9"/>
      <c r="D374" s="49"/>
      <c r="E374" s="49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9"/>
      <c r="D375" s="49"/>
      <c r="E375" s="49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9"/>
      <c r="D376" s="49"/>
      <c r="E376" s="49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9"/>
      <c r="D377" s="49"/>
      <c r="E377" s="49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9"/>
      <c r="D378" s="49"/>
      <c r="E378" s="49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9"/>
      <c r="D379" s="49"/>
      <c r="E379" s="49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9"/>
      <c r="D380" s="49"/>
      <c r="E380" s="49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9"/>
      <c r="D381" s="49"/>
      <c r="E381" s="49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9"/>
      <c r="D382" s="49"/>
      <c r="E382" s="49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9"/>
      <c r="D383" s="49"/>
      <c r="E383" s="49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9"/>
      <c r="D384" s="49"/>
      <c r="E384" s="49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9"/>
      <c r="D385" s="49"/>
      <c r="E385" s="49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9"/>
      <c r="D386" s="49"/>
      <c r="E386" s="49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9"/>
      <c r="D387" s="49"/>
      <c r="E387" s="49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9"/>
      <c r="D388" s="49"/>
      <c r="E388" s="49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9"/>
      <c r="D389" s="49"/>
      <c r="E389" s="49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9"/>
      <c r="D390" s="49"/>
      <c r="E390" s="49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9"/>
      <c r="D391" s="49"/>
      <c r="E391" s="49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9"/>
      <c r="D392" s="49"/>
      <c r="E392" s="49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9"/>
      <c r="D393" s="49"/>
      <c r="E393" s="49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9"/>
      <c r="D394" s="49"/>
      <c r="E394" s="49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9"/>
      <c r="D395" s="49"/>
      <c r="E395" s="49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9"/>
      <c r="D396" s="49"/>
      <c r="E396" s="49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9"/>
      <c r="D397" s="49"/>
      <c r="E397" s="49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9"/>
      <c r="D398" s="49"/>
      <c r="E398" s="49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9"/>
      <c r="D399" s="49"/>
      <c r="E399" s="49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9"/>
      <c r="D400" s="49"/>
      <c r="E400" s="49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9"/>
      <c r="D401" s="49"/>
      <c r="E401" s="49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9"/>
      <c r="D402" s="49"/>
      <c r="E402" s="49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9"/>
      <c r="D403" s="49"/>
      <c r="E403" s="49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9"/>
      <c r="D404" s="49"/>
      <c r="E404" s="49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9"/>
      <c r="D405" s="49"/>
      <c r="E405" s="49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9"/>
      <c r="D406" s="49"/>
      <c r="E406" s="49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9"/>
      <c r="D407" s="49"/>
      <c r="E407" s="49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9"/>
      <c r="D408" s="49"/>
      <c r="E408" s="49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9"/>
      <c r="D409" s="49"/>
      <c r="E409" s="49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9"/>
      <c r="D410" s="49"/>
      <c r="E410" s="49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9"/>
      <c r="D411" s="49"/>
      <c r="E411" s="49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9"/>
      <c r="D412" s="49"/>
      <c r="E412" s="49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9"/>
      <c r="D413" s="49"/>
      <c r="E413" s="49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9"/>
      <c r="D414" s="49"/>
      <c r="E414" s="49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9"/>
      <c r="D415" s="49"/>
      <c r="E415" s="49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9"/>
      <c r="D416" s="49"/>
      <c r="E416" s="49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9"/>
      <c r="D417" s="49"/>
      <c r="E417" s="49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9"/>
      <c r="D418" s="49"/>
      <c r="E418" s="49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9"/>
      <c r="D419" s="49"/>
      <c r="E419" s="49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9"/>
      <c r="D420" s="49"/>
      <c r="E420" s="49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9"/>
      <c r="D421" s="49"/>
      <c r="E421" s="49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9"/>
      <c r="D422" s="49"/>
      <c r="E422" s="49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9"/>
      <c r="D423" s="49"/>
      <c r="E423" s="49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9"/>
      <c r="D424" s="49"/>
      <c r="E424" s="49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9"/>
      <c r="D425" s="49"/>
      <c r="E425" s="49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9"/>
      <c r="D426" s="49"/>
      <c r="E426" s="49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9"/>
      <c r="D427" s="49"/>
      <c r="E427" s="49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9"/>
      <c r="D428" s="49"/>
      <c r="E428" s="49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9"/>
      <c r="D429" s="49"/>
      <c r="E429" s="49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9"/>
      <c r="D430" s="49"/>
      <c r="E430" s="49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9"/>
      <c r="D431" s="49"/>
      <c r="E431" s="49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9"/>
      <c r="D432" s="49"/>
      <c r="E432" s="49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9"/>
      <c r="D433" s="49"/>
      <c r="E433" s="49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9"/>
      <c r="D434" s="49"/>
      <c r="E434" s="49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9"/>
      <c r="D435" s="49"/>
      <c r="E435" s="49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9"/>
      <c r="D436" s="49"/>
      <c r="E436" s="49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9"/>
      <c r="D437" s="49"/>
      <c r="E437" s="49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9"/>
      <c r="D438" s="49"/>
      <c r="E438" s="49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9"/>
      <c r="D439" s="49"/>
      <c r="E439" s="49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9"/>
      <c r="D440" s="49"/>
      <c r="E440" s="49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9"/>
      <c r="D441" s="49"/>
      <c r="E441" s="49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9"/>
      <c r="D442" s="49"/>
      <c r="E442" s="49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9"/>
      <c r="D443" s="49"/>
      <c r="E443" s="49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9"/>
      <c r="D444" s="49"/>
      <c r="E444" s="49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9"/>
      <c r="D445" s="49"/>
      <c r="E445" s="49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9"/>
      <c r="D446" s="49"/>
      <c r="E446" s="49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9"/>
      <c r="D447" s="49"/>
      <c r="E447" s="49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9"/>
      <c r="D448" s="49"/>
      <c r="E448" s="49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9"/>
      <c r="D449" s="49"/>
      <c r="E449" s="49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9"/>
      <c r="D450" s="49"/>
      <c r="E450" s="49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9"/>
      <c r="D451" s="49"/>
      <c r="E451" s="49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9"/>
      <c r="D452" s="49"/>
      <c r="E452" s="49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9"/>
      <c r="D453" s="49"/>
      <c r="E453" s="49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9"/>
      <c r="D454" s="49"/>
      <c r="E454" s="49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9"/>
      <c r="D455" s="49"/>
      <c r="E455" s="49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9"/>
      <c r="D456" s="49"/>
      <c r="E456" s="49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9"/>
      <c r="D457" s="49"/>
      <c r="E457" s="49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9"/>
      <c r="D458" s="49"/>
      <c r="E458" s="49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9"/>
      <c r="D459" s="49"/>
      <c r="E459" s="49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9"/>
      <c r="D460" s="49"/>
      <c r="E460" s="49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9"/>
      <c r="D461" s="49"/>
      <c r="E461" s="49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9"/>
      <c r="D462" s="49"/>
      <c r="E462" s="49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9"/>
      <c r="D463" s="49"/>
      <c r="E463" s="49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9"/>
      <c r="D464" s="49"/>
      <c r="E464" s="49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9"/>
      <c r="D465" s="49"/>
      <c r="E465" s="49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9"/>
      <c r="D466" s="49"/>
      <c r="E466" s="49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9"/>
      <c r="D467" s="49"/>
      <c r="E467" s="49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9"/>
      <c r="D468" s="49"/>
      <c r="E468" s="49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9"/>
      <c r="D469" s="49"/>
      <c r="E469" s="49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9"/>
      <c r="D470" s="49"/>
      <c r="E470" s="49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9"/>
      <c r="D471" s="49"/>
      <c r="E471" s="49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9"/>
      <c r="D472" s="49"/>
      <c r="E472" s="49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9"/>
      <c r="D473" s="49"/>
      <c r="E473" s="49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9"/>
      <c r="D474" s="49"/>
      <c r="E474" s="49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9"/>
      <c r="D475" s="49"/>
      <c r="E475" s="49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9"/>
      <c r="D476" s="49"/>
      <c r="E476" s="49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9"/>
      <c r="D477" s="49"/>
      <c r="E477" s="49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9"/>
      <c r="D478" s="49"/>
      <c r="E478" s="49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9"/>
      <c r="D479" s="49"/>
      <c r="E479" s="49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9"/>
      <c r="D480" s="49"/>
      <c r="E480" s="49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9"/>
      <c r="D481" s="49"/>
      <c r="E481" s="49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9"/>
      <c r="D482" s="49"/>
      <c r="E482" s="49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9"/>
      <c r="D483" s="49"/>
      <c r="E483" s="49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9"/>
      <c r="D484" s="49"/>
      <c r="E484" s="49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9"/>
      <c r="D485" s="49"/>
      <c r="E485" s="49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9"/>
      <c r="D486" s="49"/>
      <c r="E486" s="49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9"/>
      <c r="D487" s="49"/>
      <c r="E487" s="49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9"/>
      <c r="D488" s="49"/>
      <c r="E488" s="49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9"/>
      <c r="D489" s="49"/>
      <c r="E489" s="49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9"/>
      <c r="D490" s="49"/>
      <c r="E490" s="49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9"/>
      <c r="D491" s="49"/>
      <c r="E491" s="49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9"/>
      <c r="D492" s="49"/>
      <c r="E492" s="49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9"/>
      <c r="D493" s="49"/>
      <c r="E493" s="49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9"/>
      <c r="D494" s="49"/>
      <c r="E494" s="49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9"/>
      <c r="D495" s="49"/>
      <c r="E495" s="49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9"/>
      <c r="D496" s="49"/>
      <c r="E496" s="49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9"/>
      <c r="D497" s="49"/>
      <c r="E497" s="49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9"/>
      <c r="D498" s="49"/>
      <c r="E498" s="49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9"/>
      <c r="D499" s="49"/>
      <c r="E499" s="49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9"/>
      <c r="D500" s="49"/>
      <c r="E500" s="49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9"/>
      <c r="D501" s="49"/>
      <c r="E501" s="49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9"/>
      <c r="D502" s="49"/>
      <c r="E502" s="49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9"/>
      <c r="D503" s="49"/>
      <c r="E503" s="49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9"/>
      <c r="D504" s="49"/>
      <c r="E504" s="49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9"/>
      <c r="D505" s="49"/>
      <c r="E505" s="49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9"/>
      <c r="D506" s="49"/>
      <c r="E506" s="49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9"/>
      <c r="D507" s="49"/>
      <c r="E507" s="49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9"/>
      <c r="D508" s="49"/>
      <c r="E508" s="49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9"/>
      <c r="D509" s="49"/>
      <c r="E509" s="49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9"/>
      <c r="D510" s="49"/>
      <c r="E510" s="49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9"/>
      <c r="D511" s="49"/>
      <c r="E511" s="49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9"/>
      <c r="D512" s="49"/>
      <c r="E512" s="49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9"/>
      <c r="D513" s="49"/>
      <c r="E513" s="49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9"/>
      <c r="D514" s="49"/>
      <c r="E514" s="49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9"/>
      <c r="D515" s="49"/>
      <c r="E515" s="49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9"/>
      <c r="D516" s="49"/>
      <c r="E516" s="49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9"/>
      <c r="D517" s="49"/>
      <c r="E517" s="49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9"/>
      <c r="D518" s="49"/>
      <c r="E518" s="49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9"/>
      <c r="D519" s="49"/>
      <c r="E519" s="49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9"/>
      <c r="D520" s="49"/>
      <c r="E520" s="49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9"/>
      <c r="D521" s="49"/>
      <c r="E521" s="49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9"/>
      <c r="D522" s="49"/>
      <c r="E522" s="49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9"/>
      <c r="D523" s="49"/>
      <c r="E523" s="49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9"/>
      <c r="D524" s="49"/>
      <c r="E524" s="49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9"/>
      <c r="D525" s="49"/>
      <c r="E525" s="49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9"/>
      <c r="D526" s="49"/>
      <c r="E526" s="49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9"/>
      <c r="D527" s="49"/>
      <c r="E527" s="49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9"/>
      <c r="D528" s="49"/>
      <c r="E528" s="49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9"/>
      <c r="D529" s="49"/>
      <c r="E529" s="49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9"/>
      <c r="D530" s="49"/>
      <c r="E530" s="49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9"/>
      <c r="D531" s="49"/>
      <c r="E531" s="49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9"/>
      <c r="D532" s="49"/>
      <c r="E532" s="49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9"/>
      <c r="D533" s="49"/>
      <c r="E533" s="49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9"/>
      <c r="D534" s="49"/>
      <c r="E534" s="49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9"/>
      <c r="D535" s="49"/>
      <c r="E535" s="49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9"/>
      <c r="D536" s="49"/>
      <c r="E536" s="49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9"/>
      <c r="D537" s="49"/>
      <c r="E537" s="49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9"/>
      <c r="D538" s="49"/>
      <c r="E538" s="49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9"/>
      <c r="D539" s="49"/>
      <c r="E539" s="49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9"/>
      <c r="D540" s="49"/>
      <c r="E540" s="49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9"/>
      <c r="D541" s="49"/>
      <c r="E541" s="49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9"/>
      <c r="D542" s="49"/>
      <c r="E542" s="49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9"/>
      <c r="D543" s="49"/>
      <c r="E543" s="49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9"/>
      <c r="D544" s="49"/>
      <c r="E544" s="49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9"/>
      <c r="D545" s="49"/>
      <c r="E545" s="49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9"/>
      <c r="D546" s="49"/>
      <c r="E546" s="49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9"/>
      <c r="D547" s="49"/>
      <c r="E547" s="49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9"/>
      <c r="D548" s="49"/>
      <c r="E548" s="49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9"/>
      <c r="D549" s="49"/>
      <c r="E549" s="49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9"/>
      <c r="D550" s="49"/>
      <c r="E550" s="49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9"/>
      <c r="D551" s="49"/>
      <c r="E551" s="49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9"/>
      <c r="D552" s="49"/>
      <c r="E552" s="49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9"/>
      <c r="D553" s="49"/>
      <c r="E553" s="49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9"/>
      <c r="D554" s="49"/>
      <c r="E554" s="49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9"/>
      <c r="D555" s="49"/>
      <c r="E555" s="49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9"/>
      <c r="D556" s="49"/>
      <c r="E556" s="49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9"/>
      <c r="D557" s="49"/>
      <c r="E557" s="49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9"/>
      <c r="D558" s="49"/>
      <c r="E558" s="49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9"/>
      <c r="D559" s="49"/>
      <c r="E559" s="49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9"/>
      <c r="D560" s="49"/>
      <c r="E560" s="49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9"/>
      <c r="D561" s="49"/>
      <c r="E561" s="49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9"/>
      <c r="D562" s="49"/>
      <c r="E562" s="49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9"/>
      <c r="D563" s="49"/>
      <c r="E563" s="49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9"/>
      <c r="D564" s="49"/>
      <c r="E564" s="49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9"/>
      <c r="D565" s="49"/>
      <c r="E565" s="49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9"/>
      <c r="D566" s="49"/>
      <c r="E566" s="49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9"/>
      <c r="D567" s="49"/>
      <c r="E567" s="49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9"/>
      <c r="D568" s="49"/>
      <c r="E568" s="49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9"/>
      <c r="D569" s="49"/>
      <c r="E569" s="49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9"/>
      <c r="D570" s="49"/>
      <c r="E570" s="49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9"/>
      <c r="D571" s="49"/>
      <c r="E571" s="49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9"/>
      <c r="D572" s="49"/>
      <c r="E572" s="49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9"/>
      <c r="D573" s="49"/>
      <c r="E573" s="49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9"/>
      <c r="D574" s="49"/>
      <c r="E574" s="49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9"/>
      <c r="D575" s="49"/>
      <c r="E575" s="49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9"/>
      <c r="D576" s="49"/>
      <c r="E576" s="49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9"/>
      <c r="D577" s="49"/>
      <c r="E577" s="49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9"/>
      <c r="D578" s="49"/>
      <c r="E578" s="49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9"/>
      <c r="D579" s="49"/>
      <c r="E579" s="49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9"/>
      <c r="D580" s="49"/>
      <c r="E580" s="49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9"/>
      <c r="D581" s="49"/>
      <c r="E581" s="49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9"/>
      <c r="D582" s="49"/>
      <c r="E582" s="49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9"/>
      <c r="D583" s="49"/>
      <c r="E583" s="49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9"/>
      <c r="D584" s="49"/>
      <c r="E584" s="49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9"/>
      <c r="D585" s="49"/>
      <c r="E585" s="49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9"/>
      <c r="D586" s="49"/>
      <c r="E586" s="49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9"/>
      <c r="D587" s="49"/>
      <c r="E587" s="49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9"/>
      <c r="D588" s="49"/>
      <c r="E588" s="49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9"/>
      <c r="D589" s="49"/>
      <c r="E589" s="49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9"/>
      <c r="D590" s="49"/>
      <c r="E590" s="49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9"/>
      <c r="D591" s="49"/>
      <c r="E591" s="49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9"/>
      <c r="D592" s="49"/>
      <c r="E592" s="49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9"/>
      <c r="D593" s="49"/>
      <c r="E593" s="49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9"/>
      <c r="D594" s="49"/>
      <c r="E594" s="49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9"/>
      <c r="D595" s="49"/>
      <c r="E595" s="49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9"/>
      <c r="D596" s="49"/>
      <c r="E596" s="49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9"/>
      <c r="D597" s="49"/>
      <c r="E597" s="49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9"/>
      <c r="D598" s="49"/>
      <c r="E598" s="49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9"/>
      <c r="D599" s="49"/>
      <c r="E599" s="49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9"/>
      <c r="D600" s="49"/>
      <c r="E600" s="49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9"/>
      <c r="D601" s="49"/>
      <c r="E601" s="49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9"/>
      <c r="D602" s="49"/>
      <c r="E602" s="49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9"/>
      <c r="D603" s="49"/>
      <c r="E603" s="49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9"/>
      <c r="D604" s="49"/>
      <c r="E604" s="49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9"/>
      <c r="D605" s="49"/>
      <c r="E605" s="49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9"/>
      <c r="D606" s="49"/>
      <c r="E606" s="49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9"/>
      <c r="D607" s="49"/>
      <c r="E607" s="49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9"/>
      <c r="D608" s="49"/>
      <c r="E608" s="49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9"/>
      <c r="D609" s="49"/>
      <c r="E609" s="49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9"/>
      <c r="D610" s="49"/>
      <c r="E610" s="49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9"/>
      <c r="D611" s="49"/>
      <c r="E611" s="49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9"/>
      <c r="D612" s="49"/>
      <c r="E612" s="49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9"/>
      <c r="D613" s="49"/>
      <c r="E613" s="49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9"/>
      <c r="D614" s="49"/>
      <c r="E614" s="49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9"/>
      <c r="D615" s="49"/>
      <c r="E615" s="49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9"/>
      <c r="D616" s="49"/>
      <c r="E616" s="49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9"/>
      <c r="D617" s="49"/>
      <c r="E617" s="49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9"/>
      <c r="D618" s="49"/>
      <c r="E618" s="49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9"/>
      <c r="D619" s="49"/>
      <c r="E619" s="49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9"/>
      <c r="D620" s="49"/>
      <c r="E620" s="49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9"/>
      <c r="D621" s="49"/>
      <c r="E621" s="49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9"/>
      <c r="D622" s="49"/>
      <c r="E622" s="49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9"/>
      <c r="D623" s="49"/>
      <c r="E623" s="49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9"/>
      <c r="D624" s="49"/>
      <c r="E624" s="49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9"/>
      <c r="D625" s="49"/>
      <c r="E625" s="49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9"/>
      <c r="D626" s="49"/>
      <c r="E626" s="49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9"/>
      <c r="D627" s="49"/>
      <c r="E627" s="49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9"/>
      <c r="D628" s="49"/>
      <c r="E628" s="49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9"/>
      <c r="D629" s="49"/>
      <c r="E629" s="49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9"/>
      <c r="D630" s="49"/>
      <c r="E630" s="49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9"/>
      <c r="D631" s="49"/>
      <c r="E631" s="49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9"/>
      <c r="D632" s="49"/>
      <c r="E632" s="49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9"/>
      <c r="D633" s="49"/>
      <c r="E633" s="49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9"/>
      <c r="D634" s="49"/>
      <c r="E634" s="49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9"/>
      <c r="D635" s="49"/>
      <c r="E635" s="49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9"/>
      <c r="D636" s="49"/>
      <c r="E636" s="49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9"/>
      <c r="D637" s="49"/>
      <c r="E637" s="49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9"/>
      <c r="D638" s="49"/>
      <c r="E638" s="49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9"/>
      <c r="D639" s="49"/>
      <c r="E639" s="49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9"/>
      <c r="D640" s="49"/>
      <c r="E640" s="49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9"/>
      <c r="D641" s="49"/>
      <c r="E641" s="49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9"/>
      <c r="D642" s="49"/>
      <c r="E642" s="49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9"/>
      <c r="D643" s="49"/>
      <c r="E643" s="49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9"/>
      <c r="D644" s="49"/>
      <c r="E644" s="49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9"/>
      <c r="D645" s="49"/>
      <c r="E645" s="49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9"/>
      <c r="D646" s="49"/>
      <c r="E646" s="49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9"/>
      <c r="D647" s="49"/>
      <c r="E647" s="49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9"/>
      <c r="D648" s="49"/>
      <c r="E648" s="49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9"/>
      <c r="D649" s="49"/>
      <c r="E649" s="49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9"/>
      <c r="D650" s="49"/>
      <c r="E650" s="49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9"/>
      <c r="D651" s="49"/>
      <c r="E651" s="49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9"/>
      <c r="D652" s="49"/>
      <c r="E652" s="49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9"/>
      <c r="D653" s="49"/>
      <c r="E653" s="49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9"/>
      <c r="D654" s="49"/>
      <c r="E654" s="49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9"/>
      <c r="D655" s="49"/>
      <c r="E655" s="49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9"/>
      <c r="D656" s="49"/>
      <c r="E656" s="49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9"/>
      <c r="D657" s="49"/>
      <c r="E657" s="49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9"/>
      <c r="D658" s="49"/>
      <c r="E658" s="49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9"/>
      <c r="D659" s="49"/>
      <c r="E659" s="49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9"/>
      <c r="D660" s="49"/>
      <c r="E660" s="49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9"/>
      <c r="D661" s="49"/>
      <c r="E661" s="49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9"/>
      <c r="D662" s="49"/>
      <c r="E662" s="49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9"/>
      <c r="D663" s="49"/>
      <c r="E663" s="49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9"/>
      <c r="D664" s="49"/>
      <c r="E664" s="49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9"/>
      <c r="D665" s="49"/>
      <c r="E665" s="49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9"/>
      <c r="D666" s="49"/>
      <c r="E666" s="49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9"/>
      <c r="D667" s="49"/>
      <c r="E667" s="49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9"/>
      <c r="D668" s="49"/>
      <c r="E668" s="49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9"/>
      <c r="D669" s="49"/>
      <c r="E669" s="49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9"/>
      <c r="D670" s="49"/>
      <c r="E670" s="49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9"/>
      <c r="D671" s="49"/>
      <c r="E671" s="49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9"/>
      <c r="D672" s="49"/>
      <c r="E672" s="49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9"/>
      <c r="D673" s="49"/>
      <c r="E673" s="49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9"/>
      <c r="D674" s="49"/>
      <c r="E674" s="49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9"/>
      <c r="D675" s="49"/>
      <c r="E675" s="49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9"/>
      <c r="D676" s="49"/>
      <c r="E676" s="49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9"/>
      <c r="D677" s="49"/>
      <c r="E677" s="49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9"/>
      <c r="D678" s="49"/>
      <c r="E678" s="49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9"/>
      <c r="D679" s="49"/>
      <c r="E679" s="49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9"/>
      <c r="D680" s="49"/>
      <c r="E680" s="49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9"/>
      <c r="D681" s="49"/>
      <c r="E681" s="49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9"/>
      <c r="D682" s="49"/>
      <c r="E682" s="49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9"/>
      <c r="D683" s="49"/>
      <c r="E683" s="49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9"/>
      <c r="D684" s="49"/>
      <c r="E684" s="49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9"/>
      <c r="D685" s="49"/>
      <c r="E685" s="49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9"/>
      <c r="D686" s="49"/>
      <c r="E686" s="49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9"/>
      <c r="D687" s="49"/>
      <c r="E687" s="49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9"/>
      <c r="D688" s="49"/>
      <c r="E688" s="49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9"/>
      <c r="D689" s="49"/>
      <c r="E689" s="49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9"/>
      <c r="D690" s="49"/>
      <c r="E690" s="49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9"/>
      <c r="D691" s="49"/>
      <c r="E691" s="49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9"/>
      <c r="D692" s="49"/>
      <c r="E692" s="49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9"/>
      <c r="D693" s="49"/>
      <c r="E693" s="49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9"/>
      <c r="D694" s="49"/>
      <c r="E694" s="49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9"/>
      <c r="D695" s="49"/>
      <c r="E695" s="49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9"/>
      <c r="D696" s="49"/>
      <c r="E696" s="49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9"/>
      <c r="D697" s="49"/>
      <c r="E697" s="49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9"/>
      <c r="D698" s="49"/>
      <c r="E698" s="49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9"/>
      <c r="D699" s="49"/>
      <c r="E699" s="49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9"/>
      <c r="D700" s="49"/>
      <c r="E700" s="49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9"/>
      <c r="D701" s="49"/>
      <c r="E701" s="49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9"/>
      <c r="D702" s="49"/>
      <c r="E702" s="49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9"/>
      <c r="D703" s="49"/>
      <c r="E703" s="49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9"/>
      <c r="D704" s="49"/>
      <c r="E704" s="49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9"/>
      <c r="D705" s="49"/>
      <c r="E705" s="49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9"/>
      <c r="D706" s="49"/>
      <c r="E706" s="49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9"/>
      <c r="D707" s="49"/>
      <c r="E707" s="49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9"/>
      <c r="D708" s="49"/>
      <c r="E708" s="49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9"/>
      <c r="D709" s="49"/>
      <c r="E709" s="49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9"/>
      <c r="D710" s="49"/>
      <c r="E710" s="49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9"/>
      <c r="D711" s="49"/>
      <c r="E711" s="49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9"/>
      <c r="D712" s="49"/>
      <c r="E712" s="49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9"/>
      <c r="D713" s="49"/>
      <c r="E713" s="49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9"/>
      <c r="D714" s="49"/>
      <c r="E714" s="49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9"/>
      <c r="D715" s="49"/>
      <c r="E715" s="49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9"/>
      <c r="D716" s="49"/>
      <c r="E716" s="49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9"/>
      <c r="D717" s="49"/>
      <c r="E717" s="49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9"/>
      <c r="D718" s="49"/>
      <c r="E718" s="49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9"/>
      <c r="D719" s="49"/>
      <c r="E719" s="49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9"/>
      <c r="D720" s="49"/>
      <c r="E720" s="49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9"/>
      <c r="D721" s="49"/>
      <c r="E721" s="49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9"/>
      <c r="D722" s="49"/>
      <c r="E722" s="49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9"/>
      <c r="D723" s="49"/>
      <c r="E723" s="49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9"/>
      <c r="D724" s="49"/>
      <c r="E724" s="49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9"/>
      <c r="D725" s="49"/>
      <c r="E725" s="49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9"/>
      <c r="D726" s="49"/>
      <c r="E726" s="49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9"/>
      <c r="D727" s="49"/>
      <c r="E727" s="49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9"/>
      <c r="D728" s="49"/>
      <c r="E728" s="49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9"/>
      <c r="D729" s="49"/>
      <c r="E729" s="49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9"/>
      <c r="D730" s="49"/>
      <c r="E730" s="49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9"/>
      <c r="D731" s="49"/>
      <c r="E731" s="49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9"/>
      <c r="D732" s="49"/>
      <c r="E732" s="49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9"/>
      <c r="D733" s="49"/>
      <c r="E733" s="49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9"/>
      <c r="D734" s="49"/>
      <c r="E734" s="49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9"/>
      <c r="D735" s="49"/>
      <c r="E735" s="49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9"/>
      <c r="D736" s="49"/>
      <c r="E736" s="49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9"/>
      <c r="D737" s="49"/>
      <c r="E737" s="49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9"/>
      <c r="D738" s="49"/>
      <c r="E738" s="49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9"/>
      <c r="D739" s="49"/>
      <c r="E739" s="49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9"/>
      <c r="D740" s="49"/>
      <c r="E740" s="49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9"/>
      <c r="D741" s="49"/>
      <c r="E741" s="49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9"/>
      <c r="D742" s="49"/>
      <c r="E742" s="49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9"/>
      <c r="D743" s="49"/>
      <c r="E743" s="49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9"/>
      <c r="D744" s="49"/>
      <c r="E744" s="49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9"/>
      <c r="D745" s="49"/>
      <c r="E745" s="49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9"/>
      <c r="D746" s="49"/>
      <c r="E746" s="49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9"/>
      <c r="D747" s="49"/>
      <c r="E747" s="49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9"/>
      <c r="D748" s="49"/>
      <c r="E748" s="49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9"/>
      <c r="D749" s="49"/>
      <c r="E749" s="49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9"/>
      <c r="D750" s="49"/>
      <c r="E750" s="49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9"/>
      <c r="D751" s="49"/>
      <c r="E751" s="49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9"/>
      <c r="D752" s="49"/>
      <c r="E752" s="49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9"/>
      <c r="D753" s="49"/>
      <c r="E753" s="49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9"/>
      <c r="D754" s="49"/>
      <c r="E754" s="49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9"/>
      <c r="D755" s="49"/>
      <c r="E755" s="49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9"/>
      <c r="D756" s="49"/>
      <c r="E756" s="49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9"/>
      <c r="D757" s="49"/>
      <c r="E757" s="49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9"/>
      <c r="D758" s="49"/>
      <c r="E758" s="49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9"/>
      <c r="D759" s="49"/>
      <c r="E759" s="49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9"/>
      <c r="D760" s="49"/>
      <c r="E760" s="49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9"/>
      <c r="D761" s="49"/>
      <c r="E761" s="49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9"/>
      <c r="D762" s="49"/>
      <c r="E762" s="49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9"/>
      <c r="D763" s="49"/>
      <c r="E763" s="49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9"/>
      <c r="D764" s="49"/>
      <c r="E764" s="49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9"/>
      <c r="D765" s="49"/>
      <c r="E765" s="49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9"/>
      <c r="D766" s="49"/>
      <c r="E766" s="49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9"/>
      <c r="D767" s="49"/>
      <c r="E767" s="49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9"/>
      <c r="D768" s="49"/>
      <c r="E768" s="49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9"/>
      <c r="D769" s="49"/>
      <c r="E769" s="49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9"/>
      <c r="D770" s="49"/>
      <c r="E770" s="49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9"/>
      <c r="D771" s="49"/>
      <c r="E771" s="49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9"/>
      <c r="D772" s="49"/>
      <c r="E772" s="49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9"/>
      <c r="D773" s="49"/>
      <c r="E773" s="49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9"/>
      <c r="D774" s="49"/>
      <c r="E774" s="49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9"/>
      <c r="D775" s="49"/>
      <c r="E775" s="49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9"/>
      <c r="D776" s="49"/>
      <c r="E776" s="49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9"/>
      <c r="D777" s="49"/>
      <c r="E777" s="49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9"/>
      <c r="D778" s="49"/>
      <c r="E778" s="49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9"/>
      <c r="D779" s="49"/>
      <c r="E779" s="49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9"/>
      <c r="D780" s="49"/>
      <c r="E780" s="49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9"/>
      <c r="D781" s="49"/>
      <c r="E781" s="49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9"/>
      <c r="D782" s="49"/>
      <c r="E782" s="49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9"/>
      <c r="D783" s="49"/>
      <c r="E783" s="49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9"/>
      <c r="D784" s="49"/>
      <c r="E784" s="49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9"/>
      <c r="D785" s="49"/>
      <c r="E785" s="49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9"/>
      <c r="D786" s="49"/>
      <c r="E786" s="49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9"/>
      <c r="D787" s="49"/>
      <c r="E787" s="49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9"/>
      <c r="D788" s="49"/>
      <c r="E788" s="49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9"/>
      <c r="D789" s="49"/>
      <c r="E789" s="49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9"/>
      <c r="D790" s="49"/>
      <c r="E790" s="49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9"/>
      <c r="D791" s="49"/>
      <c r="E791" s="49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9"/>
      <c r="D792" s="49"/>
      <c r="E792" s="49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9"/>
      <c r="D793" s="49"/>
      <c r="E793" s="49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9"/>
      <c r="D794" s="49"/>
      <c r="E794" s="49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9"/>
      <c r="D795" s="49"/>
      <c r="E795" s="49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9"/>
      <c r="D796" s="49"/>
      <c r="E796" s="49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9"/>
      <c r="D797" s="49"/>
      <c r="E797" s="49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9"/>
      <c r="D798" s="49"/>
      <c r="E798" s="49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9"/>
      <c r="D799" s="49"/>
      <c r="E799" s="49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9"/>
      <c r="D800" s="49"/>
      <c r="E800" s="49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9"/>
      <c r="D801" s="49"/>
      <c r="E801" s="49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9"/>
      <c r="D802" s="49"/>
      <c r="E802" s="49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9"/>
      <c r="D803" s="49"/>
      <c r="E803" s="49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9"/>
      <c r="D804" s="49"/>
      <c r="E804" s="49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9"/>
      <c r="D805" s="49"/>
      <c r="E805" s="49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9"/>
      <c r="D806" s="49"/>
      <c r="E806" s="49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9"/>
      <c r="D807" s="49"/>
      <c r="E807" s="49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9"/>
      <c r="D808" s="49"/>
      <c r="E808" s="49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9"/>
      <c r="D809" s="49"/>
      <c r="E809" s="49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9"/>
      <c r="D810" s="49"/>
      <c r="E810" s="49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9"/>
      <c r="D811" s="49"/>
      <c r="E811" s="49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9"/>
      <c r="D812" s="49"/>
      <c r="E812" s="49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9"/>
      <c r="D813" s="49"/>
      <c r="E813" s="49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9"/>
      <c r="D814" s="49"/>
      <c r="E814" s="49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9"/>
      <c r="D815" s="49"/>
      <c r="E815" s="49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9"/>
      <c r="D816" s="49"/>
      <c r="E816" s="49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9"/>
      <c r="D817" s="49"/>
      <c r="E817" s="49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9"/>
      <c r="D818" s="49"/>
      <c r="E818" s="49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9"/>
      <c r="D819" s="49"/>
      <c r="E819" s="49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9"/>
      <c r="D820" s="49"/>
      <c r="E820" s="49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9"/>
      <c r="D821" s="49"/>
      <c r="E821" s="49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9"/>
      <c r="D822" s="49"/>
      <c r="E822" s="49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9"/>
      <c r="D823" s="49"/>
      <c r="E823" s="49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9"/>
      <c r="D824" s="49"/>
      <c r="E824" s="49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9"/>
      <c r="D825" s="49"/>
      <c r="E825" s="49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9"/>
      <c r="D826" s="49"/>
      <c r="E826" s="49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9"/>
      <c r="D827" s="49"/>
      <c r="E827" s="49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9"/>
      <c r="D828" s="49"/>
      <c r="E828" s="49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9"/>
      <c r="D829" s="49"/>
      <c r="E829" s="49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9"/>
      <c r="D830" s="49"/>
      <c r="E830" s="49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9"/>
      <c r="D831" s="49"/>
      <c r="E831" s="49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9"/>
      <c r="D832" s="49"/>
      <c r="E832" s="49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9"/>
      <c r="D833" s="49"/>
      <c r="E833" s="49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9"/>
      <c r="D834" s="49"/>
      <c r="E834" s="49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9"/>
      <c r="D835" s="49"/>
      <c r="E835" s="49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9"/>
      <c r="D836" s="49"/>
      <c r="E836" s="49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9"/>
      <c r="D837" s="49"/>
      <c r="E837" s="49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9"/>
      <c r="D838" s="49"/>
      <c r="E838" s="49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9"/>
      <c r="D839" s="49"/>
      <c r="E839" s="49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9"/>
      <c r="D840" s="49"/>
      <c r="E840" s="49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9"/>
      <c r="D841" s="49"/>
      <c r="E841" s="49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9"/>
      <c r="D842" s="49"/>
      <c r="E842" s="49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9"/>
      <c r="D843" s="49"/>
      <c r="E843" s="49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9"/>
      <c r="D844" s="49"/>
      <c r="E844" s="49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9"/>
      <c r="D845" s="49"/>
      <c r="E845" s="49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9"/>
      <c r="D846" s="49"/>
      <c r="E846" s="49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9"/>
      <c r="D847" s="49"/>
      <c r="E847" s="49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9"/>
      <c r="D848" s="49"/>
      <c r="E848" s="49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9"/>
      <c r="D849" s="49"/>
      <c r="E849" s="49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9"/>
      <c r="D850" s="49"/>
      <c r="E850" s="49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9"/>
      <c r="D851" s="49"/>
      <c r="E851" s="49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9"/>
      <c r="D852" s="49"/>
      <c r="E852" s="49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9"/>
      <c r="D853" s="49"/>
      <c r="E853" s="49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9"/>
      <c r="D854" s="49"/>
      <c r="E854" s="49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9"/>
      <c r="D855" s="49"/>
      <c r="E855" s="49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9"/>
      <c r="D856" s="49"/>
      <c r="E856" s="49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9"/>
      <c r="D857" s="49"/>
      <c r="E857" s="49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9"/>
      <c r="D858" s="49"/>
      <c r="E858" s="49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9"/>
      <c r="D859" s="49"/>
      <c r="E859" s="49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9"/>
      <c r="D860" s="49"/>
      <c r="E860" s="49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9"/>
      <c r="D861" s="49"/>
      <c r="E861" s="49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9"/>
      <c r="D862" s="49"/>
      <c r="E862" s="49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9"/>
      <c r="D863" s="49"/>
      <c r="E863" s="49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9"/>
      <c r="D864" s="49"/>
      <c r="E864" s="49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9"/>
      <c r="D865" s="49"/>
      <c r="E865" s="49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9"/>
      <c r="D866" s="49"/>
      <c r="E866" s="49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9"/>
      <c r="D867" s="49"/>
      <c r="E867" s="49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9"/>
      <c r="D868" s="49"/>
      <c r="E868" s="49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9"/>
      <c r="D869" s="49"/>
      <c r="E869" s="49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9"/>
      <c r="D870" s="49"/>
      <c r="E870" s="49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9"/>
      <c r="D871" s="49"/>
      <c r="E871" s="49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9"/>
      <c r="D872" s="49"/>
      <c r="E872" s="49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9"/>
      <c r="D873" s="49"/>
      <c r="E873" s="49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9"/>
      <c r="D874" s="49"/>
      <c r="E874" s="49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9"/>
      <c r="D875" s="49"/>
      <c r="E875" s="49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9"/>
      <c r="D876" s="49"/>
      <c r="E876" s="49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9"/>
      <c r="D877" s="49"/>
      <c r="E877" s="49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9"/>
      <c r="D878" s="49"/>
      <c r="E878" s="49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9"/>
      <c r="D879" s="49"/>
      <c r="E879" s="49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9"/>
      <c r="D880" s="49"/>
      <c r="E880" s="49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9"/>
      <c r="D881" s="49"/>
      <c r="E881" s="49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9"/>
      <c r="D882" s="49"/>
      <c r="E882" s="49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9"/>
      <c r="D883" s="49"/>
      <c r="E883" s="49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9"/>
      <c r="D884" s="49"/>
      <c r="E884" s="49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9"/>
      <c r="D885" s="49"/>
      <c r="E885" s="49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9"/>
      <c r="D886" s="49"/>
      <c r="E886" s="49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9"/>
      <c r="D887" s="49"/>
      <c r="E887" s="49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9"/>
      <c r="D888" s="49"/>
      <c r="E888" s="49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9"/>
      <c r="D889" s="49"/>
      <c r="E889" s="49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9"/>
      <c r="D890" s="49"/>
      <c r="E890" s="49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9"/>
      <c r="D891" s="49"/>
      <c r="E891" s="49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9"/>
      <c r="D892" s="49"/>
      <c r="E892" s="49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9"/>
      <c r="D893" s="49"/>
      <c r="E893" s="49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9"/>
      <c r="D894" s="49"/>
      <c r="E894" s="49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9"/>
      <c r="D895" s="49"/>
      <c r="E895" s="49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9"/>
      <c r="D896" s="49"/>
      <c r="E896" s="49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9"/>
      <c r="D897" s="49"/>
      <c r="E897" s="49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9"/>
      <c r="D898" s="49"/>
      <c r="E898" s="49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9"/>
      <c r="D899" s="49"/>
      <c r="E899" s="49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9"/>
      <c r="D900" s="49"/>
      <c r="E900" s="49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9"/>
      <c r="D901" s="49"/>
      <c r="E901" s="49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9"/>
      <c r="D902" s="49"/>
      <c r="E902" s="49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9"/>
      <c r="D903" s="49"/>
      <c r="E903" s="49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9"/>
      <c r="D904" s="49"/>
      <c r="E904" s="49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9"/>
      <c r="D905" s="49"/>
      <c r="E905" s="49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9"/>
      <c r="D906" s="49"/>
      <c r="E906" s="49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9"/>
      <c r="D907" s="49"/>
      <c r="E907" s="49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9"/>
      <c r="D908" s="49"/>
      <c r="E908" s="49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9"/>
      <c r="D909" s="49"/>
      <c r="E909" s="49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9"/>
      <c r="D910" s="49"/>
      <c r="E910" s="49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9"/>
      <c r="D911" s="49"/>
      <c r="E911" s="49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9"/>
      <c r="D912" s="49"/>
      <c r="E912" s="49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9"/>
      <c r="D913" s="49"/>
      <c r="E913" s="49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9"/>
      <c r="D914" s="49"/>
      <c r="E914" s="49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9"/>
      <c r="D915" s="49"/>
      <c r="E915" s="49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9"/>
      <c r="D916" s="49"/>
      <c r="E916" s="49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9"/>
      <c r="D917" s="49"/>
      <c r="E917" s="49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9"/>
      <c r="D918" s="49"/>
      <c r="E918" s="49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9"/>
      <c r="D919" s="49"/>
      <c r="E919" s="49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9"/>
      <c r="D920" s="49"/>
      <c r="E920" s="49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9"/>
      <c r="D921" s="49"/>
      <c r="E921" s="49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9"/>
      <c r="D922" s="49"/>
      <c r="E922" s="49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9"/>
      <c r="D923" s="49"/>
      <c r="E923" s="49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9"/>
      <c r="D924" s="49"/>
      <c r="E924" s="49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9"/>
      <c r="D925" s="49"/>
      <c r="E925" s="49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9"/>
      <c r="D926" s="49"/>
      <c r="E926" s="49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9"/>
      <c r="D927" s="49"/>
      <c r="E927" s="49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9"/>
      <c r="D928" s="49"/>
      <c r="E928" s="49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9"/>
      <c r="D929" s="49"/>
      <c r="E929" s="49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9"/>
      <c r="D930" s="49"/>
      <c r="E930" s="49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9"/>
      <c r="D931" s="49"/>
      <c r="E931" s="49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9"/>
      <c r="D932" s="49"/>
      <c r="E932" s="49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9"/>
      <c r="D933" s="49"/>
      <c r="E933" s="49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9"/>
      <c r="D934" s="49"/>
      <c r="E934" s="49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9"/>
      <c r="D935" s="49"/>
      <c r="E935" s="49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9"/>
      <c r="D936" s="49"/>
      <c r="E936" s="49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9"/>
      <c r="D937" s="49"/>
      <c r="E937" s="49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9"/>
      <c r="D938" s="49"/>
      <c r="E938" s="49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9"/>
      <c r="D939" s="49"/>
      <c r="E939" s="49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9"/>
      <c r="D940" s="49"/>
      <c r="E940" s="49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9"/>
      <c r="D941" s="49"/>
      <c r="E941" s="49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9"/>
      <c r="D942" s="49"/>
      <c r="E942" s="49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9"/>
      <c r="D943" s="49"/>
      <c r="E943" s="49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9"/>
      <c r="D944" s="49"/>
      <c r="E944" s="49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9"/>
      <c r="D945" s="49"/>
      <c r="E945" s="49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9"/>
      <c r="D946" s="49"/>
      <c r="E946" s="49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9"/>
      <c r="D947" s="49"/>
      <c r="E947" s="49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9"/>
      <c r="D948" s="49"/>
      <c r="E948" s="49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9"/>
      <c r="D949" s="49"/>
      <c r="E949" s="49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9"/>
      <c r="D950" s="49"/>
      <c r="E950" s="49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9"/>
      <c r="D951" s="49"/>
      <c r="E951" s="49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9"/>
      <c r="D952" s="49"/>
      <c r="E952" s="49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9"/>
      <c r="D953" s="49"/>
      <c r="E953" s="49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9"/>
      <c r="D954" s="49"/>
      <c r="E954" s="49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9"/>
      <c r="D955" s="49"/>
      <c r="E955" s="49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9"/>
      <c r="D956" s="49"/>
      <c r="E956" s="49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9"/>
      <c r="D957" s="49"/>
      <c r="E957" s="49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9"/>
      <c r="D958" s="49"/>
      <c r="E958" s="49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9"/>
      <c r="D959" s="49"/>
      <c r="E959" s="49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9"/>
      <c r="D960" s="49"/>
      <c r="E960" s="49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9"/>
      <c r="D961" s="49"/>
      <c r="E961" s="49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9"/>
      <c r="D962" s="49"/>
      <c r="E962" s="49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9"/>
      <c r="D963" s="49"/>
      <c r="E963" s="49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9"/>
      <c r="D964" s="49"/>
      <c r="E964" s="49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9"/>
      <c r="D965" s="49"/>
      <c r="E965" s="49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9"/>
      <c r="D966" s="49"/>
      <c r="E966" s="49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9"/>
      <c r="D967" s="49"/>
      <c r="E967" s="49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99"/>
      <c r="D968" s="49"/>
      <c r="E968" s="49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99"/>
      <c r="D969" s="49"/>
      <c r="E969" s="49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99"/>
      <c r="D970" s="49"/>
      <c r="E970" s="49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99"/>
      <c r="D971" s="49"/>
      <c r="E971" s="49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2"/>
      <c r="C972" s="99"/>
      <c r="D972" s="49"/>
      <c r="E972" s="49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ht="20.25" customHeight="1">
      <c r="A973" s="1"/>
      <c r="B973" s="4"/>
      <c r="C973" s="4"/>
      <c r="D973" s="49"/>
      <c r="E973" s="49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49"/>
      <c r="E974" s="49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9"/>
      <c r="E975" s="49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9"/>
      <c r="E976" s="49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9"/>
      <c r="E977" s="49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9"/>
      <c r="E978" s="49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9"/>
      <c r="E979" s="49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9"/>
      <c r="E980" s="49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49"/>
      <c r="E981" s="49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49"/>
      <c r="E982" s="49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  <row r="983" ht="20.25" customHeight="1">
      <c r="A983" s="1"/>
      <c r="B983" s="4"/>
      <c r="C983" s="4"/>
      <c r="D983" s="49"/>
      <c r="E983" s="49"/>
      <c r="F983" s="1"/>
      <c r="G983" s="1"/>
      <c r="H983" s="1"/>
      <c r="I983" s="4"/>
      <c r="J983" s="4"/>
      <c r="K983" s="4"/>
      <c r="L983" s="4"/>
      <c r="M983" s="5"/>
      <c r="N983" s="1"/>
      <c r="O983" s="1"/>
      <c r="P983" s="1"/>
      <c r="Q983" s="1"/>
      <c r="R983" s="1"/>
      <c r="S983" s="1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4"/>
      <c r="AG983" s="4"/>
      <c r="AH983" s="4"/>
      <c r="AI983" s="4"/>
      <c r="AJ983" s="1"/>
      <c r="AK983" s="1"/>
      <c r="AL983" s="1"/>
      <c r="AM983" s="1"/>
      <c r="AN983" s="1"/>
      <c r="AO983" s="1"/>
      <c r="AP983" s="1"/>
      <c r="AQ983" s="1"/>
      <c r="AR983" s="4"/>
      <c r="AS983" s="4"/>
      <c r="AT983" s="4"/>
      <c r="AU983" s="4"/>
      <c r="AV983" s="4"/>
      <c r="AW983" s="4"/>
      <c r="AX983" s="4"/>
    </row>
  </sheetData>
  <mergeCells count="317">
    <mergeCell ref="I49:J49"/>
    <mergeCell ref="I50:J50"/>
    <mergeCell ref="I51:J51"/>
    <mergeCell ref="I52:J52"/>
    <mergeCell ref="I53:J53"/>
    <mergeCell ref="I54:J54"/>
    <mergeCell ref="I55:J55"/>
    <mergeCell ref="K50:L50"/>
    <mergeCell ref="K51:L51"/>
    <mergeCell ref="K52:L52"/>
    <mergeCell ref="K53:L53"/>
    <mergeCell ref="K54:L54"/>
    <mergeCell ref="K55:L55"/>
    <mergeCell ref="C56:L56"/>
    <mergeCell ref="I61:J61"/>
    <mergeCell ref="K61:L61"/>
    <mergeCell ref="K57:L57"/>
    <mergeCell ref="B59:F60"/>
    <mergeCell ref="I59:J59"/>
    <mergeCell ref="K59:L59"/>
    <mergeCell ref="I60:J60"/>
    <mergeCell ref="K60:L60"/>
    <mergeCell ref="B61:D62"/>
    <mergeCell ref="E67:E68"/>
    <mergeCell ref="F67:F68"/>
    <mergeCell ref="B69:D70"/>
    <mergeCell ref="E69:E70"/>
    <mergeCell ref="F69:F70"/>
    <mergeCell ref="E61:E62"/>
    <mergeCell ref="F61:F62"/>
    <mergeCell ref="B63:F64"/>
    <mergeCell ref="B65:D66"/>
    <mergeCell ref="E65:E66"/>
    <mergeCell ref="F65:F66"/>
    <mergeCell ref="B67:D68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C36:L36"/>
    <mergeCell ref="I28:J28"/>
    <mergeCell ref="K28:L28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9:J39"/>
    <mergeCell ref="K39:L39"/>
    <mergeCell ref="K40:L40"/>
    <mergeCell ref="I40:J40"/>
    <mergeCell ref="I41:J41"/>
    <mergeCell ref="I42:J42"/>
    <mergeCell ref="I43:J43"/>
    <mergeCell ref="I44:J44"/>
    <mergeCell ref="I45:J45"/>
    <mergeCell ref="I48:J48"/>
    <mergeCell ref="K41:L41"/>
    <mergeCell ref="K42:L42"/>
    <mergeCell ref="K43:L43"/>
    <mergeCell ref="K44:L44"/>
    <mergeCell ref="K45:L45"/>
    <mergeCell ref="K48:L48"/>
    <mergeCell ref="K49:L49"/>
    <mergeCell ref="I57:J57"/>
    <mergeCell ref="I58:J58"/>
    <mergeCell ref="K58:L58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8:V28"/>
    <mergeCell ref="W28:X28"/>
    <mergeCell ref="AG28:AH28"/>
    <mergeCell ref="AI28:AJ28"/>
    <mergeCell ref="AS28:AT28"/>
    <mergeCell ref="AU28:AV28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33:V33"/>
    <mergeCell ref="W33:X33"/>
    <mergeCell ref="U34:V34"/>
    <mergeCell ref="W34:X34"/>
    <mergeCell ref="O36:X36"/>
    <mergeCell ref="U39:V39"/>
    <mergeCell ref="W39:X39"/>
    <mergeCell ref="U41:V41"/>
    <mergeCell ref="W41:X41"/>
    <mergeCell ref="U42:V42"/>
    <mergeCell ref="W42:X42"/>
    <mergeCell ref="U43:V43"/>
    <mergeCell ref="W43:X43"/>
    <mergeCell ref="W44:X44"/>
    <mergeCell ref="W45:X45"/>
    <mergeCell ref="U50:V50"/>
    <mergeCell ref="U51:V51"/>
    <mergeCell ref="U52:V52"/>
    <mergeCell ref="U53:V53"/>
    <mergeCell ref="U54:V54"/>
    <mergeCell ref="U55:V55"/>
    <mergeCell ref="W51:X51"/>
    <mergeCell ref="W52:X52"/>
    <mergeCell ref="W53:X53"/>
    <mergeCell ref="W54:X54"/>
    <mergeCell ref="W55:X55"/>
    <mergeCell ref="O56:X56"/>
    <mergeCell ref="U44:V44"/>
    <mergeCell ref="U45:V45"/>
    <mergeCell ref="U48:V48"/>
    <mergeCell ref="W48:X48"/>
    <mergeCell ref="U49:V49"/>
    <mergeCell ref="W49:X49"/>
    <mergeCell ref="W50:X50"/>
    <mergeCell ref="AS40:AT40"/>
    <mergeCell ref="AS41:AT41"/>
    <mergeCell ref="U40:V40"/>
    <mergeCell ref="W40:X40"/>
    <mergeCell ref="AG40:AH40"/>
    <mergeCell ref="AI40:AJ40"/>
    <mergeCell ref="AU40:AV40"/>
    <mergeCell ref="AI41:AJ41"/>
    <mergeCell ref="AU41:AV41"/>
    <mergeCell ref="AS43:AT43"/>
    <mergeCell ref="AU43:AV43"/>
    <mergeCell ref="AG41:AH41"/>
    <mergeCell ref="AG42:AH42"/>
    <mergeCell ref="AI42:AJ42"/>
    <mergeCell ref="AS42:AT42"/>
    <mergeCell ref="AU42:AV42"/>
    <mergeCell ref="AG43:AH43"/>
    <mergeCell ref="AI43:AJ43"/>
    <mergeCell ref="AG48:AH48"/>
    <mergeCell ref="AI48:AJ48"/>
    <mergeCell ref="AS48:AT48"/>
    <mergeCell ref="AU48:AV48"/>
    <mergeCell ref="AI49:AJ49"/>
    <mergeCell ref="AS49:AT49"/>
    <mergeCell ref="AU49:AV49"/>
    <mergeCell ref="AG53:AH53"/>
    <mergeCell ref="AI53:AJ53"/>
    <mergeCell ref="AG54:AH54"/>
    <mergeCell ref="AI54:AJ54"/>
    <mergeCell ref="AG55:AH55"/>
    <mergeCell ref="AI55:AJ55"/>
    <mergeCell ref="AA56:AJ56"/>
    <mergeCell ref="AG49:AH49"/>
    <mergeCell ref="AG50:AH50"/>
    <mergeCell ref="AI50:AJ50"/>
    <mergeCell ref="AG51:AH51"/>
    <mergeCell ref="AI51:AJ51"/>
    <mergeCell ref="AG52:AH52"/>
    <mergeCell ref="AI52:AJ52"/>
    <mergeCell ref="AS53:AT53"/>
    <mergeCell ref="AS54:AT54"/>
    <mergeCell ref="AS55:AT55"/>
    <mergeCell ref="AU54:AV54"/>
    <mergeCell ref="AU55:AV55"/>
    <mergeCell ref="AM56:AV56"/>
    <mergeCell ref="AS50:AT50"/>
    <mergeCell ref="AU50:AV50"/>
    <mergeCell ref="AS51:AT51"/>
    <mergeCell ref="AU51:AV51"/>
    <mergeCell ref="AS52:AT52"/>
    <mergeCell ref="AU52:AV52"/>
    <mergeCell ref="AU53:AV53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M36:AV36"/>
    <mergeCell ref="AS29:AT29"/>
    <mergeCell ref="AS30:AT30"/>
    <mergeCell ref="AS31:AT31"/>
    <mergeCell ref="AU31:AV31"/>
    <mergeCell ref="AS32:AT32"/>
    <mergeCell ref="AU32:AV32"/>
    <mergeCell ref="AU33:AV33"/>
    <mergeCell ref="AU34:AV34"/>
    <mergeCell ref="AG39:AH39"/>
    <mergeCell ref="AI39:AJ39"/>
    <mergeCell ref="AS39:AT39"/>
    <mergeCell ref="AU39:AV39"/>
    <mergeCell ref="AG32:AH32"/>
    <mergeCell ref="AI32:AJ32"/>
    <mergeCell ref="AG33:AH33"/>
    <mergeCell ref="AI33:AJ33"/>
    <mergeCell ref="AG34:AH34"/>
    <mergeCell ref="AI34:AJ34"/>
    <mergeCell ref="AA36:AJ36"/>
    <mergeCell ref="AG44:AH44"/>
    <mergeCell ref="AI44:AJ44"/>
    <mergeCell ref="AS44:AT44"/>
    <mergeCell ref="AU44:AV44"/>
    <mergeCell ref="AG45:AH45"/>
    <mergeCell ref="AI45:AJ45"/>
    <mergeCell ref="AS45:AT45"/>
    <mergeCell ref="AU45:AV45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C54"/>
    <hyperlink r:id="rId114" ref="O54"/>
    <hyperlink r:id="rId115" ref="AA54"/>
    <hyperlink r:id="rId116" ref="AM54"/>
    <hyperlink r:id="rId117" ref="B65"/>
    <hyperlink r:id="rId118" ref="B67"/>
    <hyperlink r:id="rId119" ref="B69"/>
  </hyperlinks>
  <printOptions/>
  <pageMargins bottom="0.75" footer="0.0" header="0.0" left="0.7" right="0.7" top="0.75"/>
  <pageSetup orientation="portrait"/>
  <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7"/>
      <c r="B1" s="107"/>
      <c r="C1" s="107"/>
      <c r="D1" s="107"/>
      <c r="E1" s="107"/>
      <c r="F1" s="108"/>
      <c r="G1" s="108"/>
      <c r="H1" s="108"/>
      <c r="I1" s="109"/>
      <c r="J1" s="109"/>
      <c r="K1" s="108"/>
      <c r="L1" s="16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</row>
    <row r="2">
      <c r="A2" s="107"/>
      <c r="B2" s="107"/>
      <c r="C2" s="107"/>
      <c r="D2" s="107"/>
      <c r="E2" s="107"/>
      <c r="F2" s="108"/>
      <c r="G2" s="108"/>
      <c r="H2" s="108"/>
      <c r="I2" s="109"/>
      <c r="J2" s="109"/>
      <c r="K2" s="108"/>
      <c r="L2" s="16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ht="217.5" customHeight="1">
      <c r="A3" s="48"/>
      <c r="B3" s="48"/>
      <c r="C3" s="16"/>
      <c r="D3" s="16"/>
      <c r="E3" s="16"/>
      <c r="F3" s="16"/>
      <c r="G3" s="16"/>
      <c r="H3" s="48"/>
      <c r="I3" s="110"/>
      <c r="J3" s="110"/>
      <c r="K3" s="16"/>
      <c r="L3" s="16"/>
      <c r="M3" s="108"/>
      <c r="N3" s="111"/>
      <c r="O3" s="108"/>
      <c r="P3" s="48"/>
      <c r="Q3" s="48"/>
      <c r="R3" s="4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ht="75.0" customHeight="1">
      <c r="A4" s="48"/>
      <c r="B4" s="48"/>
      <c r="C4" s="16"/>
      <c r="D4" s="16"/>
      <c r="E4" s="16"/>
      <c r="F4" s="16"/>
      <c r="G4" s="16"/>
      <c r="H4" s="48"/>
      <c r="I4" s="110"/>
      <c r="J4" s="110"/>
      <c r="K4" s="16"/>
      <c r="L4" s="16"/>
      <c r="M4" s="108"/>
      <c r="N4" s="108"/>
      <c r="O4" s="108"/>
      <c r="P4" s="48"/>
      <c r="Q4" s="16"/>
      <c r="R4" s="16"/>
      <c r="S4" s="16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>
      <c r="A5" s="97"/>
      <c r="B5" s="97"/>
      <c r="C5" s="112" t="s">
        <v>88</v>
      </c>
      <c r="D5" s="69"/>
      <c r="E5" s="23"/>
      <c r="F5" s="16"/>
      <c r="G5" s="97"/>
      <c r="H5" s="97"/>
      <c r="I5" s="113"/>
      <c r="J5" s="113"/>
      <c r="K5" s="97"/>
      <c r="L5" s="16"/>
      <c r="M5" s="114"/>
      <c r="N5" s="114"/>
      <c r="O5" s="114"/>
      <c r="P5" s="98"/>
      <c r="Q5" s="115"/>
      <c r="R5" s="115"/>
      <c r="S5" s="115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</row>
    <row r="6">
      <c r="A6" s="97"/>
      <c r="B6" s="97"/>
      <c r="C6" s="112" t="s">
        <v>89</v>
      </c>
      <c r="D6" s="69"/>
      <c r="E6" s="23"/>
      <c r="F6" s="16"/>
      <c r="G6" s="97"/>
      <c r="H6" s="97"/>
      <c r="I6" s="113"/>
      <c r="J6" s="113"/>
      <c r="K6" s="16"/>
      <c r="L6" s="16"/>
      <c r="M6" s="114"/>
      <c r="N6" s="114"/>
      <c r="O6" s="114"/>
      <c r="P6" s="98"/>
      <c r="Q6" s="115"/>
      <c r="R6" s="115"/>
      <c r="S6" s="115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</row>
    <row r="7">
      <c r="A7" s="97"/>
      <c r="B7" s="97"/>
      <c r="C7" s="112" t="s">
        <v>90</v>
      </c>
      <c r="D7" s="69"/>
      <c r="E7" s="23"/>
      <c r="F7" s="16"/>
      <c r="G7" s="97"/>
      <c r="H7" s="97"/>
      <c r="I7" s="113"/>
      <c r="J7" s="113"/>
      <c r="K7" s="16"/>
      <c r="L7" s="16"/>
      <c r="M7" s="16"/>
      <c r="N7" s="16"/>
      <c r="O7" s="16"/>
      <c r="P7" s="16"/>
      <c r="Q7" s="16"/>
      <c r="R7" s="16"/>
      <c r="S7" s="16"/>
      <c r="T7" s="116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</row>
    <row r="8">
      <c r="A8" s="97"/>
      <c r="B8" s="97"/>
      <c r="C8" s="117"/>
      <c r="D8" s="117"/>
      <c r="E8" s="117"/>
      <c r="F8" s="16"/>
      <c r="G8" s="97"/>
      <c r="H8" s="97"/>
      <c r="I8" s="113"/>
      <c r="J8" s="113"/>
      <c r="K8" s="16"/>
      <c r="L8" s="16"/>
      <c r="M8" s="16"/>
      <c r="N8" s="16"/>
      <c r="O8" s="16"/>
      <c r="P8" s="16"/>
      <c r="Q8" s="16"/>
      <c r="R8" s="16"/>
      <c r="S8" s="16"/>
      <c r="T8" s="116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</row>
    <row r="9">
      <c r="A9" s="48"/>
      <c r="B9" s="48"/>
      <c r="C9" s="16"/>
      <c r="D9" s="16"/>
      <c r="E9" s="16"/>
      <c r="F9" s="16"/>
      <c r="G9" s="97"/>
      <c r="H9" s="97"/>
      <c r="I9" s="113"/>
      <c r="J9" s="113"/>
      <c r="K9" s="16"/>
      <c r="L9" s="16"/>
      <c r="M9" s="16"/>
      <c r="N9" s="16"/>
      <c r="O9" s="16"/>
      <c r="P9" s="16"/>
      <c r="Q9" s="16"/>
      <c r="R9" s="16"/>
      <c r="S9" s="16"/>
      <c r="T9" s="116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</row>
    <row r="10">
      <c r="A10" s="48"/>
      <c r="B10" s="48"/>
      <c r="C10" s="16"/>
      <c r="D10" s="16"/>
      <c r="E10" s="16"/>
      <c r="F10" s="16"/>
      <c r="G10" s="118"/>
      <c r="H10" s="118"/>
      <c r="I10" s="113"/>
      <c r="J10" s="113"/>
      <c r="K10" s="118"/>
      <c r="L10" s="16"/>
      <c r="M10" s="16"/>
      <c r="N10" s="16"/>
      <c r="O10" s="16"/>
      <c r="P10" s="16"/>
      <c r="Q10" s="16"/>
      <c r="R10" s="16"/>
      <c r="S10" s="16"/>
      <c r="T10" s="116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</row>
    <row r="11" ht="18.0" customHeight="1">
      <c r="A11" s="48"/>
      <c r="B11" s="48"/>
      <c r="C11" s="16"/>
      <c r="D11" s="16"/>
      <c r="E11" s="16"/>
      <c r="F11" s="16"/>
      <c r="G11" s="118"/>
      <c r="H11" s="118"/>
      <c r="I11" s="113"/>
      <c r="J11" s="113"/>
      <c r="K11" s="118"/>
      <c r="L11" s="16"/>
      <c r="M11" s="16"/>
      <c r="N11" s="16"/>
      <c r="O11" s="16"/>
      <c r="P11" s="16"/>
      <c r="Q11" s="16"/>
      <c r="R11" s="16"/>
      <c r="S11" s="16"/>
      <c r="T11" s="119"/>
      <c r="U11" s="16"/>
      <c r="V11" s="16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</row>
    <row r="12" ht="25.5" customHeight="1">
      <c r="A12" s="48"/>
      <c r="B12" s="48"/>
      <c r="C12" s="120" t="s">
        <v>91</v>
      </c>
      <c r="D12" s="69"/>
      <c r="E12" s="23"/>
      <c r="F12" s="16"/>
      <c r="G12" s="118"/>
      <c r="H12" s="48"/>
      <c r="I12" s="110"/>
      <c r="J12" s="110"/>
      <c r="K12" s="118"/>
      <c r="L12" s="16"/>
      <c r="M12" s="16"/>
      <c r="N12" s="16"/>
      <c r="O12" s="16"/>
      <c r="P12" s="16"/>
      <c r="Q12" s="16"/>
      <c r="R12" s="16"/>
      <c r="S12" s="16"/>
      <c r="T12" s="119"/>
      <c r="U12" s="16"/>
      <c r="V12" s="16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</row>
    <row r="13">
      <c r="A13" s="48"/>
      <c r="B13" s="48"/>
      <c r="C13" s="121" t="s">
        <v>92</v>
      </c>
      <c r="D13" s="122"/>
      <c r="E13" s="23"/>
      <c r="F13" s="16"/>
      <c r="G13" s="118"/>
      <c r="H13" s="48"/>
      <c r="I13" s="110"/>
      <c r="J13" s="110"/>
      <c r="K13" s="118"/>
      <c r="L13" s="16"/>
      <c r="M13" s="16"/>
      <c r="N13" s="16"/>
      <c r="O13" s="16"/>
      <c r="P13" s="16"/>
      <c r="Q13" s="16"/>
      <c r="R13" s="16"/>
      <c r="S13" s="16"/>
      <c r="T13" s="119"/>
      <c r="U13" s="16"/>
      <c r="V13" s="16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</row>
    <row r="14">
      <c r="A14" s="48"/>
      <c r="B14" s="48"/>
      <c r="C14" s="121" t="s">
        <v>68</v>
      </c>
      <c r="D14" s="122"/>
      <c r="E14" s="23"/>
      <c r="F14" s="16"/>
      <c r="G14" s="118"/>
      <c r="H14" s="48"/>
      <c r="I14" s="110"/>
      <c r="J14" s="110"/>
      <c r="K14" s="118"/>
      <c r="L14" s="16"/>
      <c r="M14" s="16"/>
      <c r="N14" s="16"/>
      <c r="O14" s="16"/>
      <c r="P14" s="16"/>
      <c r="Q14" s="16"/>
      <c r="R14" s="16"/>
      <c r="S14" s="16"/>
      <c r="T14" s="119"/>
      <c r="U14" s="16"/>
      <c r="V14" s="16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</row>
    <row r="15">
      <c r="A15" s="123"/>
      <c r="B15" s="123"/>
      <c r="C15" s="121" t="s">
        <v>69</v>
      </c>
      <c r="D15" s="122"/>
      <c r="E15" s="23"/>
      <c r="F15" s="115"/>
      <c r="G15" s="118"/>
      <c r="H15" s="48"/>
      <c r="I15" s="110"/>
      <c r="J15" s="110"/>
      <c r="K15" s="118"/>
      <c r="L15" s="16"/>
      <c r="M15" s="16"/>
      <c r="N15" s="16"/>
      <c r="O15" s="16"/>
      <c r="P15" s="16"/>
      <c r="Q15" s="16"/>
      <c r="R15" s="16"/>
      <c r="S15" s="16"/>
      <c r="T15" s="119"/>
      <c r="U15" s="16"/>
      <c r="V15" s="16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</row>
    <row r="16">
      <c r="A16" s="124"/>
      <c r="B16" s="124"/>
      <c r="C16" s="121" t="s">
        <v>93</v>
      </c>
      <c r="D16" s="125"/>
      <c r="E16" s="23"/>
      <c r="F16" s="115"/>
      <c r="G16" s="118"/>
      <c r="H16" s="48"/>
      <c r="I16" s="110"/>
      <c r="J16" s="110"/>
      <c r="K16" s="118"/>
      <c r="L16" s="16"/>
      <c r="M16" s="16"/>
      <c r="N16" s="16"/>
      <c r="O16" s="16"/>
      <c r="P16" s="16"/>
      <c r="Q16" s="16"/>
      <c r="R16" s="16"/>
      <c r="S16" s="16"/>
      <c r="T16" s="119"/>
      <c r="U16" s="16"/>
      <c r="V16" s="16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</row>
    <row r="17">
      <c r="A17" s="124"/>
      <c r="B17" s="124"/>
      <c r="C17" s="16"/>
      <c r="D17" s="16"/>
      <c r="E17" s="16"/>
      <c r="F17" s="115"/>
      <c r="G17" s="114"/>
      <c r="H17" s="114"/>
      <c r="I17" s="109"/>
      <c r="J17" s="109"/>
      <c r="K17" s="114"/>
      <c r="L17" s="16"/>
      <c r="M17" s="16"/>
      <c r="N17" s="16"/>
      <c r="O17" s="16"/>
      <c r="P17" s="16"/>
      <c r="Q17" s="16"/>
      <c r="R17" s="16"/>
      <c r="S17" s="16"/>
      <c r="T17" s="119"/>
      <c r="U17" s="16"/>
      <c r="V17" s="16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</row>
    <row r="18" ht="22.5" customHeight="1">
      <c r="A18" s="124"/>
      <c r="B18" s="124"/>
      <c r="C18" s="16"/>
      <c r="D18" s="16"/>
      <c r="E18" s="16"/>
      <c r="F18" s="114"/>
      <c r="G18" s="114"/>
      <c r="H18" s="114"/>
      <c r="I18" s="109"/>
      <c r="J18" s="109"/>
      <c r="K18" s="114"/>
      <c r="L18" s="16"/>
      <c r="M18" s="16"/>
      <c r="N18" s="16"/>
      <c r="O18" s="16"/>
      <c r="P18" s="16"/>
      <c r="Q18" s="16"/>
      <c r="R18" s="16"/>
      <c r="S18" s="16"/>
      <c r="T18" s="119"/>
      <c r="U18" s="16"/>
      <c r="V18" s="16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</row>
    <row r="19" ht="30.0" customHeight="1">
      <c r="A19" s="124"/>
      <c r="B19" s="124"/>
      <c r="C19" s="115"/>
      <c r="D19" s="126" t="s">
        <v>0</v>
      </c>
      <c r="E19" s="23"/>
      <c r="F19" s="115"/>
      <c r="G19" s="114"/>
      <c r="H19" s="114"/>
      <c r="I19" s="109"/>
      <c r="J19" s="109"/>
      <c r="K19" s="114"/>
      <c r="L19" s="127" t="s">
        <v>94</v>
      </c>
      <c r="M19" s="128" t="s">
        <v>95</v>
      </c>
      <c r="N19" s="127" t="s">
        <v>70</v>
      </c>
      <c r="O19" s="128" t="s">
        <v>96</v>
      </c>
      <c r="P19" s="129" t="s">
        <v>97</v>
      </c>
      <c r="Q19" s="128" t="s">
        <v>98</v>
      </c>
      <c r="R19" s="127" t="s">
        <v>99</v>
      </c>
      <c r="S19" s="128" t="s">
        <v>100</v>
      </c>
      <c r="T19" s="119"/>
      <c r="U19" s="16"/>
      <c r="V19" s="16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</row>
    <row r="20">
      <c r="A20" s="130"/>
      <c r="B20" s="130"/>
      <c r="C20" s="131" t="s">
        <v>101</v>
      </c>
      <c r="D20" s="132" t="s">
        <v>102</v>
      </c>
      <c r="E20" s="132" t="s">
        <v>103</v>
      </c>
      <c r="F20" s="132" t="s">
        <v>104</v>
      </c>
      <c r="G20" s="114"/>
      <c r="H20" s="133"/>
      <c r="I20" s="134" t="s">
        <v>105</v>
      </c>
      <c r="J20" s="23"/>
      <c r="K20" s="114"/>
      <c r="L20" s="135" t="s">
        <v>106</v>
      </c>
      <c r="M20" s="136">
        <v>45857.0</v>
      </c>
      <c r="N20" s="137"/>
      <c r="O20" s="137"/>
      <c r="P20" s="137"/>
      <c r="Q20" s="137"/>
      <c r="R20" s="137"/>
      <c r="S20" s="137"/>
      <c r="T20" s="119"/>
      <c r="U20" s="16"/>
      <c r="V20" s="16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</row>
    <row r="21">
      <c r="A21" s="98"/>
      <c r="B21" s="98"/>
      <c r="C21" s="138" t="s">
        <v>107</v>
      </c>
      <c r="D21" s="139"/>
      <c r="E21" s="139"/>
      <c r="F21" s="139"/>
      <c r="G21" s="114"/>
      <c r="H21" s="140"/>
      <c r="I21" s="138" t="s">
        <v>108</v>
      </c>
      <c r="J21" s="141">
        <v>1530.0</v>
      </c>
      <c r="K21" s="114"/>
      <c r="L21" s="135">
        <v>1.0</v>
      </c>
      <c r="M21" s="142">
        <f t="shared" ref="M21:M32" si="2">M20+7</f>
        <v>45864</v>
      </c>
      <c r="N21" s="143" t="str">
        <f>D28</f>
        <v>#DIV/0!</v>
      </c>
      <c r="O21" s="144" t="str">
        <f t="shared" ref="O21:S21" si="1">C32</f>
        <v/>
      </c>
      <c r="P21" s="144" t="str">
        <f t="shared" si="1"/>
        <v/>
      </c>
      <c r="Q21" s="144" t="str">
        <f t="shared" si="1"/>
        <v/>
      </c>
      <c r="R21" s="144" t="str">
        <f t="shared" si="1"/>
        <v/>
      </c>
      <c r="S21" s="144" t="str">
        <f t="shared" si="1"/>
        <v/>
      </c>
      <c r="T21" s="119"/>
      <c r="U21" s="16"/>
      <c r="V21" s="16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</row>
    <row r="22">
      <c r="A22" s="133"/>
      <c r="B22" s="133"/>
      <c r="C22" s="138" t="s">
        <v>109</v>
      </c>
      <c r="D22" s="139"/>
      <c r="E22" s="139"/>
      <c r="F22" s="139"/>
      <c r="G22" s="114"/>
      <c r="H22" s="140"/>
      <c r="I22" s="138" t="s">
        <v>110</v>
      </c>
      <c r="J22" s="141">
        <v>120.0</v>
      </c>
      <c r="K22" s="114"/>
      <c r="L22" s="135">
        <v>2.0</v>
      </c>
      <c r="M22" s="142">
        <f t="shared" si="2"/>
        <v>45871</v>
      </c>
      <c r="N22" s="145" t="str">
        <f>AVERAGE(D38:D44)</f>
        <v>#DIV/0!</v>
      </c>
      <c r="O22" s="146" t="str">
        <f t="shared" ref="O22:S22" si="3">C49</f>
        <v/>
      </c>
      <c r="P22" s="146" t="str">
        <f t="shared" si="3"/>
        <v/>
      </c>
      <c r="Q22" s="146" t="str">
        <f t="shared" si="3"/>
        <v/>
      </c>
      <c r="R22" s="146" t="str">
        <f t="shared" si="3"/>
        <v/>
      </c>
      <c r="S22" s="146" t="str">
        <f t="shared" si="3"/>
        <v/>
      </c>
      <c r="T22" s="119"/>
      <c r="U22" s="16"/>
      <c r="V22" s="16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</row>
    <row r="23">
      <c r="A23" s="147"/>
      <c r="B23" s="147"/>
      <c r="C23" s="138" t="s">
        <v>111</v>
      </c>
      <c r="D23" s="139"/>
      <c r="E23" s="139"/>
      <c r="F23" s="139"/>
      <c r="G23" s="114"/>
      <c r="H23" s="140"/>
      <c r="I23" s="138" t="s">
        <v>112</v>
      </c>
      <c r="J23" s="141">
        <v>150.0</v>
      </c>
      <c r="K23" s="114"/>
      <c r="L23" s="135">
        <v>3.0</v>
      </c>
      <c r="M23" s="142">
        <f t="shared" si="2"/>
        <v>45878</v>
      </c>
      <c r="N23" s="139" t="str">
        <f>AVERAGE(D55:D61)</f>
        <v>#DIV/0!</v>
      </c>
      <c r="O23" s="148" t="str">
        <f t="shared" ref="O23:S23" si="4">C66</f>
        <v/>
      </c>
      <c r="P23" s="148" t="str">
        <f t="shared" si="4"/>
        <v/>
      </c>
      <c r="Q23" s="148" t="str">
        <f t="shared" si="4"/>
        <v/>
      </c>
      <c r="R23" s="148" t="str">
        <f t="shared" si="4"/>
        <v/>
      </c>
      <c r="S23" s="148" t="str">
        <f t="shared" si="4"/>
        <v/>
      </c>
      <c r="T23" s="119"/>
      <c r="U23" s="16"/>
      <c r="V23" s="16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</row>
    <row r="24">
      <c r="A24" s="114"/>
      <c r="B24" s="114"/>
      <c r="C24" s="138" t="s">
        <v>113</v>
      </c>
      <c r="D24" s="139"/>
      <c r="E24" s="139"/>
      <c r="F24" s="139"/>
      <c r="G24" s="114"/>
      <c r="H24" s="140"/>
      <c r="I24" s="138" t="s">
        <v>114</v>
      </c>
      <c r="J24" s="141">
        <v>50.0</v>
      </c>
      <c r="K24" s="114"/>
      <c r="L24" s="135">
        <v>4.0</v>
      </c>
      <c r="M24" s="142">
        <f t="shared" si="2"/>
        <v>45885</v>
      </c>
      <c r="N24" s="149" t="str">
        <f>AVERAGE(D71:D77)</f>
        <v>#DIV/0!</v>
      </c>
      <c r="O24" s="146" t="str">
        <f t="shared" ref="O24:S24" si="5">C82</f>
        <v/>
      </c>
      <c r="P24" s="146" t="str">
        <f t="shared" si="5"/>
        <v/>
      </c>
      <c r="Q24" s="146" t="str">
        <f t="shared" si="5"/>
        <v/>
      </c>
      <c r="R24" s="146" t="str">
        <f t="shared" si="5"/>
        <v/>
      </c>
      <c r="S24" s="146" t="str">
        <f t="shared" si="5"/>
        <v/>
      </c>
      <c r="T24" s="119"/>
      <c r="U24" s="16"/>
      <c r="V24" s="16"/>
      <c r="W24" s="16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>
      <c r="A25" s="147"/>
      <c r="B25" s="147"/>
      <c r="C25" s="138" t="s">
        <v>115</v>
      </c>
      <c r="D25" s="139"/>
      <c r="E25" s="139"/>
      <c r="F25" s="139"/>
      <c r="G25" s="114"/>
      <c r="H25" s="114"/>
      <c r="I25" s="109"/>
      <c r="J25" s="109"/>
      <c r="K25" s="114"/>
      <c r="L25" s="135">
        <v>5.0</v>
      </c>
      <c r="M25" s="142">
        <f t="shared" si="2"/>
        <v>45892</v>
      </c>
      <c r="N25" s="139" t="str">
        <f>AVERAGE(D87:D93)</f>
        <v>#DIV/0!</v>
      </c>
      <c r="O25" s="148" t="str">
        <f t="shared" ref="O25:S25" si="6">C98</f>
        <v/>
      </c>
      <c r="P25" s="148" t="str">
        <f t="shared" si="6"/>
        <v/>
      </c>
      <c r="Q25" s="148" t="str">
        <f t="shared" si="6"/>
        <v/>
      </c>
      <c r="R25" s="148" t="str">
        <f t="shared" si="6"/>
        <v/>
      </c>
      <c r="S25" s="148" t="str">
        <f t="shared" si="6"/>
        <v/>
      </c>
      <c r="T25" s="119"/>
      <c r="U25" s="16"/>
      <c r="V25" s="16"/>
      <c r="W25" s="16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</row>
    <row r="26">
      <c r="A26" s="147"/>
      <c r="B26" s="147"/>
      <c r="C26" s="138" t="s">
        <v>116</v>
      </c>
      <c r="D26" s="150"/>
      <c r="E26" s="139"/>
      <c r="F26" s="139"/>
      <c r="G26" s="114"/>
      <c r="H26" s="114"/>
      <c r="I26" s="109"/>
      <c r="J26" s="109"/>
      <c r="K26" s="114"/>
      <c r="L26" s="135">
        <v>6.0</v>
      </c>
      <c r="M26" s="142">
        <f t="shared" si="2"/>
        <v>45899</v>
      </c>
      <c r="N26" s="149" t="str">
        <f>AVERAGE(D103:D109)</f>
        <v>#DIV/0!</v>
      </c>
      <c r="O26" s="146" t="str">
        <f t="shared" ref="O26:S26" si="7">C114</f>
        <v/>
      </c>
      <c r="P26" s="146" t="str">
        <f t="shared" si="7"/>
        <v/>
      </c>
      <c r="Q26" s="146" t="str">
        <f t="shared" si="7"/>
        <v/>
      </c>
      <c r="R26" s="146" t="str">
        <f t="shared" si="7"/>
        <v/>
      </c>
      <c r="S26" s="146" t="str">
        <f t="shared" si="7"/>
        <v/>
      </c>
      <c r="T26" s="119"/>
      <c r="U26" s="16"/>
      <c r="V26" s="16"/>
      <c r="W26" s="16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>
      <c r="A27" s="114"/>
      <c r="B27" s="114"/>
      <c r="C27" s="138" t="s">
        <v>117</v>
      </c>
      <c r="D27" s="150"/>
      <c r="E27" s="139"/>
      <c r="F27" s="150"/>
      <c r="G27" s="114"/>
      <c r="H27" s="114"/>
      <c r="I27" s="109"/>
      <c r="J27" s="109"/>
      <c r="K27" s="114"/>
      <c r="L27" s="135">
        <v>7.0</v>
      </c>
      <c r="M27" s="142">
        <f t="shared" si="2"/>
        <v>45906</v>
      </c>
      <c r="N27" s="139" t="str">
        <f>AVERAGE(D120:D126)</f>
        <v>#DIV/0!</v>
      </c>
      <c r="O27" s="148" t="str">
        <f t="shared" ref="O27:S27" si="8">C131</f>
        <v/>
      </c>
      <c r="P27" s="148" t="str">
        <f t="shared" si="8"/>
        <v/>
      </c>
      <c r="Q27" s="148" t="str">
        <f t="shared" si="8"/>
        <v/>
      </c>
      <c r="R27" s="148" t="str">
        <f t="shared" si="8"/>
        <v/>
      </c>
      <c r="S27" s="148" t="str">
        <f t="shared" si="8"/>
        <v/>
      </c>
      <c r="T27" s="119"/>
      <c r="U27" s="16"/>
      <c r="V27" s="16"/>
      <c r="W27" s="16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</row>
    <row r="28">
      <c r="A28" s="147"/>
      <c r="B28" s="147"/>
      <c r="C28" s="151" t="s">
        <v>118</v>
      </c>
      <c r="D28" s="152" t="str">
        <f t="shared" ref="D28:F28" si="9">AVERAGE(D21:D27)</f>
        <v>#DIV/0!</v>
      </c>
      <c r="E28" s="152" t="str">
        <f t="shared" si="9"/>
        <v>#DIV/0!</v>
      </c>
      <c r="F28" s="152" t="str">
        <f t="shared" si="9"/>
        <v>#DIV/0!</v>
      </c>
      <c r="G28" s="114"/>
      <c r="H28" s="114"/>
      <c r="I28" s="109"/>
      <c r="J28" s="109"/>
      <c r="K28" s="114"/>
      <c r="L28" s="135">
        <v>8.0</v>
      </c>
      <c r="M28" s="142">
        <f t="shared" si="2"/>
        <v>45913</v>
      </c>
      <c r="N28" s="149" t="str">
        <f>AVERAGE(D137:D143)</f>
        <v>#DIV/0!</v>
      </c>
      <c r="O28" s="146" t="str">
        <f t="shared" ref="O28:S28" si="10">C148</f>
        <v/>
      </c>
      <c r="P28" s="146" t="str">
        <f t="shared" si="10"/>
        <v/>
      </c>
      <c r="Q28" s="146" t="str">
        <f t="shared" si="10"/>
        <v/>
      </c>
      <c r="R28" s="146" t="str">
        <f t="shared" si="10"/>
        <v/>
      </c>
      <c r="S28" s="146" t="str">
        <f t="shared" si="10"/>
        <v/>
      </c>
      <c r="T28" s="119"/>
      <c r="U28" s="16"/>
      <c r="V28" s="16"/>
      <c r="W28" s="16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</row>
    <row r="29">
      <c r="A29" s="147"/>
      <c r="B29" s="147"/>
      <c r="C29" s="115"/>
      <c r="D29" s="115"/>
      <c r="E29" s="115"/>
      <c r="F29" s="115"/>
      <c r="G29" s="114"/>
      <c r="H29" s="114"/>
      <c r="I29" s="109"/>
      <c r="J29" s="109"/>
      <c r="K29" s="114"/>
      <c r="L29" s="135">
        <v>9.0</v>
      </c>
      <c r="M29" s="142">
        <f t="shared" si="2"/>
        <v>45920</v>
      </c>
      <c r="N29" s="139" t="str">
        <f>AVERAGE(D153:D159)</f>
        <v>#DIV/0!</v>
      </c>
      <c r="O29" s="148" t="str">
        <f t="shared" ref="O29:S29" si="11">C164</f>
        <v/>
      </c>
      <c r="P29" s="148" t="str">
        <f t="shared" si="11"/>
        <v/>
      </c>
      <c r="Q29" s="148" t="str">
        <f t="shared" si="11"/>
        <v/>
      </c>
      <c r="R29" s="148" t="str">
        <f t="shared" si="11"/>
        <v/>
      </c>
      <c r="S29" s="148" t="str">
        <f t="shared" si="11"/>
        <v/>
      </c>
      <c r="T29" s="119"/>
      <c r="U29" s="16"/>
      <c r="V29" s="16"/>
      <c r="W29" s="16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</row>
    <row r="30">
      <c r="A30" s="153"/>
      <c r="B30" s="153"/>
      <c r="C30" s="154" t="s">
        <v>119</v>
      </c>
      <c r="D30" s="69"/>
      <c r="E30" s="69"/>
      <c r="F30" s="69"/>
      <c r="G30" s="23"/>
      <c r="H30" s="155"/>
      <c r="I30" s="156"/>
      <c r="J30" s="156"/>
      <c r="K30" s="155"/>
      <c r="L30" s="135">
        <v>10.0</v>
      </c>
      <c r="M30" s="142">
        <f t="shared" si="2"/>
        <v>45927</v>
      </c>
      <c r="N30" s="149" t="str">
        <f>AVERAGE(D169:D175)</f>
        <v>#DIV/0!</v>
      </c>
      <c r="O30" s="146" t="str">
        <f>C164</f>
        <v/>
      </c>
      <c r="P30" s="146" t="str">
        <f t="shared" ref="P30:S30" si="12">D180</f>
        <v/>
      </c>
      <c r="Q30" s="146" t="str">
        <f t="shared" si="12"/>
        <v/>
      </c>
      <c r="R30" s="146" t="str">
        <f t="shared" si="12"/>
        <v/>
      </c>
      <c r="S30" s="146" t="str">
        <f t="shared" si="12"/>
        <v/>
      </c>
      <c r="T30" s="119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</row>
    <row r="31">
      <c r="A31" s="98"/>
      <c r="B31" s="98"/>
      <c r="C31" s="138" t="s">
        <v>96</v>
      </c>
      <c r="D31" s="157" t="s">
        <v>120</v>
      </c>
      <c r="E31" s="138" t="s">
        <v>98</v>
      </c>
      <c r="F31" s="138" t="s">
        <v>99</v>
      </c>
      <c r="G31" s="138" t="s">
        <v>100</v>
      </c>
      <c r="H31" s="155"/>
      <c r="I31" s="156"/>
      <c r="J31" s="156"/>
      <c r="K31" s="155"/>
      <c r="L31" s="135">
        <v>11.0</v>
      </c>
      <c r="M31" s="142">
        <f t="shared" si="2"/>
        <v>45934</v>
      </c>
      <c r="N31" s="139" t="str">
        <f>AVERAGE(D185:D191)</f>
        <v>#DIV/0!</v>
      </c>
      <c r="O31" s="148" t="str">
        <f t="shared" ref="O31:S31" si="13">C196</f>
        <v/>
      </c>
      <c r="P31" s="148" t="str">
        <f t="shared" si="13"/>
        <v/>
      </c>
      <c r="Q31" s="148" t="str">
        <f t="shared" si="13"/>
        <v/>
      </c>
      <c r="R31" s="148" t="str">
        <f t="shared" si="13"/>
        <v/>
      </c>
      <c r="S31" s="148" t="str">
        <f t="shared" si="13"/>
        <v/>
      </c>
      <c r="T31" s="119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</row>
    <row r="32">
      <c r="A32" s="133"/>
      <c r="B32" s="133"/>
      <c r="C32" s="158"/>
      <c r="D32" s="158"/>
      <c r="E32" s="158"/>
      <c r="F32" s="158"/>
      <c r="G32" s="158"/>
      <c r="H32" s="155"/>
      <c r="I32" s="156"/>
      <c r="J32" s="156"/>
      <c r="K32" s="155"/>
      <c r="L32" s="135">
        <v>12.0</v>
      </c>
      <c r="M32" s="142">
        <f t="shared" si="2"/>
        <v>45941</v>
      </c>
      <c r="N32" s="149" t="str">
        <f>AVERAGE(D201:D207)</f>
        <v>#DIV/0!</v>
      </c>
      <c r="O32" s="146" t="str">
        <f t="shared" ref="O32:S32" si="14">C212</f>
        <v/>
      </c>
      <c r="P32" s="146" t="str">
        <f t="shared" si="14"/>
        <v/>
      </c>
      <c r="Q32" s="146" t="str">
        <f t="shared" si="14"/>
        <v/>
      </c>
      <c r="R32" s="146" t="str">
        <f t="shared" si="14"/>
        <v/>
      </c>
      <c r="S32" s="146" t="str">
        <f t="shared" si="14"/>
        <v/>
      </c>
      <c r="T32" s="119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</row>
    <row r="33">
      <c r="A33" s="140"/>
      <c r="B33" s="140"/>
      <c r="C33" s="114"/>
      <c r="D33" s="114"/>
      <c r="E33" s="114"/>
      <c r="F33" s="114"/>
      <c r="G33" s="155"/>
      <c r="H33" s="155"/>
      <c r="I33" s="156"/>
      <c r="J33" s="156"/>
      <c r="K33" s="155"/>
      <c r="L33" s="114"/>
      <c r="M33" s="114"/>
      <c r="N33" s="114"/>
      <c r="O33" s="114"/>
      <c r="P33" s="114"/>
      <c r="Q33" s="114"/>
      <c r="R33" s="114"/>
      <c r="S33" s="114"/>
      <c r="T33" s="119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</row>
    <row r="34">
      <c r="A34" s="114"/>
      <c r="B34" s="114"/>
      <c r="C34" s="16"/>
      <c r="D34" s="16"/>
      <c r="E34" s="16"/>
      <c r="F34" s="16"/>
      <c r="G34" s="155"/>
      <c r="H34" s="155"/>
      <c r="I34" s="156"/>
      <c r="J34" s="156"/>
      <c r="K34" s="155"/>
      <c r="L34" s="16"/>
      <c r="M34" s="114"/>
      <c r="N34" s="97" t="s">
        <v>121</v>
      </c>
      <c r="O34" s="114"/>
      <c r="P34" s="114"/>
      <c r="Q34" s="114"/>
      <c r="R34" s="114"/>
      <c r="S34" s="114"/>
      <c r="T34" s="119"/>
      <c r="U34" s="159" t="s">
        <v>122</v>
      </c>
      <c r="V34" s="23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</row>
    <row r="35">
      <c r="A35" s="114"/>
      <c r="B35" s="114"/>
      <c r="C35" s="16"/>
      <c r="D35" s="16"/>
      <c r="E35" s="16"/>
      <c r="F35" s="16"/>
      <c r="G35" s="155"/>
      <c r="H35" s="155"/>
      <c r="I35" s="156"/>
      <c r="J35" s="156"/>
      <c r="K35" s="155"/>
      <c r="L35" s="114"/>
      <c r="M35" s="114"/>
      <c r="N35" s="114"/>
      <c r="O35" s="114"/>
      <c r="P35" s="114"/>
      <c r="Q35" s="114"/>
      <c r="R35" s="114"/>
      <c r="S35" s="114"/>
      <c r="T35" s="119"/>
      <c r="U35" s="160" t="s">
        <v>123</v>
      </c>
      <c r="V35" s="161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</row>
    <row r="36" ht="31.5" customHeight="1">
      <c r="A36" s="114"/>
      <c r="B36" s="114"/>
      <c r="C36" s="115"/>
      <c r="D36" s="162" t="s">
        <v>1</v>
      </c>
      <c r="E36" s="23"/>
      <c r="F36" s="115"/>
      <c r="G36" s="114"/>
      <c r="H36" s="114"/>
      <c r="I36" s="109"/>
      <c r="J36" s="109"/>
      <c r="K36" s="155"/>
      <c r="L36" s="114"/>
      <c r="M36" s="114"/>
      <c r="N36" s="114"/>
      <c r="O36" s="114"/>
      <c r="P36" s="114"/>
      <c r="Q36" s="114"/>
      <c r="R36" s="114"/>
      <c r="S36" s="114"/>
      <c r="T36" s="119"/>
      <c r="U36" s="160" t="s">
        <v>124</v>
      </c>
      <c r="V36" s="163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</row>
    <row r="37">
      <c r="A37" s="147"/>
      <c r="B37" s="147"/>
      <c r="C37" s="131" t="s">
        <v>101</v>
      </c>
      <c r="D37" s="132" t="s">
        <v>102</v>
      </c>
      <c r="E37" s="132" t="s">
        <v>103</v>
      </c>
      <c r="F37" s="132" t="s">
        <v>104</v>
      </c>
      <c r="G37" s="114"/>
      <c r="H37" s="133"/>
      <c r="I37" s="134" t="s">
        <v>105</v>
      </c>
      <c r="J37" s="23"/>
      <c r="K37" s="155"/>
      <c r="L37" s="114"/>
      <c r="M37" s="114"/>
      <c r="N37" s="114"/>
      <c r="O37" s="114"/>
      <c r="P37" s="114"/>
      <c r="Q37" s="114"/>
      <c r="R37" s="114"/>
      <c r="S37" s="114"/>
      <c r="T37" s="119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</row>
    <row r="38">
      <c r="A38" s="48"/>
      <c r="B38" s="48"/>
      <c r="C38" s="138" t="s">
        <v>107</v>
      </c>
      <c r="D38" s="139"/>
      <c r="E38" s="139"/>
      <c r="F38" s="139"/>
      <c r="G38" s="114"/>
      <c r="H38" s="140"/>
      <c r="I38" s="138" t="s">
        <v>108</v>
      </c>
      <c r="J38" s="141">
        <v>1530.0</v>
      </c>
      <c r="K38" s="155"/>
      <c r="L38" s="114"/>
      <c r="M38" s="114"/>
      <c r="N38" s="114"/>
      <c r="O38" s="114"/>
      <c r="P38" s="114"/>
      <c r="Q38" s="114"/>
      <c r="R38" s="114"/>
      <c r="S38" s="114"/>
      <c r="T38" s="119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</row>
    <row r="39">
      <c r="A39" s="155"/>
      <c r="B39" s="155"/>
      <c r="C39" s="138" t="s">
        <v>109</v>
      </c>
      <c r="D39" s="139"/>
      <c r="E39" s="139"/>
      <c r="F39" s="139"/>
      <c r="G39" s="114"/>
      <c r="H39" s="140"/>
      <c r="I39" s="138" t="s">
        <v>110</v>
      </c>
      <c r="J39" s="141">
        <v>120.0</v>
      </c>
      <c r="K39" s="155"/>
      <c r="L39" s="114"/>
      <c r="M39" s="114"/>
      <c r="N39" s="114"/>
      <c r="O39" s="114"/>
      <c r="P39" s="114"/>
      <c r="Q39" s="114"/>
      <c r="R39" s="114"/>
      <c r="S39" s="114"/>
      <c r="T39" s="119"/>
      <c r="U39" s="155"/>
      <c r="V39" s="155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</row>
    <row r="40">
      <c r="A40" s="155"/>
      <c r="B40" s="155"/>
      <c r="C40" s="138" t="s">
        <v>111</v>
      </c>
      <c r="D40" s="139"/>
      <c r="E40" s="139"/>
      <c r="F40" s="139"/>
      <c r="G40" s="114"/>
      <c r="H40" s="140"/>
      <c r="I40" s="138" t="s">
        <v>112</v>
      </c>
      <c r="J40" s="141">
        <v>150.0</v>
      </c>
      <c r="K40" s="155"/>
      <c r="L40" s="114"/>
      <c r="M40" s="114"/>
      <c r="N40" s="114"/>
      <c r="O40" s="114"/>
      <c r="P40" s="114"/>
      <c r="Q40" s="114"/>
      <c r="R40" s="114"/>
      <c r="S40" s="114"/>
      <c r="T40" s="119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</row>
    <row r="41">
      <c r="A41" s="155"/>
      <c r="B41" s="155"/>
      <c r="C41" s="138" t="s">
        <v>113</v>
      </c>
      <c r="D41" s="139"/>
      <c r="E41" s="139"/>
      <c r="F41" s="139"/>
      <c r="G41" s="114"/>
      <c r="H41" s="140"/>
      <c r="I41" s="138" t="s">
        <v>114</v>
      </c>
      <c r="J41" s="141">
        <v>50.0</v>
      </c>
      <c r="K41" s="155"/>
      <c r="L41" s="114"/>
      <c r="M41" s="114"/>
      <c r="N41" s="114"/>
      <c r="O41" s="114"/>
      <c r="P41" s="114"/>
      <c r="Q41" s="114"/>
      <c r="R41" s="114"/>
      <c r="S41" s="114"/>
      <c r="T41" s="119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</row>
    <row r="42">
      <c r="A42" s="155"/>
      <c r="B42" s="155"/>
      <c r="C42" s="138" t="s">
        <v>115</v>
      </c>
      <c r="D42" s="139"/>
      <c r="E42" s="139"/>
      <c r="F42" s="139"/>
      <c r="G42" s="114"/>
      <c r="H42" s="114"/>
      <c r="I42" s="109"/>
      <c r="J42" s="109"/>
      <c r="K42" s="155"/>
      <c r="L42" s="114"/>
      <c r="M42" s="114"/>
      <c r="N42" s="114"/>
      <c r="O42" s="114"/>
      <c r="P42" s="114"/>
      <c r="Q42" s="114"/>
      <c r="R42" s="114"/>
      <c r="S42" s="114"/>
      <c r="T42" s="119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</row>
    <row r="43">
      <c r="A43" s="107"/>
      <c r="B43" s="107"/>
      <c r="C43" s="138" t="s">
        <v>116</v>
      </c>
      <c r="D43" s="150"/>
      <c r="E43" s="139"/>
      <c r="F43" s="139"/>
      <c r="G43" s="114"/>
      <c r="H43" s="114"/>
      <c r="I43" s="109"/>
      <c r="J43" s="109"/>
      <c r="K43" s="107"/>
      <c r="L43" s="114"/>
      <c r="M43" s="114"/>
      <c r="N43" s="114"/>
      <c r="O43" s="114"/>
      <c r="P43" s="114"/>
      <c r="Q43" s="114"/>
      <c r="R43" s="114"/>
      <c r="S43" s="114"/>
      <c r="T43" s="119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</row>
    <row r="44">
      <c r="A44" s="107"/>
      <c r="B44" s="107"/>
      <c r="C44" s="138" t="s">
        <v>117</v>
      </c>
      <c r="D44" s="150"/>
      <c r="E44" s="139"/>
      <c r="F44" s="150"/>
      <c r="G44" s="114"/>
      <c r="H44" s="114"/>
      <c r="I44" s="109"/>
      <c r="J44" s="109"/>
      <c r="K44" s="107"/>
      <c r="L44" s="114"/>
      <c r="M44" s="114"/>
      <c r="N44" s="114"/>
      <c r="O44" s="114"/>
      <c r="P44" s="114"/>
      <c r="Q44" s="114"/>
      <c r="R44" s="114"/>
      <c r="S44" s="114"/>
      <c r="T44" s="119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</row>
    <row r="45">
      <c r="A45" s="107"/>
      <c r="B45" s="107"/>
      <c r="C45" s="151" t="s">
        <v>118</v>
      </c>
      <c r="D45" s="152" t="str">
        <f t="shared" ref="D45:F45" si="15">AVERAGE(D38:D44)</f>
        <v>#DIV/0!</v>
      </c>
      <c r="E45" s="152" t="str">
        <f t="shared" si="15"/>
        <v>#DIV/0!</v>
      </c>
      <c r="F45" s="152" t="str">
        <f t="shared" si="15"/>
        <v>#DIV/0!</v>
      </c>
      <c r="G45" s="114"/>
      <c r="H45" s="114"/>
      <c r="I45" s="109"/>
      <c r="J45" s="109"/>
      <c r="K45" s="107"/>
      <c r="L45" s="114"/>
      <c r="M45" s="114"/>
      <c r="N45" s="114"/>
      <c r="O45" s="114"/>
      <c r="P45" s="114"/>
      <c r="Q45" s="114"/>
      <c r="R45" s="114"/>
      <c r="S45" s="114"/>
      <c r="T45" s="119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</row>
    <row r="46">
      <c r="A46" s="107"/>
      <c r="B46" s="107"/>
      <c r="C46" s="115"/>
      <c r="D46" s="115"/>
      <c r="E46" s="115"/>
      <c r="F46" s="115"/>
      <c r="G46" s="114"/>
      <c r="H46" s="114"/>
      <c r="I46" s="109"/>
      <c r="J46" s="109"/>
      <c r="K46" s="107"/>
      <c r="L46" s="114"/>
      <c r="M46" s="114"/>
      <c r="N46" s="114"/>
      <c r="O46" s="114"/>
      <c r="P46" s="114"/>
      <c r="Q46" s="114"/>
      <c r="R46" s="114"/>
      <c r="S46" s="114"/>
      <c r="T46" s="119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</row>
    <row r="47">
      <c r="A47" s="107"/>
      <c r="B47" s="107"/>
      <c r="C47" s="154" t="s">
        <v>119</v>
      </c>
      <c r="D47" s="69"/>
      <c r="E47" s="69"/>
      <c r="F47" s="69"/>
      <c r="G47" s="23"/>
      <c r="H47" s="155"/>
      <c r="I47" s="156"/>
      <c r="J47" s="156"/>
      <c r="K47" s="107"/>
      <c r="L47" s="114"/>
      <c r="M47" s="114"/>
      <c r="N47" s="114"/>
      <c r="O47" s="114"/>
      <c r="P47" s="114"/>
      <c r="Q47" s="114"/>
      <c r="R47" s="114"/>
      <c r="S47" s="114"/>
      <c r="T47" s="119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</row>
    <row r="48">
      <c r="A48" s="107"/>
      <c r="B48" s="107"/>
      <c r="C48" s="138" t="s">
        <v>96</v>
      </c>
      <c r="D48" s="157" t="s">
        <v>120</v>
      </c>
      <c r="E48" s="138" t="s">
        <v>98</v>
      </c>
      <c r="F48" s="138" t="s">
        <v>99</v>
      </c>
      <c r="G48" s="138" t="s">
        <v>100</v>
      </c>
      <c r="H48" s="155"/>
      <c r="I48" s="156"/>
      <c r="J48" s="156"/>
      <c r="K48" s="107"/>
      <c r="L48" s="119"/>
      <c r="M48" s="119"/>
      <c r="N48" s="119"/>
      <c r="O48" s="119"/>
      <c r="P48" s="119"/>
      <c r="Q48" s="119"/>
      <c r="R48" s="119"/>
      <c r="S48" s="119"/>
      <c r="T48" s="119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</row>
    <row r="49">
      <c r="A49" s="107"/>
      <c r="B49" s="107"/>
      <c r="C49" s="158"/>
      <c r="D49" s="158"/>
      <c r="E49" s="158"/>
      <c r="F49" s="158"/>
      <c r="G49" s="158"/>
      <c r="H49" s="155"/>
      <c r="I49" s="156"/>
      <c r="J49" s="156"/>
      <c r="K49" s="107"/>
      <c r="L49" s="119"/>
      <c r="M49" s="119"/>
      <c r="N49" s="119"/>
      <c r="O49" s="119"/>
      <c r="P49" s="119"/>
      <c r="Q49" s="119"/>
      <c r="R49" s="119"/>
      <c r="S49" s="119"/>
      <c r="T49" s="119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</row>
    <row r="50">
      <c r="A50" s="107"/>
      <c r="B50" s="107"/>
      <c r="C50" s="107"/>
      <c r="D50" s="107"/>
      <c r="E50" s="107"/>
      <c r="F50" s="107"/>
      <c r="G50" s="107"/>
      <c r="H50" s="107"/>
      <c r="I50" s="156"/>
      <c r="J50" s="156"/>
      <c r="K50" s="107"/>
      <c r="L50" s="16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</row>
    <row r="51">
      <c r="A51" s="107"/>
      <c r="B51" s="107"/>
      <c r="C51" s="107"/>
      <c r="D51" s="107"/>
      <c r="E51" s="107"/>
      <c r="F51" s="107"/>
      <c r="G51" s="107"/>
      <c r="H51" s="107"/>
      <c r="I51" s="156"/>
      <c r="J51" s="156"/>
      <c r="K51" s="107"/>
      <c r="L51" s="16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</row>
    <row r="52">
      <c r="A52" s="107"/>
      <c r="B52" s="107"/>
      <c r="C52" s="107"/>
      <c r="D52" s="107"/>
      <c r="E52" s="107"/>
      <c r="F52" s="107"/>
      <c r="G52" s="107"/>
      <c r="H52" s="107"/>
      <c r="I52" s="156"/>
      <c r="J52" s="156"/>
      <c r="K52" s="107"/>
      <c r="L52" s="16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</row>
    <row r="53" ht="30.0" customHeight="1">
      <c r="A53" s="107"/>
      <c r="B53" s="107"/>
      <c r="C53" s="115"/>
      <c r="D53" s="162" t="s">
        <v>2</v>
      </c>
      <c r="E53" s="23"/>
      <c r="F53" s="115"/>
      <c r="G53" s="114"/>
      <c r="H53" s="114"/>
      <c r="I53" s="109"/>
      <c r="J53" s="109"/>
      <c r="K53" s="107"/>
      <c r="L53" s="16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</row>
    <row r="54">
      <c r="A54" s="107"/>
      <c r="B54" s="107"/>
      <c r="C54" s="131" t="s">
        <v>101</v>
      </c>
      <c r="D54" s="132" t="s">
        <v>102</v>
      </c>
      <c r="E54" s="132" t="s">
        <v>103</v>
      </c>
      <c r="F54" s="132" t="s">
        <v>104</v>
      </c>
      <c r="G54" s="114"/>
      <c r="H54" s="133"/>
      <c r="I54" s="134" t="s">
        <v>105</v>
      </c>
      <c r="J54" s="23"/>
      <c r="K54" s="107"/>
      <c r="L54" s="16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</row>
    <row r="55">
      <c r="A55" s="107"/>
      <c r="B55" s="107"/>
      <c r="C55" s="138" t="s">
        <v>107</v>
      </c>
      <c r="D55" s="139"/>
      <c r="E55" s="139"/>
      <c r="F55" s="139"/>
      <c r="G55" s="114"/>
      <c r="H55" s="140"/>
      <c r="I55" s="138" t="s">
        <v>108</v>
      </c>
      <c r="J55" s="141">
        <v>1530.0</v>
      </c>
      <c r="K55" s="107"/>
      <c r="L55" s="16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</row>
    <row r="56">
      <c r="A56" s="107"/>
      <c r="B56" s="107"/>
      <c r="C56" s="138" t="s">
        <v>109</v>
      </c>
      <c r="D56" s="139"/>
      <c r="E56" s="139"/>
      <c r="F56" s="139"/>
      <c r="G56" s="114"/>
      <c r="H56" s="140"/>
      <c r="I56" s="138" t="s">
        <v>110</v>
      </c>
      <c r="J56" s="141">
        <v>120.0</v>
      </c>
      <c r="K56" s="107"/>
      <c r="L56" s="16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</row>
    <row r="57">
      <c r="A57" s="107"/>
      <c r="B57" s="107"/>
      <c r="C57" s="138" t="s">
        <v>111</v>
      </c>
      <c r="D57" s="139"/>
      <c r="E57" s="139"/>
      <c r="F57" s="139"/>
      <c r="G57" s="114"/>
      <c r="H57" s="140"/>
      <c r="I57" s="138" t="s">
        <v>112</v>
      </c>
      <c r="J57" s="141">
        <v>150.0</v>
      </c>
      <c r="K57" s="107"/>
      <c r="L57" s="16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</row>
    <row r="58">
      <c r="A58" s="107"/>
      <c r="B58" s="107"/>
      <c r="C58" s="138" t="s">
        <v>113</v>
      </c>
      <c r="D58" s="139"/>
      <c r="E58" s="139"/>
      <c r="F58" s="139"/>
      <c r="G58" s="114"/>
      <c r="H58" s="140"/>
      <c r="I58" s="138" t="s">
        <v>114</v>
      </c>
      <c r="J58" s="141">
        <v>50.0</v>
      </c>
      <c r="K58" s="107"/>
      <c r="L58" s="16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</row>
    <row r="59">
      <c r="A59" s="107"/>
      <c r="B59" s="107"/>
      <c r="C59" s="138" t="s">
        <v>115</v>
      </c>
      <c r="D59" s="139"/>
      <c r="E59" s="139"/>
      <c r="F59" s="139"/>
      <c r="G59" s="114"/>
      <c r="H59" s="114"/>
      <c r="I59" s="109"/>
      <c r="J59" s="109"/>
      <c r="K59" s="107"/>
      <c r="L59" s="16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</row>
    <row r="60">
      <c r="A60" s="107"/>
      <c r="B60" s="107"/>
      <c r="C60" s="138" t="s">
        <v>116</v>
      </c>
      <c r="D60" s="150"/>
      <c r="E60" s="139"/>
      <c r="F60" s="139"/>
      <c r="G60" s="114"/>
      <c r="H60" s="114"/>
      <c r="I60" s="109"/>
      <c r="J60" s="109"/>
      <c r="K60" s="107"/>
      <c r="L60" s="16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</row>
    <row r="61">
      <c r="A61" s="107"/>
      <c r="B61" s="107"/>
      <c r="C61" s="138" t="s">
        <v>117</v>
      </c>
      <c r="D61" s="150"/>
      <c r="E61" s="139"/>
      <c r="F61" s="150"/>
      <c r="G61" s="114"/>
      <c r="H61" s="114"/>
      <c r="I61" s="109"/>
      <c r="J61" s="109"/>
      <c r="K61" s="107"/>
      <c r="L61" s="16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</row>
    <row r="62">
      <c r="A62" s="107"/>
      <c r="B62" s="107"/>
      <c r="C62" s="151" t="s">
        <v>118</v>
      </c>
      <c r="D62" s="152" t="str">
        <f t="shared" ref="D62:F62" si="16">AVERAGE(D55:D61)</f>
        <v>#DIV/0!</v>
      </c>
      <c r="E62" s="152" t="str">
        <f t="shared" si="16"/>
        <v>#DIV/0!</v>
      </c>
      <c r="F62" s="152" t="str">
        <f t="shared" si="16"/>
        <v>#DIV/0!</v>
      </c>
      <c r="G62" s="114"/>
      <c r="H62" s="114"/>
      <c r="I62" s="109"/>
      <c r="J62" s="109"/>
      <c r="K62" s="107"/>
      <c r="L62" s="16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</row>
    <row r="63">
      <c r="A63" s="107"/>
      <c r="B63" s="107"/>
      <c r="C63" s="115"/>
      <c r="D63" s="115"/>
      <c r="E63" s="115"/>
      <c r="F63" s="115"/>
      <c r="G63" s="114"/>
      <c r="H63" s="114"/>
      <c r="I63" s="109"/>
      <c r="J63" s="109"/>
      <c r="K63" s="107"/>
      <c r="L63" s="16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</row>
    <row r="64">
      <c r="A64" s="107"/>
      <c r="B64" s="107"/>
      <c r="C64" s="154" t="s">
        <v>119</v>
      </c>
      <c r="D64" s="69"/>
      <c r="E64" s="69"/>
      <c r="F64" s="69"/>
      <c r="G64" s="23"/>
      <c r="H64" s="155"/>
      <c r="I64" s="156"/>
      <c r="J64" s="156"/>
      <c r="K64" s="107"/>
      <c r="L64" s="16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</row>
    <row r="65">
      <c r="A65" s="107"/>
      <c r="B65" s="107"/>
      <c r="C65" s="138" t="s">
        <v>96</v>
      </c>
      <c r="D65" s="157" t="s">
        <v>120</v>
      </c>
      <c r="E65" s="138" t="s">
        <v>98</v>
      </c>
      <c r="F65" s="138" t="s">
        <v>99</v>
      </c>
      <c r="G65" s="138" t="s">
        <v>100</v>
      </c>
      <c r="H65" s="155"/>
      <c r="I65" s="156"/>
      <c r="J65" s="156"/>
      <c r="K65" s="107"/>
      <c r="L65" s="16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</row>
    <row r="66">
      <c r="A66" s="107"/>
      <c r="B66" s="107"/>
      <c r="C66" s="158"/>
      <c r="D66" s="158"/>
      <c r="E66" s="158"/>
      <c r="F66" s="158"/>
      <c r="G66" s="158"/>
      <c r="H66" s="155"/>
      <c r="I66" s="156"/>
      <c r="J66" s="156"/>
      <c r="K66" s="107"/>
      <c r="L66" s="16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</row>
    <row r="67" ht="21.0" customHeight="1">
      <c r="A67" s="107"/>
      <c r="B67" s="107"/>
      <c r="C67" s="107"/>
      <c r="D67" s="107"/>
      <c r="E67" s="107"/>
      <c r="F67" s="107"/>
      <c r="G67" s="107"/>
      <c r="H67" s="155"/>
      <c r="I67" s="156"/>
      <c r="J67" s="156"/>
      <c r="K67" s="107"/>
      <c r="L67" s="16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</row>
    <row r="68" ht="31.5" customHeight="1">
      <c r="A68" s="107"/>
      <c r="B68" s="107"/>
      <c r="C68" s="107"/>
      <c r="D68" s="107"/>
      <c r="E68" s="107"/>
      <c r="F68" s="107"/>
      <c r="G68" s="107"/>
      <c r="H68" s="155"/>
      <c r="I68" s="156"/>
      <c r="J68" s="156"/>
      <c r="K68" s="107"/>
      <c r="L68" s="16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</row>
    <row r="69" ht="30.0" customHeight="1">
      <c r="A69" s="107"/>
      <c r="B69" s="107"/>
      <c r="C69" s="115"/>
      <c r="D69" s="162" t="s">
        <v>3</v>
      </c>
      <c r="E69" s="23"/>
      <c r="F69" s="115"/>
      <c r="G69" s="114"/>
      <c r="H69" s="114"/>
      <c r="I69" s="109"/>
      <c r="J69" s="109"/>
      <c r="K69" s="107"/>
      <c r="L69" s="16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</row>
    <row r="70">
      <c r="A70" s="107"/>
      <c r="B70" s="107"/>
      <c r="C70" s="131" t="s">
        <v>101</v>
      </c>
      <c r="D70" s="132" t="s">
        <v>102</v>
      </c>
      <c r="E70" s="132" t="s">
        <v>103</v>
      </c>
      <c r="F70" s="132" t="s">
        <v>104</v>
      </c>
      <c r="G70" s="114"/>
      <c r="H70" s="133"/>
      <c r="I70" s="134" t="s">
        <v>105</v>
      </c>
      <c r="J70" s="23"/>
      <c r="K70" s="107"/>
      <c r="L70" s="16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</row>
    <row r="71">
      <c r="A71" s="107"/>
      <c r="B71" s="107"/>
      <c r="C71" s="138" t="s">
        <v>107</v>
      </c>
      <c r="D71" s="139"/>
      <c r="E71" s="139"/>
      <c r="F71" s="139"/>
      <c r="G71" s="114"/>
      <c r="H71" s="140"/>
      <c r="I71" s="138" t="s">
        <v>108</v>
      </c>
      <c r="J71" s="141">
        <v>1530.0</v>
      </c>
      <c r="K71" s="107"/>
      <c r="L71" s="16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</row>
    <row r="72">
      <c r="A72" s="107"/>
      <c r="B72" s="107"/>
      <c r="C72" s="138" t="s">
        <v>109</v>
      </c>
      <c r="D72" s="139"/>
      <c r="E72" s="139"/>
      <c r="F72" s="139"/>
      <c r="G72" s="114"/>
      <c r="H72" s="140"/>
      <c r="I72" s="138" t="s">
        <v>110</v>
      </c>
      <c r="J72" s="141">
        <v>120.0</v>
      </c>
      <c r="K72" s="107"/>
      <c r="L72" s="16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</row>
    <row r="73">
      <c r="A73" s="107"/>
      <c r="B73" s="107"/>
      <c r="C73" s="138" t="s">
        <v>111</v>
      </c>
      <c r="D73" s="139"/>
      <c r="E73" s="139"/>
      <c r="F73" s="139"/>
      <c r="G73" s="114"/>
      <c r="H73" s="140"/>
      <c r="I73" s="138" t="s">
        <v>112</v>
      </c>
      <c r="J73" s="141">
        <v>150.0</v>
      </c>
      <c r="K73" s="107"/>
      <c r="L73" s="16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</row>
    <row r="74">
      <c r="A74" s="107"/>
      <c r="B74" s="107"/>
      <c r="C74" s="138" t="s">
        <v>113</v>
      </c>
      <c r="D74" s="139"/>
      <c r="E74" s="139"/>
      <c r="F74" s="139"/>
      <c r="G74" s="114"/>
      <c r="H74" s="140"/>
      <c r="I74" s="138" t="s">
        <v>114</v>
      </c>
      <c r="J74" s="141">
        <v>50.0</v>
      </c>
      <c r="K74" s="107"/>
      <c r="L74" s="16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</row>
    <row r="75">
      <c r="A75" s="107"/>
      <c r="B75" s="107"/>
      <c r="C75" s="138" t="s">
        <v>115</v>
      </c>
      <c r="D75" s="139"/>
      <c r="E75" s="139"/>
      <c r="F75" s="139"/>
      <c r="G75" s="114"/>
      <c r="H75" s="114"/>
      <c r="I75" s="109"/>
      <c r="J75" s="109"/>
      <c r="K75" s="107"/>
      <c r="L75" s="16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</row>
    <row r="76">
      <c r="A76" s="107"/>
      <c r="B76" s="107"/>
      <c r="C76" s="138" t="s">
        <v>116</v>
      </c>
      <c r="D76" s="150"/>
      <c r="E76" s="139"/>
      <c r="F76" s="139"/>
      <c r="G76" s="114"/>
      <c r="H76" s="114"/>
      <c r="I76" s="109"/>
      <c r="J76" s="109"/>
      <c r="K76" s="107"/>
      <c r="L76" s="16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</row>
    <row r="77">
      <c r="A77" s="107"/>
      <c r="B77" s="107"/>
      <c r="C77" s="138" t="s">
        <v>117</v>
      </c>
      <c r="D77" s="150"/>
      <c r="E77" s="139"/>
      <c r="F77" s="150"/>
      <c r="G77" s="114"/>
      <c r="H77" s="114"/>
      <c r="I77" s="109"/>
      <c r="J77" s="109"/>
      <c r="K77" s="107"/>
      <c r="L77" s="16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</row>
    <row r="78">
      <c r="A78" s="107"/>
      <c r="B78" s="107"/>
      <c r="C78" s="151" t="s">
        <v>118</v>
      </c>
      <c r="D78" s="152" t="str">
        <f t="shared" ref="D78:F78" si="17">AVERAGE(D71:D77)</f>
        <v>#DIV/0!</v>
      </c>
      <c r="E78" s="152" t="str">
        <f t="shared" si="17"/>
        <v>#DIV/0!</v>
      </c>
      <c r="F78" s="152" t="str">
        <f t="shared" si="17"/>
        <v>#DIV/0!</v>
      </c>
      <c r="G78" s="114"/>
      <c r="H78" s="114"/>
      <c r="I78" s="109"/>
      <c r="J78" s="109"/>
      <c r="K78" s="107"/>
      <c r="L78" s="16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</row>
    <row r="79">
      <c r="A79" s="107"/>
      <c r="B79" s="107"/>
      <c r="C79" s="115"/>
      <c r="D79" s="115"/>
      <c r="E79" s="115"/>
      <c r="F79" s="115"/>
      <c r="G79" s="114"/>
      <c r="H79" s="114"/>
      <c r="I79" s="109"/>
      <c r="J79" s="109"/>
      <c r="K79" s="107"/>
      <c r="L79" s="16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</row>
    <row r="80">
      <c r="A80" s="107"/>
      <c r="B80" s="107"/>
      <c r="C80" s="154" t="s">
        <v>119</v>
      </c>
      <c r="D80" s="69"/>
      <c r="E80" s="69"/>
      <c r="F80" s="69"/>
      <c r="G80" s="23"/>
      <c r="H80" s="155"/>
      <c r="I80" s="156"/>
      <c r="J80" s="156"/>
      <c r="K80" s="107"/>
      <c r="L80" s="16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</row>
    <row r="81">
      <c r="A81" s="107"/>
      <c r="B81" s="107"/>
      <c r="C81" s="138" t="s">
        <v>96</v>
      </c>
      <c r="D81" s="157" t="s">
        <v>120</v>
      </c>
      <c r="E81" s="138" t="s">
        <v>98</v>
      </c>
      <c r="F81" s="138" t="s">
        <v>99</v>
      </c>
      <c r="G81" s="138" t="s">
        <v>100</v>
      </c>
      <c r="H81" s="155"/>
      <c r="I81" s="156"/>
      <c r="J81" s="156"/>
      <c r="K81" s="107"/>
      <c r="L81" s="16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</row>
    <row r="82">
      <c r="A82" s="107"/>
      <c r="B82" s="107"/>
      <c r="C82" s="158"/>
      <c r="D82" s="158"/>
      <c r="E82" s="158"/>
      <c r="F82" s="158"/>
      <c r="G82" s="158"/>
      <c r="H82" s="155"/>
      <c r="I82" s="156"/>
      <c r="J82" s="156"/>
      <c r="K82" s="107"/>
      <c r="L82" s="16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</row>
    <row r="83">
      <c r="A83" s="107"/>
      <c r="B83" s="107"/>
      <c r="C83" s="107"/>
      <c r="D83" s="107"/>
      <c r="E83" s="107"/>
      <c r="F83" s="107"/>
      <c r="G83" s="107"/>
      <c r="H83" s="155"/>
      <c r="I83" s="156"/>
      <c r="J83" s="156"/>
      <c r="K83" s="107"/>
      <c r="L83" s="16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</row>
    <row r="84">
      <c r="A84" s="107"/>
      <c r="B84" s="107"/>
      <c r="C84" s="107"/>
      <c r="D84" s="107"/>
      <c r="E84" s="107"/>
      <c r="F84" s="107"/>
      <c r="G84" s="107"/>
      <c r="H84" s="155"/>
      <c r="I84" s="156"/>
      <c r="J84" s="156"/>
      <c r="K84" s="107"/>
      <c r="L84" s="16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</row>
    <row r="85" ht="30.0" customHeight="1">
      <c r="A85" s="107"/>
      <c r="B85" s="107"/>
      <c r="C85" s="115"/>
      <c r="D85" s="162" t="s">
        <v>125</v>
      </c>
      <c r="E85" s="23"/>
      <c r="F85" s="115"/>
      <c r="G85" s="114"/>
      <c r="H85" s="114"/>
      <c r="I85" s="109"/>
      <c r="J85" s="109"/>
      <c r="K85" s="107"/>
      <c r="L85" s="16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</row>
    <row r="86">
      <c r="A86" s="107"/>
      <c r="B86" s="107"/>
      <c r="C86" s="131" t="s">
        <v>101</v>
      </c>
      <c r="D86" s="132" t="s">
        <v>102</v>
      </c>
      <c r="E86" s="132" t="s">
        <v>103</v>
      </c>
      <c r="F86" s="132" t="s">
        <v>104</v>
      </c>
      <c r="G86" s="114"/>
      <c r="H86" s="133"/>
      <c r="I86" s="134" t="s">
        <v>105</v>
      </c>
      <c r="J86" s="23"/>
      <c r="K86" s="107"/>
      <c r="L86" s="16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</row>
    <row r="87">
      <c r="A87" s="107"/>
      <c r="B87" s="107"/>
      <c r="C87" s="138" t="s">
        <v>107</v>
      </c>
      <c r="D87" s="139"/>
      <c r="E87" s="139"/>
      <c r="F87" s="139"/>
      <c r="G87" s="114"/>
      <c r="H87" s="140"/>
      <c r="I87" s="138" t="s">
        <v>108</v>
      </c>
      <c r="J87" s="141">
        <v>1530.0</v>
      </c>
      <c r="K87" s="107"/>
      <c r="L87" s="16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</row>
    <row r="88">
      <c r="A88" s="107"/>
      <c r="B88" s="107"/>
      <c r="C88" s="138" t="s">
        <v>109</v>
      </c>
      <c r="D88" s="139"/>
      <c r="E88" s="139"/>
      <c r="F88" s="139"/>
      <c r="G88" s="114"/>
      <c r="H88" s="140"/>
      <c r="I88" s="138" t="s">
        <v>110</v>
      </c>
      <c r="J88" s="141">
        <v>120.0</v>
      </c>
      <c r="K88" s="107"/>
      <c r="L88" s="16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</row>
    <row r="89">
      <c r="A89" s="107"/>
      <c r="B89" s="107"/>
      <c r="C89" s="138" t="s">
        <v>111</v>
      </c>
      <c r="D89" s="139"/>
      <c r="E89" s="139"/>
      <c r="F89" s="139"/>
      <c r="G89" s="114"/>
      <c r="H89" s="140"/>
      <c r="I89" s="138" t="s">
        <v>112</v>
      </c>
      <c r="J89" s="141">
        <v>150.0</v>
      </c>
      <c r="K89" s="107"/>
      <c r="L89" s="16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</row>
    <row r="90">
      <c r="A90" s="107"/>
      <c r="B90" s="107"/>
      <c r="C90" s="138" t="s">
        <v>113</v>
      </c>
      <c r="D90" s="139"/>
      <c r="E90" s="139"/>
      <c r="F90" s="139"/>
      <c r="G90" s="114"/>
      <c r="H90" s="140"/>
      <c r="I90" s="138" t="s">
        <v>114</v>
      </c>
      <c r="J90" s="141">
        <v>50.0</v>
      </c>
      <c r="K90" s="107"/>
      <c r="L90" s="16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</row>
    <row r="91">
      <c r="A91" s="107"/>
      <c r="B91" s="107"/>
      <c r="C91" s="138" t="s">
        <v>115</v>
      </c>
      <c r="D91" s="139"/>
      <c r="E91" s="139"/>
      <c r="F91" s="139"/>
      <c r="G91" s="114"/>
      <c r="H91" s="114"/>
      <c r="I91" s="109"/>
      <c r="J91" s="109"/>
      <c r="K91" s="107"/>
      <c r="L91" s="16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</row>
    <row r="92">
      <c r="A92" s="107"/>
      <c r="B92" s="107"/>
      <c r="C92" s="138" t="s">
        <v>116</v>
      </c>
      <c r="D92" s="150"/>
      <c r="E92" s="139"/>
      <c r="F92" s="139"/>
      <c r="G92" s="114"/>
      <c r="H92" s="114"/>
      <c r="I92" s="109"/>
      <c r="J92" s="109"/>
      <c r="K92" s="107"/>
      <c r="L92" s="16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</row>
    <row r="93">
      <c r="A93" s="107"/>
      <c r="B93" s="107"/>
      <c r="C93" s="138" t="s">
        <v>117</v>
      </c>
      <c r="D93" s="150"/>
      <c r="E93" s="139"/>
      <c r="F93" s="150"/>
      <c r="G93" s="114"/>
      <c r="H93" s="114"/>
      <c r="I93" s="109"/>
      <c r="J93" s="109"/>
      <c r="K93" s="107"/>
      <c r="L93" s="16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</row>
    <row r="94">
      <c r="A94" s="107"/>
      <c r="B94" s="107"/>
      <c r="C94" s="151" t="s">
        <v>118</v>
      </c>
      <c r="D94" s="152" t="str">
        <f t="shared" ref="D94:F94" si="18">AVERAGE(D87:D93)</f>
        <v>#DIV/0!</v>
      </c>
      <c r="E94" s="152" t="str">
        <f t="shared" si="18"/>
        <v>#DIV/0!</v>
      </c>
      <c r="F94" s="152" t="str">
        <f t="shared" si="18"/>
        <v>#DIV/0!</v>
      </c>
      <c r="G94" s="114"/>
      <c r="H94" s="114"/>
      <c r="I94" s="109"/>
      <c r="J94" s="109"/>
      <c r="K94" s="107"/>
      <c r="L94" s="16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</row>
    <row r="95">
      <c r="A95" s="107"/>
      <c r="B95" s="107"/>
      <c r="C95" s="115"/>
      <c r="D95" s="115"/>
      <c r="E95" s="115"/>
      <c r="F95" s="115"/>
      <c r="G95" s="114"/>
      <c r="H95" s="114"/>
      <c r="I95" s="109"/>
      <c r="J95" s="109"/>
      <c r="K95" s="107"/>
      <c r="L95" s="16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</row>
    <row r="96">
      <c r="A96" s="107"/>
      <c r="B96" s="107"/>
      <c r="C96" s="154" t="s">
        <v>119</v>
      </c>
      <c r="D96" s="69"/>
      <c r="E96" s="69"/>
      <c r="F96" s="69"/>
      <c r="G96" s="23"/>
      <c r="H96" s="155"/>
      <c r="I96" s="156"/>
      <c r="J96" s="156"/>
      <c r="K96" s="107"/>
      <c r="L96" s="16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</row>
    <row r="97">
      <c r="A97" s="107"/>
      <c r="B97" s="107"/>
      <c r="C97" s="138" t="s">
        <v>96</v>
      </c>
      <c r="D97" s="157" t="s">
        <v>120</v>
      </c>
      <c r="E97" s="138" t="s">
        <v>98</v>
      </c>
      <c r="F97" s="138" t="s">
        <v>99</v>
      </c>
      <c r="G97" s="138" t="s">
        <v>100</v>
      </c>
      <c r="H97" s="155"/>
      <c r="I97" s="156"/>
      <c r="J97" s="156"/>
      <c r="K97" s="107"/>
      <c r="L97" s="16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</row>
    <row r="98">
      <c r="A98" s="107"/>
      <c r="B98" s="107"/>
      <c r="C98" s="158"/>
      <c r="D98" s="158"/>
      <c r="E98" s="158"/>
      <c r="F98" s="158"/>
      <c r="G98" s="158"/>
      <c r="H98" s="155"/>
      <c r="I98" s="156"/>
      <c r="J98" s="156"/>
      <c r="K98" s="107"/>
      <c r="L98" s="16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</row>
    <row r="99">
      <c r="A99" s="107"/>
      <c r="B99" s="107"/>
      <c r="C99" s="107"/>
      <c r="D99" s="107"/>
      <c r="E99" s="107"/>
      <c r="F99" s="107"/>
      <c r="G99" s="107"/>
      <c r="H99" s="155"/>
      <c r="I99" s="156"/>
      <c r="J99" s="156"/>
      <c r="K99" s="107"/>
      <c r="L99" s="16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</row>
    <row r="100">
      <c r="A100" s="107"/>
      <c r="B100" s="107"/>
      <c r="C100" s="107"/>
      <c r="D100" s="107"/>
      <c r="E100" s="107"/>
      <c r="F100" s="107"/>
      <c r="G100" s="107"/>
      <c r="H100" s="155"/>
      <c r="I100" s="156"/>
      <c r="J100" s="156"/>
      <c r="K100" s="107"/>
      <c r="L100" s="16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</row>
    <row r="101" ht="27.0" customHeight="1">
      <c r="A101" s="107"/>
      <c r="B101" s="107"/>
      <c r="C101" s="115"/>
      <c r="D101" s="162" t="s">
        <v>126</v>
      </c>
      <c r="E101" s="23"/>
      <c r="F101" s="115"/>
      <c r="G101" s="114"/>
      <c r="H101" s="114"/>
      <c r="I101" s="109"/>
      <c r="J101" s="109"/>
      <c r="K101" s="107"/>
      <c r="L101" s="16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</row>
    <row r="102">
      <c r="A102" s="107"/>
      <c r="B102" s="107"/>
      <c r="C102" s="131" t="s">
        <v>101</v>
      </c>
      <c r="D102" s="132" t="s">
        <v>102</v>
      </c>
      <c r="E102" s="132" t="s">
        <v>103</v>
      </c>
      <c r="F102" s="132" t="s">
        <v>104</v>
      </c>
      <c r="G102" s="114"/>
      <c r="H102" s="133"/>
      <c r="I102" s="134" t="s">
        <v>105</v>
      </c>
      <c r="J102" s="23"/>
      <c r="K102" s="107"/>
      <c r="L102" s="16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</row>
    <row r="103">
      <c r="A103" s="107"/>
      <c r="B103" s="107"/>
      <c r="C103" s="138" t="s">
        <v>107</v>
      </c>
      <c r="D103" s="139"/>
      <c r="E103" s="139"/>
      <c r="F103" s="139"/>
      <c r="G103" s="114"/>
      <c r="H103" s="140"/>
      <c r="I103" s="138" t="s">
        <v>108</v>
      </c>
      <c r="J103" s="141">
        <v>1530.0</v>
      </c>
      <c r="K103" s="107"/>
      <c r="L103" s="16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</row>
    <row r="104">
      <c r="A104" s="107"/>
      <c r="B104" s="107"/>
      <c r="C104" s="138" t="s">
        <v>109</v>
      </c>
      <c r="D104" s="139"/>
      <c r="E104" s="139"/>
      <c r="F104" s="139"/>
      <c r="G104" s="114"/>
      <c r="H104" s="140"/>
      <c r="I104" s="138" t="s">
        <v>110</v>
      </c>
      <c r="J104" s="141">
        <v>120.0</v>
      </c>
      <c r="K104" s="107"/>
      <c r="L104" s="16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</row>
    <row r="105">
      <c r="A105" s="107"/>
      <c r="B105" s="107"/>
      <c r="C105" s="138" t="s">
        <v>111</v>
      </c>
      <c r="D105" s="139"/>
      <c r="E105" s="139"/>
      <c r="F105" s="139"/>
      <c r="G105" s="114"/>
      <c r="H105" s="140"/>
      <c r="I105" s="138" t="s">
        <v>112</v>
      </c>
      <c r="J105" s="141">
        <v>150.0</v>
      </c>
      <c r="K105" s="107"/>
      <c r="L105" s="16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</row>
    <row r="106">
      <c r="A106" s="107"/>
      <c r="B106" s="107"/>
      <c r="C106" s="138" t="s">
        <v>113</v>
      </c>
      <c r="D106" s="139"/>
      <c r="E106" s="139"/>
      <c r="F106" s="139"/>
      <c r="G106" s="114"/>
      <c r="H106" s="140"/>
      <c r="I106" s="138" t="s">
        <v>114</v>
      </c>
      <c r="J106" s="141">
        <v>50.0</v>
      </c>
      <c r="K106" s="107"/>
      <c r="L106" s="16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</row>
    <row r="107">
      <c r="A107" s="107"/>
      <c r="B107" s="107"/>
      <c r="C107" s="138" t="s">
        <v>115</v>
      </c>
      <c r="D107" s="139"/>
      <c r="E107" s="139"/>
      <c r="F107" s="139"/>
      <c r="G107" s="114"/>
      <c r="H107" s="114"/>
      <c r="I107" s="109"/>
      <c r="J107" s="109"/>
      <c r="K107" s="107"/>
      <c r="L107" s="16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</row>
    <row r="108">
      <c r="A108" s="107"/>
      <c r="B108" s="107"/>
      <c r="C108" s="138" t="s">
        <v>116</v>
      </c>
      <c r="D108" s="150"/>
      <c r="E108" s="139"/>
      <c r="F108" s="139"/>
      <c r="G108" s="114"/>
      <c r="H108" s="114"/>
      <c r="I108" s="109"/>
      <c r="J108" s="109"/>
      <c r="K108" s="107"/>
      <c r="L108" s="16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</row>
    <row r="109">
      <c r="A109" s="107"/>
      <c r="B109" s="107"/>
      <c r="C109" s="138" t="s">
        <v>117</v>
      </c>
      <c r="D109" s="150"/>
      <c r="E109" s="139"/>
      <c r="F109" s="150"/>
      <c r="G109" s="114"/>
      <c r="H109" s="114"/>
      <c r="I109" s="109"/>
      <c r="J109" s="109"/>
      <c r="K109" s="107"/>
      <c r="L109" s="16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</row>
    <row r="110">
      <c r="A110" s="107"/>
      <c r="B110" s="107"/>
      <c r="C110" s="151" t="s">
        <v>118</v>
      </c>
      <c r="D110" s="152" t="str">
        <f t="shared" ref="D110:F110" si="19">AVERAGE(D103:D109)</f>
        <v>#DIV/0!</v>
      </c>
      <c r="E110" s="152" t="str">
        <f t="shared" si="19"/>
        <v>#DIV/0!</v>
      </c>
      <c r="F110" s="152" t="str">
        <f t="shared" si="19"/>
        <v>#DIV/0!</v>
      </c>
      <c r="G110" s="114"/>
      <c r="H110" s="114"/>
      <c r="I110" s="109"/>
      <c r="J110" s="109"/>
      <c r="K110" s="107"/>
      <c r="L110" s="16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</row>
    <row r="111">
      <c r="A111" s="107"/>
      <c r="B111" s="107"/>
      <c r="C111" s="115"/>
      <c r="D111" s="115"/>
      <c r="E111" s="115"/>
      <c r="F111" s="115"/>
      <c r="G111" s="114"/>
      <c r="H111" s="114"/>
      <c r="I111" s="109"/>
      <c r="J111" s="109"/>
      <c r="K111" s="107"/>
      <c r="L111" s="16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</row>
    <row r="112">
      <c r="A112" s="107"/>
      <c r="B112" s="107"/>
      <c r="C112" s="154" t="s">
        <v>119</v>
      </c>
      <c r="D112" s="69"/>
      <c r="E112" s="69"/>
      <c r="F112" s="69"/>
      <c r="G112" s="23"/>
      <c r="H112" s="155"/>
      <c r="I112" s="156"/>
      <c r="J112" s="156"/>
      <c r="K112" s="107"/>
      <c r="L112" s="16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</row>
    <row r="113">
      <c r="A113" s="107"/>
      <c r="B113" s="107"/>
      <c r="C113" s="138" t="s">
        <v>96</v>
      </c>
      <c r="D113" s="157" t="s">
        <v>120</v>
      </c>
      <c r="E113" s="138" t="s">
        <v>98</v>
      </c>
      <c r="F113" s="138" t="s">
        <v>99</v>
      </c>
      <c r="G113" s="138" t="s">
        <v>100</v>
      </c>
      <c r="H113" s="155"/>
      <c r="I113" s="156"/>
      <c r="J113" s="156"/>
      <c r="K113" s="107"/>
      <c r="L113" s="16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</row>
    <row r="114">
      <c r="A114" s="107"/>
      <c r="B114" s="107"/>
      <c r="C114" s="158"/>
      <c r="D114" s="158"/>
      <c r="E114" s="158"/>
      <c r="F114" s="158"/>
      <c r="G114" s="158"/>
      <c r="H114" s="155"/>
      <c r="I114" s="156"/>
      <c r="J114" s="156"/>
      <c r="K114" s="107"/>
      <c r="L114" s="16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</row>
    <row r="115">
      <c r="A115" s="107"/>
      <c r="B115" s="107"/>
      <c r="C115" s="114"/>
      <c r="D115" s="114"/>
      <c r="E115" s="114"/>
      <c r="F115" s="114"/>
      <c r="G115" s="107"/>
      <c r="H115" s="107"/>
      <c r="I115" s="156"/>
      <c r="J115" s="156"/>
      <c r="K115" s="107"/>
      <c r="L115" s="16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</row>
    <row r="116">
      <c r="A116" s="107"/>
      <c r="B116" s="107"/>
      <c r="C116" s="16"/>
      <c r="D116" s="16"/>
      <c r="E116" s="16"/>
      <c r="F116" s="16"/>
      <c r="G116" s="107"/>
      <c r="H116" s="107"/>
      <c r="I116" s="156"/>
      <c r="J116" s="156"/>
      <c r="K116" s="107"/>
      <c r="L116" s="16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</row>
    <row r="117">
      <c r="A117" s="107"/>
      <c r="B117" s="107"/>
      <c r="C117" s="16"/>
      <c r="D117" s="16"/>
      <c r="E117" s="16"/>
      <c r="F117" s="16"/>
      <c r="G117" s="107"/>
      <c r="H117" s="107"/>
      <c r="I117" s="156"/>
      <c r="J117" s="156"/>
      <c r="K117" s="107"/>
      <c r="L117" s="16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</row>
    <row r="118" ht="30.0" customHeight="1">
      <c r="A118" s="107"/>
      <c r="B118" s="107"/>
      <c r="C118" s="115"/>
      <c r="D118" s="162" t="s">
        <v>127</v>
      </c>
      <c r="E118" s="23"/>
      <c r="F118" s="115"/>
      <c r="G118" s="114"/>
      <c r="H118" s="114"/>
      <c r="I118" s="109"/>
      <c r="J118" s="109"/>
      <c r="K118" s="107"/>
      <c r="L118" s="16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</row>
    <row r="119">
      <c r="A119" s="107"/>
      <c r="B119" s="107"/>
      <c r="C119" s="131" t="s">
        <v>101</v>
      </c>
      <c r="D119" s="132" t="s">
        <v>102</v>
      </c>
      <c r="E119" s="132" t="s">
        <v>103</v>
      </c>
      <c r="F119" s="132" t="s">
        <v>104</v>
      </c>
      <c r="G119" s="114"/>
      <c r="H119" s="133"/>
      <c r="I119" s="134" t="s">
        <v>105</v>
      </c>
      <c r="J119" s="23"/>
      <c r="K119" s="107"/>
      <c r="L119" s="16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</row>
    <row r="120">
      <c r="A120" s="107"/>
      <c r="B120" s="107"/>
      <c r="C120" s="138" t="s">
        <v>107</v>
      </c>
      <c r="D120" s="139"/>
      <c r="E120" s="139"/>
      <c r="F120" s="139"/>
      <c r="G120" s="114"/>
      <c r="H120" s="140"/>
      <c r="I120" s="138" t="s">
        <v>108</v>
      </c>
      <c r="J120" s="141">
        <v>1530.0</v>
      </c>
      <c r="K120" s="107"/>
      <c r="L120" s="16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</row>
    <row r="121">
      <c r="A121" s="107"/>
      <c r="B121" s="107"/>
      <c r="C121" s="138" t="s">
        <v>109</v>
      </c>
      <c r="D121" s="139"/>
      <c r="E121" s="139"/>
      <c r="F121" s="139"/>
      <c r="G121" s="114"/>
      <c r="H121" s="140"/>
      <c r="I121" s="138" t="s">
        <v>110</v>
      </c>
      <c r="J121" s="141">
        <v>120.0</v>
      </c>
      <c r="K121" s="107"/>
      <c r="L121" s="16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</row>
    <row r="122">
      <c r="A122" s="107"/>
      <c r="B122" s="107"/>
      <c r="C122" s="138" t="s">
        <v>111</v>
      </c>
      <c r="D122" s="139"/>
      <c r="E122" s="139"/>
      <c r="F122" s="139"/>
      <c r="G122" s="114"/>
      <c r="H122" s="140"/>
      <c r="I122" s="138" t="s">
        <v>112</v>
      </c>
      <c r="J122" s="141">
        <v>150.0</v>
      </c>
      <c r="K122" s="107"/>
      <c r="L122" s="16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</row>
    <row r="123">
      <c r="A123" s="107"/>
      <c r="B123" s="107"/>
      <c r="C123" s="138" t="s">
        <v>113</v>
      </c>
      <c r="D123" s="139"/>
      <c r="E123" s="139"/>
      <c r="F123" s="139"/>
      <c r="G123" s="114"/>
      <c r="H123" s="140"/>
      <c r="I123" s="138" t="s">
        <v>114</v>
      </c>
      <c r="J123" s="141">
        <v>50.0</v>
      </c>
      <c r="K123" s="107"/>
      <c r="L123" s="16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</row>
    <row r="124">
      <c r="A124" s="107"/>
      <c r="B124" s="107"/>
      <c r="C124" s="138" t="s">
        <v>115</v>
      </c>
      <c r="D124" s="139"/>
      <c r="E124" s="139"/>
      <c r="F124" s="139"/>
      <c r="G124" s="114"/>
      <c r="H124" s="114"/>
      <c r="I124" s="109"/>
      <c r="J124" s="109"/>
      <c r="K124" s="107"/>
      <c r="L124" s="16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</row>
    <row r="125">
      <c r="A125" s="107"/>
      <c r="B125" s="107"/>
      <c r="C125" s="138" t="s">
        <v>116</v>
      </c>
      <c r="D125" s="150"/>
      <c r="E125" s="139"/>
      <c r="F125" s="139"/>
      <c r="G125" s="114"/>
      <c r="H125" s="114"/>
      <c r="I125" s="109"/>
      <c r="J125" s="109"/>
      <c r="K125" s="107"/>
      <c r="L125" s="16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</row>
    <row r="126">
      <c r="A126" s="107"/>
      <c r="B126" s="107"/>
      <c r="C126" s="138" t="s">
        <v>117</v>
      </c>
      <c r="D126" s="150"/>
      <c r="E126" s="139"/>
      <c r="F126" s="150"/>
      <c r="G126" s="114"/>
      <c r="H126" s="114"/>
      <c r="I126" s="109"/>
      <c r="J126" s="109"/>
      <c r="K126" s="107"/>
      <c r="L126" s="16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</row>
    <row r="127">
      <c r="A127" s="107"/>
      <c r="B127" s="107"/>
      <c r="C127" s="151" t="s">
        <v>118</v>
      </c>
      <c r="D127" s="152" t="str">
        <f t="shared" ref="D127:F127" si="20">AVERAGE(D120:D126)</f>
        <v>#DIV/0!</v>
      </c>
      <c r="E127" s="152" t="str">
        <f t="shared" si="20"/>
        <v>#DIV/0!</v>
      </c>
      <c r="F127" s="152" t="str">
        <f t="shared" si="20"/>
        <v>#DIV/0!</v>
      </c>
      <c r="G127" s="114"/>
      <c r="H127" s="114"/>
      <c r="I127" s="109"/>
      <c r="J127" s="109"/>
      <c r="K127" s="107"/>
      <c r="L127" s="16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</row>
    <row r="128">
      <c r="A128" s="107"/>
      <c r="B128" s="107"/>
      <c r="C128" s="115"/>
      <c r="D128" s="115"/>
      <c r="E128" s="115"/>
      <c r="F128" s="115"/>
      <c r="G128" s="114"/>
      <c r="H128" s="114"/>
      <c r="I128" s="109"/>
      <c r="J128" s="109"/>
      <c r="K128" s="107"/>
      <c r="L128" s="16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</row>
    <row r="129">
      <c r="A129" s="107"/>
      <c r="B129" s="107"/>
      <c r="C129" s="154" t="s">
        <v>119</v>
      </c>
      <c r="D129" s="69"/>
      <c r="E129" s="69"/>
      <c r="F129" s="69"/>
      <c r="G129" s="23"/>
      <c r="H129" s="155"/>
      <c r="I129" s="156"/>
      <c r="J129" s="156"/>
      <c r="K129" s="107"/>
      <c r="L129" s="16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</row>
    <row r="130">
      <c r="A130" s="107"/>
      <c r="B130" s="107"/>
      <c r="C130" s="138" t="s">
        <v>96</v>
      </c>
      <c r="D130" s="157" t="s">
        <v>120</v>
      </c>
      <c r="E130" s="138" t="s">
        <v>98</v>
      </c>
      <c r="F130" s="138" t="s">
        <v>99</v>
      </c>
      <c r="G130" s="138" t="s">
        <v>100</v>
      </c>
      <c r="H130" s="155"/>
      <c r="I130" s="156"/>
      <c r="J130" s="156"/>
      <c r="K130" s="107"/>
      <c r="L130" s="16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</row>
    <row r="131">
      <c r="A131" s="107"/>
      <c r="B131" s="107"/>
      <c r="C131" s="158"/>
      <c r="D131" s="158"/>
      <c r="E131" s="158"/>
      <c r="F131" s="158"/>
      <c r="G131" s="158"/>
      <c r="H131" s="155"/>
      <c r="I131" s="156"/>
      <c r="J131" s="156"/>
      <c r="K131" s="107"/>
      <c r="L131" s="16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</row>
    <row r="132">
      <c r="A132" s="107"/>
      <c r="B132" s="107"/>
      <c r="C132" s="107"/>
      <c r="D132" s="107"/>
      <c r="E132" s="107"/>
      <c r="F132" s="107"/>
      <c r="G132" s="107"/>
      <c r="H132" s="155"/>
      <c r="I132" s="156"/>
      <c r="J132" s="156"/>
      <c r="K132" s="107"/>
      <c r="L132" s="16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</row>
    <row r="133">
      <c r="A133" s="107"/>
      <c r="B133" s="107"/>
      <c r="C133" s="107"/>
      <c r="D133" s="107"/>
      <c r="E133" s="107"/>
      <c r="F133" s="107"/>
      <c r="G133" s="107"/>
      <c r="H133" s="155"/>
      <c r="I133" s="156"/>
      <c r="J133" s="156"/>
      <c r="K133" s="107"/>
      <c r="L133" s="16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</row>
    <row r="134">
      <c r="A134" s="107"/>
      <c r="B134" s="107"/>
      <c r="C134" s="107"/>
      <c r="D134" s="107"/>
      <c r="E134" s="107"/>
      <c r="F134" s="107"/>
      <c r="G134" s="107"/>
      <c r="H134" s="155"/>
      <c r="I134" s="156"/>
      <c r="J134" s="156"/>
      <c r="K134" s="107"/>
      <c r="L134" s="16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</row>
    <row r="135" ht="31.5" customHeight="1">
      <c r="A135" s="107"/>
      <c r="B135" s="107"/>
      <c r="C135" s="115"/>
      <c r="D135" s="162" t="s">
        <v>128</v>
      </c>
      <c r="E135" s="23"/>
      <c r="F135" s="115"/>
      <c r="G135" s="114"/>
      <c r="H135" s="114"/>
      <c r="I135" s="109"/>
      <c r="J135" s="109"/>
      <c r="K135" s="107"/>
      <c r="L135" s="16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</row>
    <row r="136">
      <c r="A136" s="107"/>
      <c r="B136" s="107"/>
      <c r="C136" s="131" t="s">
        <v>101</v>
      </c>
      <c r="D136" s="132" t="s">
        <v>102</v>
      </c>
      <c r="E136" s="132" t="s">
        <v>103</v>
      </c>
      <c r="F136" s="132" t="s">
        <v>104</v>
      </c>
      <c r="G136" s="114"/>
      <c r="H136" s="133"/>
      <c r="I136" s="134" t="s">
        <v>105</v>
      </c>
      <c r="J136" s="23"/>
      <c r="K136" s="107"/>
      <c r="L136" s="16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</row>
    <row r="137">
      <c r="A137" s="107"/>
      <c r="B137" s="107"/>
      <c r="C137" s="138" t="s">
        <v>107</v>
      </c>
      <c r="D137" s="139"/>
      <c r="E137" s="139"/>
      <c r="F137" s="139"/>
      <c r="G137" s="114"/>
      <c r="H137" s="140"/>
      <c r="I137" s="138" t="s">
        <v>108</v>
      </c>
      <c r="J137" s="141">
        <v>1530.0</v>
      </c>
      <c r="K137" s="107"/>
      <c r="L137" s="16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</row>
    <row r="138">
      <c r="A138" s="107"/>
      <c r="B138" s="107"/>
      <c r="C138" s="138" t="s">
        <v>109</v>
      </c>
      <c r="D138" s="139"/>
      <c r="E138" s="139"/>
      <c r="F138" s="139"/>
      <c r="G138" s="114"/>
      <c r="H138" s="140"/>
      <c r="I138" s="138" t="s">
        <v>110</v>
      </c>
      <c r="J138" s="141">
        <v>120.0</v>
      </c>
      <c r="K138" s="107"/>
      <c r="L138" s="16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</row>
    <row r="139">
      <c r="A139" s="107"/>
      <c r="B139" s="107"/>
      <c r="C139" s="138" t="s">
        <v>111</v>
      </c>
      <c r="D139" s="139"/>
      <c r="E139" s="139"/>
      <c r="F139" s="139"/>
      <c r="G139" s="114"/>
      <c r="H139" s="140"/>
      <c r="I139" s="138" t="s">
        <v>112</v>
      </c>
      <c r="J139" s="141">
        <v>150.0</v>
      </c>
      <c r="K139" s="107"/>
      <c r="L139" s="16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</row>
    <row r="140">
      <c r="A140" s="107"/>
      <c r="B140" s="107"/>
      <c r="C140" s="138" t="s">
        <v>113</v>
      </c>
      <c r="D140" s="139"/>
      <c r="E140" s="139"/>
      <c r="F140" s="139"/>
      <c r="G140" s="114"/>
      <c r="H140" s="140"/>
      <c r="I140" s="138" t="s">
        <v>114</v>
      </c>
      <c r="J140" s="141">
        <v>50.0</v>
      </c>
      <c r="K140" s="107"/>
      <c r="L140" s="16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</row>
    <row r="141">
      <c r="A141" s="107"/>
      <c r="B141" s="107"/>
      <c r="C141" s="138" t="s">
        <v>115</v>
      </c>
      <c r="D141" s="139"/>
      <c r="E141" s="139"/>
      <c r="F141" s="139"/>
      <c r="G141" s="114"/>
      <c r="H141" s="114"/>
      <c r="I141" s="109"/>
      <c r="J141" s="109"/>
      <c r="K141" s="107"/>
      <c r="L141" s="16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</row>
    <row r="142">
      <c r="A142" s="107"/>
      <c r="B142" s="107"/>
      <c r="C142" s="138" t="s">
        <v>116</v>
      </c>
      <c r="D142" s="150"/>
      <c r="E142" s="139"/>
      <c r="F142" s="139"/>
      <c r="G142" s="114"/>
      <c r="H142" s="114"/>
      <c r="I142" s="109"/>
      <c r="J142" s="109"/>
      <c r="K142" s="107"/>
      <c r="L142" s="16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</row>
    <row r="143">
      <c r="A143" s="107"/>
      <c r="B143" s="107"/>
      <c r="C143" s="138" t="s">
        <v>117</v>
      </c>
      <c r="D143" s="150"/>
      <c r="E143" s="139"/>
      <c r="F143" s="150"/>
      <c r="G143" s="114"/>
      <c r="H143" s="114"/>
      <c r="I143" s="109"/>
      <c r="J143" s="109"/>
      <c r="K143" s="107"/>
      <c r="L143" s="16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</row>
    <row r="144">
      <c r="A144" s="107"/>
      <c r="B144" s="107"/>
      <c r="C144" s="151" t="s">
        <v>118</v>
      </c>
      <c r="D144" s="152" t="str">
        <f t="shared" ref="D144:F144" si="21">AVERAGE(D137:D143)</f>
        <v>#DIV/0!</v>
      </c>
      <c r="E144" s="152" t="str">
        <f t="shared" si="21"/>
        <v>#DIV/0!</v>
      </c>
      <c r="F144" s="152" t="str">
        <f t="shared" si="21"/>
        <v>#DIV/0!</v>
      </c>
      <c r="G144" s="114"/>
      <c r="H144" s="114"/>
      <c r="I144" s="109"/>
      <c r="J144" s="109"/>
      <c r="K144" s="107"/>
      <c r="L144" s="16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</row>
    <row r="145">
      <c r="A145" s="107"/>
      <c r="B145" s="107"/>
      <c r="C145" s="115"/>
      <c r="D145" s="115"/>
      <c r="E145" s="115"/>
      <c r="F145" s="115"/>
      <c r="G145" s="114"/>
      <c r="H145" s="114"/>
      <c r="I145" s="109"/>
      <c r="J145" s="109"/>
      <c r="K145" s="107"/>
      <c r="L145" s="16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</row>
    <row r="146">
      <c r="A146" s="107"/>
      <c r="B146" s="107"/>
      <c r="C146" s="154" t="s">
        <v>119</v>
      </c>
      <c r="D146" s="69"/>
      <c r="E146" s="69"/>
      <c r="F146" s="69"/>
      <c r="G146" s="23"/>
      <c r="H146" s="155"/>
      <c r="I146" s="156"/>
      <c r="J146" s="156"/>
      <c r="K146" s="107"/>
      <c r="L146" s="16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</row>
    <row r="147">
      <c r="A147" s="107"/>
      <c r="B147" s="107"/>
      <c r="C147" s="164" t="s">
        <v>96</v>
      </c>
      <c r="D147" s="157" t="s">
        <v>120</v>
      </c>
      <c r="E147" s="138" t="s">
        <v>98</v>
      </c>
      <c r="F147" s="164" t="s">
        <v>99</v>
      </c>
      <c r="G147" s="164" t="s">
        <v>100</v>
      </c>
      <c r="H147" s="155"/>
      <c r="I147" s="156"/>
      <c r="J147" s="156"/>
      <c r="K147" s="107"/>
      <c r="L147" s="16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</row>
    <row r="148">
      <c r="A148" s="107"/>
      <c r="B148" s="107"/>
      <c r="C148" s="158"/>
      <c r="D148" s="158"/>
      <c r="E148" s="158"/>
      <c r="F148" s="158"/>
      <c r="G148" s="158"/>
      <c r="H148" s="155"/>
      <c r="I148" s="156"/>
      <c r="J148" s="156"/>
      <c r="K148" s="107"/>
      <c r="L148" s="16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56"/>
      <c r="J149" s="156"/>
      <c r="K149" s="107"/>
      <c r="L149" s="16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56"/>
      <c r="J150" s="156"/>
      <c r="K150" s="107"/>
      <c r="L150" s="16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</row>
    <row r="151" ht="28.5" customHeight="1">
      <c r="A151" s="107"/>
      <c r="B151" s="107"/>
      <c r="C151" s="115"/>
      <c r="D151" s="162" t="s">
        <v>129</v>
      </c>
      <c r="E151" s="23"/>
      <c r="F151" s="115"/>
      <c r="G151" s="114"/>
      <c r="H151" s="114"/>
      <c r="I151" s="109"/>
      <c r="J151" s="109"/>
      <c r="K151" s="107"/>
      <c r="L151" s="16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</row>
    <row r="152">
      <c r="A152" s="107"/>
      <c r="B152" s="107"/>
      <c r="C152" s="131" t="s">
        <v>101</v>
      </c>
      <c r="D152" s="132" t="s">
        <v>102</v>
      </c>
      <c r="E152" s="132" t="s">
        <v>103</v>
      </c>
      <c r="F152" s="132" t="s">
        <v>104</v>
      </c>
      <c r="G152" s="114"/>
      <c r="H152" s="133"/>
      <c r="I152" s="134" t="s">
        <v>105</v>
      </c>
      <c r="J152" s="23"/>
      <c r="K152" s="107"/>
      <c r="L152" s="16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</row>
    <row r="153">
      <c r="A153" s="107"/>
      <c r="B153" s="107"/>
      <c r="C153" s="138" t="s">
        <v>107</v>
      </c>
      <c r="D153" s="139"/>
      <c r="E153" s="139"/>
      <c r="F153" s="139"/>
      <c r="G153" s="114"/>
      <c r="H153" s="140"/>
      <c r="I153" s="138" t="s">
        <v>108</v>
      </c>
      <c r="J153" s="141">
        <v>1530.0</v>
      </c>
      <c r="K153" s="107"/>
      <c r="L153" s="16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</row>
    <row r="154">
      <c r="A154" s="107"/>
      <c r="B154" s="107"/>
      <c r="C154" s="138" t="s">
        <v>109</v>
      </c>
      <c r="D154" s="139"/>
      <c r="E154" s="139"/>
      <c r="F154" s="139"/>
      <c r="G154" s="114"/>
      <c r="H154" s="140"/>
      <c r="I154" s="138" t="s">
        <v>110</v>
      </c>
      <c r="J154" s="141">
        <v>120.0</v>
      </c>
      <c r="K154" s="107"/>
      <c r="L154" s="16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</row>
    <row r="155">
      <c r="A155" s="107"/>
      <c r="B155" s="107"/>
      <c r="C155" s="138" t="s">
        <v>111</v>
      </c>
      <c r="D155" s="139"/>
      <c r="E155" s="139"/>
      <c r="F155" s="139"/>
      <c r="G155" s="114"/>
      <c r="H155" s="140"/>
      <c r="I155" s="138" t="s">
        <v>112</v>
      </c>
      <c r="J155" s="141">
        <v>150.0</v>
      </c>
      <c r="K155" s="107"/>
      <c r="L155" s="16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</row>
    <row r="156">
      <c r="A156" s="107"/>
      <c r="B156" s="107"/>
      <c r="C156" s="138" t="s">
        <v>113</v>
      </c>
      <c r="D156" s="139"/>
      <c r="E156" s="139"/>
      <c r="F156" s="139"/>
      <c r="G156" s="114"/>
      <c r="H156" s="140"/>
      <c r="I156" s="138" t="s">
        <v>114</v>
      </c>
      <c r="J156" s="141">
        <v>50.0</v>
      </c>
      <c r="K156" s="107"/>
      <c r="L156" s="16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</row>
    <row r="157">
      <c r="A157" s="107"/>
      <c r="B157" s="107"/>
      <c r="C157" s="138" t="s">
        <v>115</v>
      </c>
      <c r="D157" s="139"/>
      <c r="E157" s="139"/>
      <c r="F157" s="139"/>
      <c r="G157" s="114"/>
      <c r="H157" s="114"/>
      <c r="I157" s="109"/>
      <c r="J157" s="109"/>
      <c r="K157" s="107"/>
      <c r="L157" s="16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</row>
    <row r="158">
      <c r="A158" s="107"/>
      <c r="B158" s="107"/>
      <c r="C158" s="138" t="s">
        <v>116</v>
      </c>
      <c r="D158" s="150"/>
      <c r="E158" s="139"/>
      <c r="F158" s="139"/>
      <c r="G158" s="114"/>
      <c r="H158" s="114"/>
      <c r="I158" s="109"/>
      <c r="J158" s="109"/>
      <c r="K158" s="107"/>
      <c r="L158" s="16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</row>
    <row r="159">
      <c r="A159" s="107"/>
      <c r="B159" s="107"/>
      <c r="C159" s="138" t="s">
        <v>117</v>
      </c>
      <c r="D159" s="150"/>
      <c r="E159" s="139"/>
      <c r="F159" s="150"/>
      <c r="G159" s="114"/>
      <c r="H159" s="114"/>
      <c r="I159" s="109"/>
      <c r="J159" s="109"/>
      <c r="K159" s="107"/>
      <c r="L159" s="16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</row>
    <row r="160">
      <c r="A160" s="107"/>
      <c r="B160" s="107"/>
      <c r="C160" s="151" t="s">
        <v>118</v>
      </c>
      <c r="D160" s="152" t="str">
        <f t="shared" ref="D160:F160" si="22">AVERAGE(D153:D159)</f>
        <v>#DIV/0!</v>
      </c>
      <c r="E160" s="152" t="str">
        <f t="shared" si="22"/>
        <v>#DIV/0!</v>
      </c>
      <c r="F160" s="152" t="str">
        <f t="shared" si="22"/>
        <v>#DIV/0!</v>
      </c>
      <c r="G160" s="114"/>
      <c r="H160" s="114"/>
      <c r="I160" s="109"/>
      <c r="J160" s="109"/>
      <c r="K160" s="107"/>
      <c r="L160" s="16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</row>
    <row r="161">
      <c r="A161" s="107"/>
      <c r="B161" s="107"/>
      <c r="C161" s="115"/>
      <c r="D161" s="115"/>
      <c r="E161" s="115"/>
      <c r="F161" s="115"/>
      <c r="G161" s="114"/>
      <c r="H161" s="114"/>
      <c r="I161" s="109"/>
      <c r="J161" s="109"/>
      <c r="K161" s="107"/>
      <c r="L161" s="16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</row>
    <row r="162">
      <c r="A162" s="107"/>
      <c r="B162" s="107"/>
      <c r="C162" s="154" t="s">
        <v>119</v>
      </c>
      <c r="D162" s="69"/>
      <c r="E162" s="69"/>
      <c r="F162" s="69"/>
      <c r="G162" s="23"/>
      <c r="H162" s="155"/>
      <c r="I162" s="156"/>
      <c r="J162" s="156"/>
      <c r="K162" s="107"/>
      <c r="L162" s="16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</row>
    <row r="163">
      <c r="A163" s="107"/>
      <c r="B163" s="107"/>
      <c r="C163" s="164" t="s">
        <v>96</v>
      </c>
      <c r="D163" s="157" t="s">
        <v>120</v>
      </c>
      <c r="E163" s="138" t="s">
        <v>98</v>
      </c>
      <c r="F163" s="164" t="s">
        <v>99</v>
      </c>
      <c r="G163" s="164" t="s">
        <v>100</v>
      </c>
      <c r="H163" s="155"/>
      <c r="I163" s="156"/>
      <c r="J163" s="156"/>
      <c r="K163" s="107"/>
      <c r="L163" s="16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</row>
    <row r="164">
      <c r="A164" s="107"/>
      <c r="B164" s="107"/>
      <c r="C164" s="158"/>
      <c r="D164" s="158"/>
      <c r="E164" s="158"/>
      <c r="F164" s="158"/>
      <c r="G164" s="158"/>
      <c r="H164" s="155"/>
      <c r="I164" s="156"/>
      <c r="J164" s="156"/>
      <c r="K164" s="107"/>
      <c r="L164" s="16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</row>
    <row r="165">
      <c r="A165" s="107"/>
      <c r="B165" s="107"/>
      <c r="C165" s="107"/>
      <c r="D165" s="107"/>
      <c r="E165" s="107"/>
      <c r="F165" s="107"/>
      <c r="G165" s="107"/>
      <c r="H165" s="155"/>
      <c r="I165" s="156"/>
      <c r="J165" s="156"/>
      <c r="K165" s="107"/>
      <c r="L165" s="16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</row>
    <row r="166">
      <c r="A166" s="107"/>
      <c r="B166" s="107"/>
      <c r="C166" s="107"/>
      <c r="D166" s="107"/>
      <c r="E166" s="107"/>
      <c r="F166" s="107"/>
      <c r="G166" s="107"/>
      <c r="H166" s="155"/>
      <c r="I166" s="156"/>
      <c r="J166" s="156"/>
      <c r="K166" s="107"/>
      <c r="L166" s="16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</row>
    <row r="167" ht="31.5" customHeight="1">
      <c r="A167" s="107"/>
      <c r="B167" s="107"/>
      <c r="C167" s="115"/>
      <c r="D167" s="162" t="s">
        <v>130</v>
      </c>
      <c r="E167" s="23"/>
      <c r="F167" s="115"/>
      <c r="G167" s="114"/>
      <c r="H167" s="114"/>
      <c r="I167" s="109"/>
      <c r="J167" s="109"/>
      <c r="K167" s="107"/>
      <c r="L167" s="16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</row>
    <row r="168">
      <c r="A168" s="107"/>
      <c r="B168" s="107"/>
      <c r="C168" s="131" t="s">
        <v>101</v>
      </c>
      <c r="D168" s="132" t="s">
        <v>102</v>
      </c>
      <c r="E168" s="132" t="s">
        <v>103</v>
      </c>
      <c r="F168" s="132" t="s">
        <v>104</v>
      </c>
      <c r="G168" s="114"/>
      <c r="H168" s="133"/>
      <c r="I168" s="134" t="s">
        <v>105</v>
      </c>
      <c r="J168" s="23"/>
      <c r="K168" s="107"/>
      <c r="L168" s="16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</row>
    <row r="169">
      <c r="A169" s="107"/>
      <c r="B169" s="107"/>
      <c r="C169" s="138" t="s">
        <v>107</v>
      </c>
      <c r="D169" s="139"/>
      <c r="E169" s="139"/>
      <c r="F169" s="139"/>
      <c r="G169" s="114"/>
      <c r="H169" s="140"/>
      <c r="I169" s="138" t="s">
        <v>108</v>
      </c>
      <c r="J169" s="141">
        <v>1530.0</v>
      </c>
      <c r="K169" s="107"/>
      <c r="L169" s="16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</row>
    <row r="170">
      <c r="A170" s="107"/>
      <c r="B170" s="107"/>
      <c r="C170" s="138" t="s">
        <v>109</v>
      </c>
      <c r="D170" s="139"/>
      <c r="E170" s="139"/>
      <c r="F170" s="139"/>
      <c r="G170" s="114"/>
      <c r="H170" s="140"/>
      <c r="I170" s="138" t="s">
        <v>110</v>
      </c>
      <c r="J170" s="141">
        <v>120.0</v>
      </c>
      <c r="K170" s="107"/>
      <c r="L170" s="16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</row>
    <row r="171">
      <c r="A171" s="107"/>
      <c r="B171" s="107"/>
      <c r="C171" s="138" t="s">
        <v>111</v>
      </c>
      <c r="D171" s="139"/>
      <c r="E171" s="139"/>
      <c r="F171" s="139"/>
      <c r="G171" s="114"/>
      <c r="H171" s="140"/>
      <c r="I171" s="138" t="s">
        <v>112</v>
      </c>
      <c r="J171" s="141">
        <v>150.0</v>
      </c>
      <c r="K171" s="107"/>
      <c r="L171" s="16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</row>
    <row r="172">
      <c r="A172" s="107"/>
      <c r="B172" s="107"/>
      <c r="C172" s="138" t="s">
        <v>113</v>
      </c>
      <c r="D172" s="139"/>
      <c r="E172" s="139"/>
      <c r="F172" s="139"/>
      <c r="G172" s="114"/>
      <c r="H172" s="140"/>
      <c r="I172" s="138" t="s">
        <v>114</v>
      </c>
      <c r="J172" s="141">
        <v>50.0</v>
      </c>
      <c r="K172" s="107"/>
      <c r="L172" s="16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</row>
    <row r="173">
      <c r="A173" s="107"/>
      <c r="B173" s="107"/>
      <c r="C173" s="138" t="s">
        <v>115</v>
      </c>
      <c r="D173" s="139"/>
      <c r="E173" s="139"/>
      <c r="F173" s="139"/>
      <c r="G173" s="114"/>
      <c r="H173" s="114"/>
      <c r="I173" s="109"/>
      <c r="J173" s="109"/>
      <c r="K173" s="107"/>
      <c r="L173" s="16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</row>
    <row r="174">
      <c r="A174" s="107"/>
      <c r="B174" s="107"/>
      <c r="C174" s="138" t="s">
        <v>116</v>
      </c>
      <c r="D174" s="150"/>
      <c r="E174" s="139"/>
      <c r="F174" s="139"/>
      <c r="G174" s="114"/>
      <c r="H174" s="114"/>
      <c r="I174" s="109"/>
      <c r="J174" s="109"/>
      <c r="K174" s="107"/>
      <c r="L174" s="16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</row>
    <row r="175">
      <c r="A175" s="107"/>
      <c r="B175" s="107"/>
      <c r="C175" s="138" t="s">
        <v>117</v>
      </c>
      <c r="D175" s="150"/>
      <c r="E175" s="139"/>
      <c r="F175" s="150"/>
      <c r="G175" s="114"/>
      <c r="H175" s="114"/>
      <c r="I175" s="109"/>
      <c r="J175" s="109"/>
      <c r="K175" s="107"/>
      <c r="L175" s="16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</row>
    <row r="176">
      <c r="A176" s="107"/>
      <c r="B176" s="107"/>
      <c r="C176" s="151" t="s">
        <v>118</v>
      </c>
      <c r="D176" s="152" t="str">
        <f t="shared" ref="D176:F176" si="23">AVERAGE(D169:D175)</f>
        <v>#DIV/0!</v>
      </c>
      <c r="E176" s="152" t="str">
        <f t="shared" si="23"/>
        <v>#DIV/0!</v>
      </c>
      <c r="F176" s="152" t="str">
        <f t="shared" si="23"/>
        <v>#DIV/0!</v>
      </c>
      <c r="G176" s="114"/>
      <c r="H176" s="114"/>
      <c r="I176" s="109"/>
      <c r="J176" s="109"/>
      <c r="K176" s="107"/>
      <c r="L176" s="16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</row>
    <row r="177">
      <c r="A177" s="107"/>
      <c r="B177" s="107"/>
      <c r="C177" s="115"/>
      <c r="D177" s="115"/>
      <c r="E177" s="115"/>
      <c r="F177" s="115"/>
      <c r="G177" s="114"/>
      <c r="H177" s="114"/>
      <c r="I177" s="109"/>
      <c r="J177" s="109"/>
      <c r="K177" s="107"/>
      <c r="L177" s="16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</row>
    <row r="178">
      <c r="A178" s="107"/>
      <c r="B178" s="107"/>
      <c r="C178" s="154" t="s">
        <v>119</v>
      </c>
      <c r="D178" s="69"/>
      <c r="E178" s="69"/>
      <c r="F178" s="69"/>
      <c r="G178" s="23"/>
      <c r="H178" s="155"/>
      <c r="I178" s="156"/>
      <c r="J178" s="156"/>
      <c r="K178" s="107"/>
      <c r="L178" s="16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</row>
    <row r="179">
      <c r="A179" s="107"/>
      <c r="B179" s="107"/>
      <c r="C179" s="164" t="s">
        <v>96</v>
      </c>
      <c r="D179" s="157" t="s">
        <v>120</v>
      </c>
      <c r="E179" s="138" t="s">
        <v>98</v>
      </c>
      <c r="F179" s="164" t="s">
        <v>99</v>
      </c>
      <c r="G179" s="164" t="s">
        <v>100</v>
      </c>
      <c r="H179" s="155"/>
      <c r="I179" s="156"/>
      <c r="J179" s="156"/>
      <c r="K179" s="107"/>
      <c r="L179" s="16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</row>
    <row r="180">
      <c r="A180" s="107"/>
      <c r="B180" s="107"/>
      <c r="C180" s="158"/>
      <c r="D180" s="158"/>
      <c r="E180" s="158"/>
      <c r="F180" s="158"/>
      <c r="G180" s="158"/>
      <c r="H180" s="155"/>
      <c r="I180" s="156"/>
      <c r="J180" s="156"/>
      <c r="K180" s="107"/>
      <c r="L180" s="16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</row>
    <row r="181">
      <c r="A181" s="107"/>
      <c r="B181" s="107"/>
      <c r="C181" s="107"/>
      <c r="D181" s="107"/>
      <c r="E181" s="107"/>
      <c r="F181" s="107"/>
      <c r="G181" s="107"/>
      <c r="H181" s="155"/>
      <c r="I181" s="156"/>
      <c r="J181" s="156"/>
      <c r="K181" s="107"/>
      <c r="L181" s="16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</row>
    <row r="182">
      <c r="A182" s="107"/>
      <c r="B182" s="107"/>
      <c r="C182" s="107"/>
      <c r="D182" s="107"/>
      <c r="E182" s="107"/>
      <c r="F182" s="107"/>
      <c r="G182" s="107"/>
      <c r="H182" s="155"/>
      <c r="I182" s="156"/>
      <c r="J182" s="156"/>
      <c r="K182" s="107"/>
      <c r="L182" s="16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</row>
    <row r="183" ht="30.0" customHeight="1">
      <c r="A183" s="107"/>
      <c r="B183" s="107"/>
      <c r="C183" s="115"/>
      <c r="D183" s="162" t="s">
        <v>131</v>
      </c>
      <c r="E183" s="23"/>
      <c r="F183" s="115"/>
      <c r="G183" s="114"/>
      <c r="H183" s="114"/>
      <c r="I183" s="109"/>
      <c r="J183" s="109"/>
      <c r="K183" s="107"/>
      <c r="L183" s="16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</row>
    <row r="184">
      <c r="A184" s="107"/>
      <c r="B184" s="107"/>
      <c r="C184" s="131" t="s">
        <v>101</v>
      </c>
      <c r="D184" s="132" t="s">
        <v>102</v>
      </c>
      <c r="E184" s="132" t="s">
        <v>103</v>
      </c>
      <c r="F184" s="132" t="s">
        <v>104</v>
      </c>
      <c r="G184" s="114"/>
      <c r="H184" s="133"/>
      <c r="I184" s="134" t="s">
        <v>105</v>
      </c>
      <c r="J184" s="23"/>
      <c r="K184" s="107"/>
      <c r="L184" s="16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</row>
    <row r="185">
      <c r="A185" s="107"/>
      <c r="B185" s="107"/>
      <c r="C185" s="138" t="s">
        <v>107</v>
      </c>
      <c r="D185" s="139"/>
      <c r="E185" s="139"/>
      <c r="F185" s="139"/>
      <c r="G185" s="114"/>
      <c r="H185" s="140"/>
      <c r="I185" s="138" t="s">
        <v>108</v>
      </c>
      <c r="J185" s="141">
        <v>1530.0</v>
      </c>
      <c r="K185" s="107"/>
      <c r="L185" s="16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</row>
    <row r="186">
      <c r="A186" s="107"/>
      <c r="B186" s="107"/>
      <c r="C186" s="138" t="s">
        <v>109</v>
      </c>
      <c r="D186" s="139"/>
      <c r="E186" s="139"/>
      <c r="F186" s="139"/>
      <c r="G186" s="114"/>
      <c r="H186" s="140"/>
      <c r="I186" s="138" t="s">
        <v>110</v>
      </c>
      <c r="J186" s="141">
        <v>120.0</v>
      </c>
      <c r="K186" s="107"/>
      <c r="L186" s="16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</row>
    <row r="187">
      <c r="A187" s="107"/>
      <c r="B187" s="107"/>
      <c r="C187" s="138" t="s">
        <v>111</v>
      </c>
      <c r="D187" s="139"/>
      <c r="E187" s="139"/>
      <c r="F187" s="139"/>
      <c r="G187" s="114"/>
      <c r="H187" s="140"/>
      <c r="I187" s="138" t="s">
        <v>112</v>
      </c>
      <c r="J187" s="141">
        <v>150.0</v>
      </c>
      <c r="K187" s="107"/>
      <c r="L187" s="16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</row>
    <row r="188">
      <c r="A188" s="107"/>
      <c r="B188" s="107"/>
      <c r="C188" s="138" t="s">
        <v>113</v>
      </c>
      <c r="D188" s="139"/>
      <c r="E188" s="139"/>
      <c r="F188" s="139"/>
      <c r="G188" s="114"/>
      <c r="H188" s="140"/>
      <c r="I188" s="138" t="s">
        <v>114</v>
      </c>
      <c r="J188" s="141">
        <v>50.0</v>
      </c>
      <c r="K188" s="107"/>
      <c r="L188" s="16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</row>
    <row r="189">
      <c r="A189" s="107"/>
      <c r="B189" s="107"/>
      <c r="C189" s="138" t="s">
        <v>115</v>
      </c>
      <c r="D189" s="139"/>
      <c r="E189" s="139"/>
      <c r="F189" s="139"/>
      <c r="G189" s="114"/>
      <c r="H189" s="114"/>
      <c r="I189" s="109"/>
      <c r="J189" s="109"/>
      <c r="K189" s="107"/>
      <c r="L189" s="16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</row>
    <row r="190">
      <c r="A190" s="107"/>
      <c r="B190" s="107"/>
      <c r="C190" s="138" t="s">
        <v>116</v>
      </c>
      <c r="D190" s="150"/>
      <c r="E190" s="139"/>
      <c r="F190" s="139"/>
      <c r="G190" s="114"/>
      <c r="H190" s="114"/>
      <c r="I190" s="109"/>
      <c r="J190" s="109"/>
      <c r="K190" s="107"/>
      <c r="L190" s="16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</row>
    <row r="191">
      <c r="A191" s="107"/>
      <c r="B191" s="107"/>
      <c r="C191" s="138" t="s">
        <v>117</v>
      </c>
      <c r="D191" s="150"/>
      <c r="E191" s="139"/>
      <c r="F191" s="150"/>
      <c r="G191" s="114"/>
      <c r="H191" s="114"/>
      <c r="I191" s="109"/>
      <c r="J191" s="109"/>
      <c r="K191" s="107"/>
      <c r="L191" s="16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</row>
    <row r="192">
      <c r="A192" s="107"/>
      <c r="B192" s="107"/>
      <c r="C192" s="151" t="s">
        <v>118</v>
      </c>
      <c r="D192" s="152" t="str">
        <f t="shared" ref="D192:F192" si="24">AVERAGE(D185:D191)</f>
        <v>#DIV/0!</v>
      </c>
      <c r="E192" s="152" t="str">
        <f t="shared" si="24"/>
        <v>#DIV/0!</v>
      </c>
      <c r="F192" s="152" t="str">
        <f t="shared" si="24"/>
        <v>#DIV/0!</v>
      </c>
      <c r="G192" s="114"/>
      <c r="H192" s="114"/>
      <c r="I192" s="109"/>
      <c r="J192" s="109"/>
      <c r="K192" s="107"/>
      <c r="L192" s="16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</row>
    <row r="193">
      <c r="A193" s="107"/>
      <c r="B193" s="107"/>
      <c r="C193" s="115"/>
      <c r="D193" s="115"/>
      <c r="E193" s="115"/>
      <c r="F193" s="115"/>
      <c r="G193" s="114"/>
      <c r="H193" s="114"/>
      <c r="I193" s="109"/>
      <c r="J193" s="109"/>
      <c r="K193" s="107"/>
      <c r="L193" s="16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</row>
    <row r="194">
      <c r="A194" s="107"/>
      <c r="B194" s="107"/>
      <c r="C194" s="154" t="s">
        <v>119</v>
      </c>
      <c r="D194" s="69"/>
      <c r="E194" s="69"/>
      <c r="F194" s="69"/>
      <c r="G194" s="23"/>
      <c r="H194" s="155"/>
      <c r="I194" s="156"/>
      <c r="J194" s="156"/>
      <c r="K194" s="107"/>
      <c r="L194" s="16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</row>
    <row r="195">
      <c r="A195" s="107"/>
      <c r="B195" s="107"/>
      <c r="C195" s="164" t="s">
        <v>96</v>
      </c>
      <c r="D195" s="157" t="s">
        <v>120</v>
      </c>
      <c r="E195" s="138" t="s">
        <v>98</v>
      </c>
      <c r="F195" s="164" t="s">
        <v>99</v>
      </c>
      <c r="G195" s="164" t="s">
        <v>100</v>
      </c>
      <c r="H195" s="155"/>
      <c r="I195" s="156"/>
      <c r="J195" s="156"/>
      <c r="K195" s="107"/>
      <c r="L195" s="16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</row>
    <row r="196">
      <c r="A196" s="107"/>
      <c r="B196" s="107"/>
      <c r="C196" s="158"/>
      <c r="D196" s="158"/>
      <c r="E196" s="158"/>
      <c r="F196" s="158"/>
      <c r="G196" s="158"/>
      <c r="H196" s="155"/>
      <c r="I196" s="156"/>
      <c r="J196" s="156"/>
      <c r="K196" s="107"/>
      <c r="L196" s="16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</row>
    <row r="197">
      <c r="A197" s="107"/>
      <c r="B197" s="107"/>
      <c r="C197" s="107"/>
      <c r="D197" s="107"/>
      <c r="E197" s="107"/>
      <c r="F197" s="107"/>
      <c r="G197" s="107"/>
      <c r="H197" s="155"/>
      <c r="I197" s="156"/>
      <c r="J197" s="156"/>
      <c r="K197" s="107"/>
      <c r="L197" s="16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</row>
    <row r="198">
      <c r="A198" s="107"/>
      <c r="B198" s="107"/>
      <c r="C198" s="107"/>
      <c r="D198" s="107"/>
      <c r="E198" s="107"/>
      <c r="F198" s="107"/>
      <c r="G198" s="107"/>
      <c r="H198" s="155"/>
      <c r="I198" s="156"/>
      <c r="J198" s="156"/>
      <c r="K198" s="107"/>
      <c r="L198" s="16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</row>
    <row r="199" ht="25.5" customHeight="1">
      <c r="A199" s="107"/>
      <c r="B199" s="107"/>
      <c r="C199" s="115"/>
      <c r="D199" s="162" t="s">
        <v>132</v>
      </c>
      <c r="E199" s="23"/>
      <c r="F199" s="115"/>
      <c r="G199" s="114"/>
      <c r="H199" s="114"/>
      <c r="I199" s="109"/>
      <c r="J199" s="109"/>
      <c r="K199" s="107"/>
      <c r="L199" s="16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</row>
    <row r="200">
      <c r="A200" s="107"/>
      <c r="B200" s="107"/>
      <c r="C200" s="131" t="s">
        <v>101</v>
      </c>
      <c r="D200" s="132" t="s">
        <v>102</v>
      </c>
      <c r="E200" s="132" t="s">
        <v>103</v>
      </c>
      <c r="F200" s="132" t="s">
        <v>104</v>
      </c>
      <c r="G200" s="114"/>
      <c r="H200" s="133"/>
      <c r="I200" s="134" t="s">
        <v>105</v>
      </c>
      <c r="J200" s="23"/>
      <c r="K200" s="107"/>
      <c r="L200" s="16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</row>
    <row r="201">
      <c r="A201" s="107"/>
      <c r="B201" s="107"/>
      <c r="C201" s="138" t="s">
        <v>107</v>
      </c>
      <c r="D201" s="139"/>
      <c r="E201" s="139"/>
      <c r="F201" s="139"/>
      <c r="G201" s="114"/>
      <c r="H201" s="140"/>
      <c r="I201" s="138" t="s">
        <v>108</v>
      </c>
      <c r="J201" s="141">
        <v>1530.0</v>
      </c>
      <c r="K201" s="107"/>
      <c r="L201" s="16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</row>
    <row r="202">
      <c r="A202" s="107"/>
      <c r="B202" s="107"/>
      <c r="C202" s="138" t="s">
        <v>109</v>
      </c>
      <c r="D202" s="139"/>
      <c r="E202" s="139"/>
      <c r="F202" s="139"/>
      <c r="G202" s="114"/>
      <c r="H202" s="140"/>
      <c r="I202" s="138" t="s">
        <v>110</v>
      </c>
      <c r="J202" s="141">
        <v>120.0</v>
      </c>
      <c r="K202" s="107"/>
      <c r="L202" s="16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</row>
    <row r="203">
      <c r="A203" s="107"/>
      <c r="B203" s="107"/>
      <c r="C203" s="138" t="s">
        <v>111</v>
      </c>
      <c r="D203" s="139"/>
      <c r="E203" s="139"/>
      <c r="F203" s="139"/>
      <c r="G203" s="114"/>
      <c r="H203" s="140"/>
      <c r="I203" s="138" t="s">
        <v>112</v>
      </c>
      <c r="J203" s="141">
        <v>150.0</v>
      </c>
      <c r="K203" s="107"/>
      <c r="L203" s="16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</row>
    <row r="204">
      <c r="A204" s="107"/>
      <c r="B204" s="107"/>
      <c r="C204" s="138" t="s">
        <v>113</v>
      </c>
      <c r="D204" s="139"/>
      <c r="E204" s="139"/>
      <c r="F204" s="139"/>
      <c r="G204" s="114"/>
      <c r="H204" s="140"/>
      <c r="I204" s="138" t="s">
        <v>114</v>
      </c>
      <c r="J204" s="141">
        <v>50.0</v>
      </c>
      <c r="K204" s="107"/>
      <c r="L204" s="16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</row>
    <row r="205">
      <c r="A205" s="107"/>
      <c r="B205" s="107"/>
      <c r="C205" s="138" t="s">
        <v>115</v>
      </c>
      <c r="D205" s="139"/>
      <c r="E205" s="139"/>
      <c r="F205" s="139"/>
      <c r="G205" s="114"/>
      <c r="H205" s="114"/>
      <c r="I205" s="109"/>
      <c r="J205" s="109"/>
      <c r="K205" s="107"/>
      <c r="L205" s="16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</row>
    <row r="206">
      <c r="A206" s="107"/>
      <c r="B206" s="107"/>
      <c r="C206" s="138" t="s">
        <v>116</v>
      </c>
      <c r="D206" s="150"/>
      <c r="E206" s="139"/>
      <c r="F206" s="139"/>
      <c r="G206" s="114"/>
      <c r="H206" s="114"/>
      <c r="I206" s="109"/>
      <c r="J206" s="109"/>
      <c r="K206" s="107"/>
      <c r="L206" s="16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</row>
    <row r="207">
      <c r="A207" s="107"/>
      <c r="B207" s="107"/>
      <c r="C207" s="138" t="s">
        <v>117</v>
      </c>
      <c r="D207" s="150"/>
      <c r="E207" s="139"/>
      <c r="F207" s="150"/>
      <c r="G207" s="114"/>
      <c r="H207" s="114"/>
      <c r="I207" s="109"/>
      <c r="J207" s="109"/>
      <c r="K207" s="107"/>
      <c r="L207" s="16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</row>
    <row r="208">
      <c r="A208" s="107"/>
      <c r="B208" s="107"/>
      <c r="C208" s="151" t="s">
        <v>118</v>
      </c>
      <c r="D208" s="152" t="str">
        <f t="shared" ref="D208:F208" si="25">AVERAGE(D201:D207)</f>
        <v>#DIV/0!</v>
      </c>
      <c r="E208" s="152" t="str">
        <f t="shared" si="25"/>
        <v>#DIV/0!</v>
      </c>
      <c r="F208" s="152" t="str">
        <f t="shared" si="25"/>
        <v>#DIV/0!</v>
      </c>
      <c r="G208" s="114"/>
      <c r="H208" s="114"/>
      <c r="I208" s="109"/>
      <c r="J208" s="109"/>
      <c r="K208" s="107"/>
      <c r="L208" s="16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</row>
    <row r="209">
      <c r="A209" s="107"/>
      <c r="B209" s="107"/>
      <c r="C209" s="115"/>
      <c r="D209" s="115"/>
      <c r="E209" s="115"/>
      <c r="F209" s="115"/>
      <c r="G209" s="114"/>
      <c r="H209" s="114"/>
      <c r="I209" s="109"/>
      <c r="J209" s="109"/>
      <c r="K209" s="107"/>
      <c r="L209" s="16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</row>
    <row r="210">
      <c r="A210" s="107"/>
      <c r="B210" s="107"/>
      <c r="C210" s="154" t="s">
        <v>119</v>
      </c>
      <c r="D210" s="69"/>
      <c r="E210" s="69"/>
      <c r="F210" s="69"/>
      <c r="G210" s="23"/>
      <c r="H210" s="155"/>
      <c r="I210" s="156"/>
      <c r="J210" s="156"/>
      <c r="K210" s="107"/>
      <c r="L210" s="16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</row>
    <row r="211">
      <c r="A211" s="107"/>
      <c r="B211" s="107"/>
      <c r="C211" s="164" t="s">
        <v>96</v>
      </c>
      <c r="D211" s="157" t="s">
        <v>120</v>
      </c>
      <c r="E211" s="138" t="s">
        <v>98</v>
      </c>
      <c r="F211" s="164" t="s">
        <v>99</v>
      </c>
      <c r="G211" s="164" t="s">
        <v>100</v>
      </c>
      <c r="H211" s="155"/>
      <c r="I211" s="156"/>
      <c r="J211" s="156"/>
      <c r="K211" s="107"/>
      <c r="L211" s="16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</row>
    <row r="212">
      <c r="A212" s="107"/>
      <c r="B212" s="107"/>
      <c r="C212" s="158"/>
      <c r="D212" s="158"/>
      <c r="E212" s="158"/>
      <c r="F212" s="158"/>
      <c r="G212" s="158"/>
      <c r="H212" s="155"/>
      <c r="I212" s="156"/>
      <c r="J212" s="156"/>
      <c r="K212" s="107"/>
      <c r="L212" s="16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56"/>
      <c r="J213" s="156"/>
      <c r="K213" s="107"/>
      <c r="L213" s="16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56"/>
      <c r="J214" s="156"/>
      <c r="K214" s="107"/>
      <c r="L214" s="16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56"/>
      <c r="J215" s="156"/>
      <c r="K215" s="107"/>
      <c r="L215" s="16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56"/>
      <c r="J216" s="156"/>
      <c r="K216" s="107"/>
      <c r="L216" s="16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56"/>
      <c r="J217" s="156"/>
      <c r="K217" s="107"/>
      <c r="L217" s="16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56"/>
      <c r="J218" s="156"/>
      <c r="K218" s="107"/>
      <c r="L218" s="16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56"/>
      <c r="J219" s="156"/>
      <c r="K219" s="107"/>
      <c r="L219" s="16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56"/>
      <c r="J220" s="156"/>
      <c r="K220" s="107"/>
      <c r="L220" s="16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56"/>
      <c r="J221" s="156"/>
      <c r="K221" s="107"/>
      <c r="L221" s="16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56"/>
      <c r="J222" s="156"/>
      <c r="K222" s="107"/>
      <c r="L222" s="16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56"/>
      <c r="J223" s="156"/>
      <c r="K223" s="107"/>
      <c r="L223" s="16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56"/>
      <c r="J224" s="156"/>
      <c r="K224" s="107"/>
      <c r="L224" s="16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56"/>
      <c r="J225" s="156"/>
      <c r="K225" s="107"/>
      <c r="L225" s="16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56"/>
      <c r="J226" s="156"/>
      <c r="K226" s="107"/>
      <c r="L226" s="16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56"/>
      <c r="J227" s="156"/>
      <c r="K227" s="107"/>
      <c r="L227" s="16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56"/>
      <c r="J228" s="156"/>
      <c r="K228" s="107"/>
      <c r="L228" s="16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56"/>
      <c r="J229" s="156"/>
      <c r="K229" s="107"/>
      <c r="L229" s="16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56"/>
      <c r="J230" s="156"/>
      <c r="K230" s="107"/>
      <c r="L230" s="16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56"/>
      <c r="J231" s="156"/>
      <c r="K231" s="107"/>
      <c r="L231" s="16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56"/>
      <c r="J232" s="156"/>
      <c r="K232" s="107"/>
      <c r="L232" s="16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56"/>
      <c r="J233" s="156"/>
      <c r="K233" s="107"/>
      <c r="L233" s="16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56"/>
      <c r="J234" s="156"/>
      <c r="K234" s="107"/>
      <c r="L234" s="16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56"/>
      <c r="J235" s="156"/>
      <c r="K235" s="107"/>
      <c r="L235" s="16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56"/>
      <c r="J236" s="156"/>
      <c r="K236" s="107"/>
      <c r="L236" s="16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56"/>
      <c r="J237" s="156"/>
      <c r="K237" s="107"/>
      <c r="L237" s="16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56"/>
      <c r="J238" s="156"/>
      <c r="K238" s="107"/>
      <c r="L238" s="16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56"/>
      <c r="J239" s="156"/>
      <c r="K239" s="107"/>
      <c r="L239" s="16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56"/>
      <c r="J240" s="156"/>
      <c r="K240" s="107"/>
      <c r="L240" s="16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56"/>
      <c r="J241" s="156"/>
      <c r="K241" s="107"/>
      <c r="L241" s="16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56"/>
      <c r="J242" s="156"/>
      <c r="K242" s="107"/>
      <c r="L242" s="16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56"/>
      <c r="J243" s="156"/>
      <c r="K243" s="107"/>
      <c r="L243" s="16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56"/>
      <c r="J244" s="156"/>
      <c r="K244" s="107"/>
      <c r="L244" s="16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56"/>
      <c r="J245" s="156"/>
      <c r="K245" s="107"/>
      <c r="L245" s="16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56"/>
      <c r="J246" s="156"/>
      <c r="K246" s="107"/>
      <c r="L246" s="16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56"/>
      <c r="J247" s="156"/>
      <c r="K247" s="107"/>
      <c r="L247" s="16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56"/>
      <c r="J248" s="156"/>
      <c r="K248" s="107"/>
      <c r="L248" s="16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56"/>
      <c r="J249" s="156"/>
      <c r="K249" s="107"/>
      <c r="L249" s="16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56"/>
      <c r="J250" s="156"/>
      <c r="K250" s="107"/>
      <c r="L250" s="16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56"/>
      <c r="J251" s="156"/>
      <c r="K251" s="107"/>
      <c r="L251" s="16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56"/>
      <c r="J252" s="156"/>
      <c r="K252" s="107"/>
      <c r="L252" s="16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56"/>
      <c r="J253" s="156"/>
      <c r="K253" s="107"/>
      <c r="L253" s="16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56"/>
      <c r="J254" s="156"/>
      <c r="K254" s="107"/>
      <c r="L254" s="16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56"/>
      <c r="J255" s="156"/>
      <c r="K255" s="107"/>
      <c r="L255" s="16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56"/>
      <c r="J256" s="156"/>
      <c r="K256" s="107"/>
      <c r="L256" s="16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56"/>
      <c r="J257" s="156"/>
      <c r="K257" s="107"/>
      <c r="L257" s="16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56"/>
      <c r="J258" s="156"/>
      <c r="K258" s="107"/>
      <c r="L258" s="16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56"/>
      <c r="J259" s="156"/>
      <c r="K259" s="107"/>
      <c r="L259" s="16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56"/>
      <c r="J260" s="156"/>
      <c r="K260" s="107"/>
      <c r="L260" s="16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56"/>
      <c r="J261" s="156"/>
      <c r="K261" s="107"/>
      <c r="L261" s="16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56"/>
      <c r="J262" s="156"/>
      <c r="K262" s="107"/>
      <c r="L262" s="16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56"/>
      <c r="J263" s="156"/>
      <c r="K263" s="107"/>
      <c r="L263" s="16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56"/>
      <c r="J264" s="156"/>
      <c r="K264" s="107"/>
      <c r="L264" s="16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56"/>
      <c r="J265" s="156"/>
      <c r="K265" s="107"/>
      <c r="L265" s="16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56"/>
      <c r="J266" s="156"/>
      <c r="K266" s="107"/>
      <c r="L266" s="16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07"/>
      <c r="AE266" s="107"/>
      <c r="AF266" s="107"/>
      <c r="AG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56"/>
      <c r="J267" s="156"/>
      <c r="K267" s="107"/>
      <c r="L267" s="16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  <c r="AD267" s="107"/>
      <c r="AE267" s="107"/>
      <c r="AF267" s="107"/>
      <c r="AG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56"/>
      <c r="J268" s="156"/>
      <c r="K268" s="107"/>
      <c r="L268" s="16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07"/>
      <c r="AE268" s="107"/>
      <c r="AF268" s="107"/>
      <c r="AG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56"/>
      <c r="J269" s="156"/>
      <c r="K269" s="107"/>
      <c r="L269" s="16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07"/>
      <c r="AE269" s="107"/>
      <c r="AF269" s="107"/>
      <c r="AG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56"/>
      <c r="J270" s="156"/>
      <c r="K270" s="107"/>
      <c r="L270" s="16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  <c r="AD270" s="107"/>
      <c r="AE270" s="107"/>
      <c r="AF270" s="107"/>
      <c r="AG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56"/>
      <c r="J271" s="156"/>
      <c r="K271" s="107"/>
      <c r="L271" s="16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07"/>
      <c r="AE271" s="107"/>
      <c r="AF271" s="107"/>
      <c r="AG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56"/>
      <c r="J272" s="156"/>
      <c r="K272" s="107"/>
      <c r="L272" s="16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07"/>
      <c r="AE272" s="107"/>
      <c r="AF272" s="107"/>
      <c r="AG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56"/>
      <c r="J273" s="156"/>
      <c r="K273" s="107"/>
      <c r="L273" s="16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7"/>
      <c r="AE273" s="107"/>
      <c r="AF273" s="107"/>
      <c r="AG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56"/>
      <c r="J274" s="156"/>
      <c r="K274" s="107"/>
      <c r="L274" s="16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7"/>
      <c r="AF274" s="107"/>
      <c r="AG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56"/>
      <c r="J275" s="156"/>
      <c r="K275" s="107"/>
      <c r="L275" s="16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07"/>
      <c r="AE275" s="107"/>
      <c r="AF275" s="107"/>
      <c r="AG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56"/>
      <c r="J276" s="156"/>
      <c r="K276" s="107"/>
      <c r="L276" s="16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  <c r="AD276" s="107"/>
      <c r="AE276" s="107"/>
      <c r="AF276" s="107"/>
      <c r="AG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56"/>
      <c r="J277" s="156"/>
      <c r="K277" s="107"/>
      <c r="L277" s="16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07"/>
      <c r="AE277" s="107"/>
      <c r="AF277" s="107"/>
      <c r="AG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56"/>
      <c r="J278" s="156"/>
      <c r="K278" s="107"/>
      <c r="L278" s="16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  <c r="AD278" s="107"/>
      <c r="AE278" s="107"/>
      <c r="AF278" s="107"/>
      <c r="AG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56"/>
      <c r="J279" s="156"/>
      <c r="K279" s="107"/>
      <c r="L279" s="16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  <c r="AD279" s="107"/>
      <c r="AE279" s="107"/>
      <c r="AF279" s="107"/>
      <c r="AG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56"/>
      <c r="J280" s="156"/>
      <c r="K280" s="107"/>
      <c r="L280" s="16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  <c r="AD280" s="107"/>
      <c r="AE280" s="107"/>
      <c r="AF280" s="107"/>
      <c r="AG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56"/>
      <c r="J281" s="156"/>
      <c r="K281" s="107"/>
      <c r="L281" s="16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  <c r="AD281" s="107"/>
      <c r="AE281" s="107"/>
      <c r="AF281" s="107"/>
      <c r="AG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56"/>
      <c r="J282" s="156"/>
      <c r="K282" s="107"/>
      <c r="L282" s="16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07"/>
      <c r="AE282" s="107"/>
      <c r="AF282" s="107"/>
      <c r="AG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56"/>
      <c r="J283" s="156"/>
      <c r="K283" s="107"/>
      <c r="L283" s="16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56"/>
      <c r="J284" s="156"/>
      <c r="K284" s="107"/>
      <c r="L284" s="16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  <c r="AD284" s="107"/>
      <c r="AE284" s="107"/>
      <c r="AF284" s="107"/>
      <c r="AG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56"/>
      <c r="J285" s="156"/>
      <c r="K285" s="107"/>
      <c r="L285" s="16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07"/>
      <c r="AE285" s="107"/>
      <c r="AF285" s="107"/>
      <c r="AG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56"/>
      <c r="J286" s="156"/>
      <c r="K286" s="107"/>
      <c r="L286" s="16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  <c r="AD286" s="107"/>
      <c r="AE286" s="107"/>
      <c r="AF286" s="107"/>
      <c r="AG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56"/>
      <c r="J287" s="156"/>
      <c r="K287" s="107"/>
      <c r="L287" s="16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07"/>
      <c r="AE287" s="107"/>
      <c r="AF287" s="107"/>
      <c r="AG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56"/>
      <c r="J288" s="156"/>
      <c r="K288" s="107"/>
      <c r="L288" s="16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07"/>
      <c r="AE288" s="107"/>
      <c r="AF288" s="107"/>
      <c r="AG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56"/>
      <c r="J289" s="156"/>
      <c r="K289" s="107"/>
      <c r="L289" s="16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7"/>
      <c r="AF289" s="107"/>
      <c r="AG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56"/>
      <c r="J290" s="156"/>
      <c r="K290" s="107"/>
      <c r="L290" s="16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7"/>
      <c r="AF290" s="107"/>
      <c r="AG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56"/>
      <c r="J291" s="156"/>
      <c r="K291" s="107"/>
      <c r="L291" s="16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7"/>
      <c r="AF291" s="107"/>
      <c r="AG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56"/>
      <c r="J292" s="156"/>
      <c r="K292" s="107"/>
      <c r="L292" s="16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  <c r="AD292" s="107"/>
      <c r="AE292" s="107"/>
      <c r="AF292" s="107"/>
      <c r="AG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56"/>
      <c r="J293" s="156"/>
      <c r="K293" s="107"/>
      <c r="L293" s="16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07"/>
      <c r="AE293" s="107"/>
      <c r="AF293" s="107"/>
      <c r="AG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56"/>
      <c r="J294" s="156"/>
      <c r="K294" s="107"/>
      <c r="L294" s="16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07"/>
      <c r="AE294" s="107"/>
      <c r="AF294" s="107"/>
      <c r="AG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56"/>
      <c r="J295" s="156"/>
      <c r="K295" s="107"/>
      <c r="L295" s="16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07"/>
      <c r="AE295" s="107"/>
      <c r="AF295" s="107"/>
      <c r="AG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56"/>
      <c r="J296" s="156"/>
      <c r="K296" s="107"/>
      <c r="L296" s="16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07"/>
      <c r="AE296" s="107"/>
      <c r="AF296" s="107"/>
      <c r="AG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56"/>
      <c r="J297" s="156"/>
      <c r="K297" s="107"/>
      <c r="L297" s="16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07"/>
      <c r="AE297" s="107"/>
      <c r="AF297" s="107"/>
      <c r="AG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56"/>
      <c r="J298" s="156"/>
      <c r="K298" s="107"/>
      <c r="L298" s="16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  <c r="AD298" s="107"/>
      <c r="AE298" s="107"/>
      <c r="AF298" s="107"/>
      <c r="AG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56"/>
      <c r="J299" s="156"/>
      <c r="K299" s="107"/>
      <c r="L299" s="16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  <c r="AD299" s="107"/>
      <c r="AE299" s="107"/>
      <c r="AF299" s="107"/>
      <c r="AG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56"/>
      <c r="J300" s="156"/>
      <c r="K300" s="107"/>
      <c r="L300" s="16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  <c r="AD300" s="107"/>
      <c r="AE300" s="107"/>
      <c r="AF300" s="107"/>
      <c r="AG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56"/>
      <c r="J301" s="156"/>
      <c r="K301" s="107"/>
      <c r="L301" s="16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7"/>
      <c r="AF301" s="107"/>
      <c r="AG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56"/>
      <c r="J302" s="156"/>
      <c r="K302" s="107"/>
      <c r="L302" s="16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07"/>
      <c r="AE302" s="107"/>
      <c r="AF302" s="107"/>
      <c r="AG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56"/>
      <c r="J303" s="156"/>
      <c r="K303" s="107"/>
      <c r="L303" s="16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07"/>
      <c r="AE303" s="107"/>
      <c r="AF303" s="107"/>
      <c r="AG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56"/>
      <c r="J304" s="156"/>
      <c r="K304" s="107"/>
      <c r="L304" s="16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  <c r="AD304" s="107"/>
      <c r="AE304" s="107"/>
      <c r="AF304" s="107"/>
      <c r="AG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56"/>
      <c r="J305" s="156"/>
      <c r="K305" s="107"/>
      <c r="L305" s="16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  <c r="AD305" s="107"/>
      <c r="AE305" s="107"/>
      <c r="AF305" s="107"/>
      <c r="AG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56"/>
      <c r="J306" s="156"/>
      <c r="K306" s="107"/>
      <c r="L306" s="16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7"/>
      <c r="AF306" s="107"/>
      <c r="AG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56"/>
      <c r="J307" s="156"/>
      <c r="K307" s="107"/>
      <c r="L307" s="16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07"/>
      <c r="AE307" s="107"/>
      <c r="AF307" s="107"/>
      <c r="AG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56"/>
      <c r="J308" s="156"/>
      <c r="K308" s="107"/>
      <c r="L308" s="16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  <c r="AD308" s="107"/>
      <c r="AE308" s="107"/>
      <c r="AF308" s="107"/>
      <c r="AG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56"/>
      <c r="J309" s="156"/>
      <c r="K309" s="107"/>
      <c r="L309" s="16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  <c r="AD309" s="107"/>
      <c r="AE309" s="107"/>
      <c r="AF309" s="107"/>
      <c r="AG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56"/>
      <c r="J310" s="156"/>
      <c r="K310" s="107"/>
      <c r="L310" s="16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  <c r="AD310" s="107"/>
      <c r="AE310" s="107"/>
      <c r="AF310" s="107"/>
      <c r="AG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56"/>
      <c r="J311" s="156"/>
      <c r="K311" s="107"/>
      <c r="L311" s="16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  <c r="AE311" s="107"/>
      <c r="AF311" s="107"/>
      <c r="AG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56"/>
      <c r="J312" s="156"/>
      <c r="K312" s="107"/>
      <c r="L312" s="16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07"/>
      <c r="AE312" s="107"/>
      <c r="AF312" s="107"/>
      <c r="AG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56"/>
      <c r="J313" s="156"/>
      <c r="K313" s="107"/>
      <c r="L313" s="16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07"/>
      <c r="AE313" s="107"/>
      <c r="AF313" s="107"/>
      <c r="AG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56"/>
      <c r="J314" s="156"/>
      <c r="K314" s="107"/>
      <c r="L314" s="16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7"/>
      <c r="AF314" s="107"/>
      <c r="AG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56"/>
      <c r="J315" s="156"/>
      <c r="K315" s="107"/>
      <c r="L315" s="16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  <c r="AD315" s="107"/>
      <c r="AE315" s="107"/>
      <c r="AF315" s="107"/>
      <c r="AG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56"/>
      <c r="J316" s="156"/>
      <c r="K316" s="107"/>
      <c r="L316" s="16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07"/>
      <c r="AE316" s="107"/>
      <c r="AF316" s="107"/>
      <c r="AG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56"/>
      <c r="J317" s="156"/>
      <c r="K317" s="107"/>
      <c r="L317" s="16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  <c r="AD317" s="107"/>
      <c r="AE317" s="107"/>
      <c r="AF317" s="107"/>
      <c r="AG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56"/>
      <c r="J318" s="156"/>
      <c r="K318" s="107"/>
      <c r="L318" s="16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  <c r="AD318" s="107"/>
      <c r="AE318" s="107"/>
      <c r="AF318" s="107"/>
      <c r="AG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56"/>
      <c r="J319" s="156"/>
      <c r="K319" s="107"/>
      <c r="L319" s="16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  <c r="AD319" s="107"/>
      <c r="AE319" s="107"/>
      <c r="AF319" s="107"/>
      <c r="AG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56"/>
      <c r="J320" s="156"/>
      <c r="K320" s="107"/>
      <c r="L320" s="16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  <c r="AD320" s="107"/>
      <c r="AE320" s="107"/>
      <c r="AF320" s="107"/>
      <c r="AG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56"/>
      <c r="J321" s="156"/>
      <c r="K321" s="107"/>
      <c r="L321" s="16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07"/>
      <c r="AE321" s="107"/>
      <c r="AF321" s="107"/>
      <c r="AG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56"/>
      <c r="J322" s="156"/>
      <c r="K322" s="107"/>
      <c r="L322" s="16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  <c r="AD322" s="107"/>
      <c r="AE322" s="107"/>
      <c r="AF322" s="107"/>
      <c r="AG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56"/>
      <c r="J323" s="156"/>
      <c r="K323" s="107"/>
      <c r="L323" s="16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56"/>
      <c r="J324" s="156"/>
      <c r="K324" s="107"/>
      <c r="L324" s="16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  <c r="AD324" s="107"/>
      <c r="AE324" s="107"/>
      <c r="AF324" s="107"/>
      <c r="AG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56"/>
      <c r="J325" s="156"/>
      <c r="K325" s="107"/>
      <c r="L325" s="16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  <c r="AD325" s="107"/>
      <c r="AE325" s="107"/>
      <c r="AF325" s="107"/>
      <c r="AG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56"/>
      <c r="J326" s="156"/>
      <c r="K326" s="107"/>
      <c r="L326" s="16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07"/>
      <c r="AE326" s="107"/>
      <c r="AF326" s="107"/>
      <c r="AG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56"/>
      <c r="J327" s="156"/>
      <c r="K327" s="107"/>
      <c r="L327" s="16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07"/>
      <c r="AE327" s="107"/>
      <c r="AF327" s="107"/>
      <c r="AG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56"/>
      <c r="J328" s="156"/>
      <c r="K328" s="107"/>
      <c r="L328" s="16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  <c r="AD328" s="107"/>
      <c r="AE328" s="107"/>
      <c r="AF328" s="107"/>
      <c r="AG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56"/>
      <c r="J329" s="156"/>
      <c r="K329" s="107"/>
      <c r="L329" s="16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  <c r="AD329" s="107"/>
      <c r="AE329" s="107"/>
      <c r="AF329" s="107"/>
      <c r="AG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56"/>
      <c r="J330" s="156"/>
      <c r="K330" s="107"/>
      <c r="L330" s="16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07"/>
      <c r="AE330" s="107"/>
      <c r="AF330" s="107"/>
      <c r="AG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56"/>
      <c r="J331" s="156"/>
      <c r="K331" s="107"/>
      <c r="L331" s="16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07"/>
      <c r="AE331" s="107"/>
      <c r="AF331" s="107"/>
      <c r="AG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56"/>
      <c r="J332" s="156"/>
      <c r="K332" s="107"/>
      <c r="L332" s="16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  <c r="AD332" s="107"/>
      <c r="AE332" s="107"/>
      <c r="AF332" s="107"/>
      <c r="AG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56"/>
      <c r="J333" s="156"/>
      <c r="K333" s="107"/>
      <c r="L333" s="16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56"/>
      <c r="J334" s="156"/>
      <c r="K334" s="107"/>
      <c r="L334" s="16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  <c r="AD334" s="107"/>
      <c r="AE334" s="107"/>
      <c r="AF334" s="107"/>
      <c r="AG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56"/>
      <c r="J335" s="156"/>
      <c r="K335" s="107"/>
      <c r="L335" s="16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07"/>
      <c r="AE335" s="107"/>
      <c r="AF335" s="107"/>
      <c r="AG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56"/>
      <c r="J336" s="156"/>
      <c r="K336" s="107"/>
      <c r="L336" s="16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56"/>
      <c r="J337" s="156"/>
      <c r="K337" s="107"/>
      <c r="L337" s="16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56"/>
      <c r="J338" s="156"/>
      <c r="K338" s="107"/>
      <c r="L338" s="16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56"/>
      <c r="J339" s="156"/>
      <c r="K339" s="107"/>
      <c r="L339" s="16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56"/>
      <c r="J340" s="156"/>
      <c r="K340" s="107"/>
      <c r="L340" s="16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56"/>
      <c r="J341" s="156"/>
      <c r="K341" s="107"/>
      <c r="L341" s="16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07"/>
      <c r="AE341" s="107"/>
      <c r="AF341" s="107"/>
      <c r="AG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56"/>
      <c r="J342" s="156"/>
      <c r="K342" s="107"/>
      <c r="L342" s="16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07"/>
      <c r="AE342" s="107"/>
      <c r="AF342" s="107"/>
      <c r="AG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56"/>
      <c r="J343" s="156"/>
      <c r="K343" s="107"/>
      <c r="L343" s="16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07"/>
      <c r="AE343" s="107"/>
      <c r="AF343" s="107"/>
      <c r="AG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56"/>
      <c r="J344" s="156"/>
      <c r="K344" s="107"/>
      <c r="L344" s="16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7"/>
      <c r="AF344" s="107"/>
      <c r="AG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56"/>
      <c r="J345" s="156"/>
      <c r="K345" s="107"/>
      <c r="L345" s="16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07"/>
      <c r="AE345" s="107"/>
      <c r="AF345" s="107"/>
      <c r="AG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56"/>
      <c r="J346" s="156"/>
      <c r="K346" s="107"/>
      <c r="L346" s="16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07"/>
      <c r="AE346" s="107"/>
      <c r="AF346" s="107"/>
      <c r="AG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56"/>
      <c r="J347" s="156"/>
      <c r="K347" s="107"/>
      <c r="L347" s="16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  <c r="AD347" s="107"/>
      <c r="AE347" s="107"/>
      <c r="AF347" s="107"/>
      <c r="AG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56"/>
      <c r="J348" s="156"/>
      <c r="K348" s="107"/>
      <c r="L348" s="16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  <c r="AD348" s="107"/>
      <c r="AE348" s="107"/>
      <c r="AF348" s="107"/>
      <c r="AG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56"/>
      <c r="J349" s="156"/>
      <c r="K349" s="107"/>
      <c r="L349" s="16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07"/>
      <c r="AE349" s="107"/>
      <c r="AF349" s="107"/>
      <c r="AG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56"/>
      <c r="J350" s="156"/>
      <c r="K350" s="107"/>
      <c r="L350" s="16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07"/>
      <c r="AE350" s="107"/>
      <c r="AF350" s="107"/>
      <c r="AG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56"/>
      <c r="J351" s="156"/>
      <c r="K351" s="107"/>
      <c r="L351" s="16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07"/>
      <c r="AE351" s="107"/>
      <c r="AF351" s="107"/>
      <c r="AG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56"/>
      <c r="J352" s="156"/>
      <c r="K352" s="107"/>
      <c r="L352" s="16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  <c r="AD352" s="107"/>
      <c r="AE352" s="107"/>
      <c r="AF352" s="107"/>
      <c r="AG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56"/>
      <c r="J353" s="156"/>
      <c r="K353" s="107"/>
      <c r="L353" s="16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7"/>
      <c r="AF353" s="107"/>
      <c r="AG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56"/>
      <c r="J354" s="156"/>
      <c r="K354" s="107"/>
      <c r="L354" s="16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07"/>
      <c r="AE354" s="107"/>
      <c r="AF354" s="107"/>
      <c r="AG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56"/>
      <c r="J355" s="156"/>
      <c r="K355" s="107"/>
      <c r="L355" s="16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56"/>
      <c r="J356" s="156"/>
      <c r="K356" s="107"/>
      <c r="L356" s="16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  <c r="AD356" s="107"/>
      <c r="AE356" s="107"/>
      <c r="AF356" s="107"/>
      <c r="AG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56"/>
      <c r="J357" s="156"/>
      <c r="K357" s="107"/>
      <c r="L357" s="16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07"/>
      <c r="AE357" s="107"/>
      <c r="AF357" s="107"/>
      <c r="AG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56"/>
      <c r="J358" s="156"/>
      <c r="K358" s="107"/>
      <c r="L358" s="16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56"/>
      <c r="J359" s="156"/>
      <c r="K359" s="107"/>
      <c r="L359" s="16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07"/>
      <c r="AE359" s="107"/>
      <c r="AF359" s="107"/>
      <c r="AG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56"/>
      <c r="J360" s="156"/>
      <c r="K360" s="107"/>
      <c r="L360" s="16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07"/>
      <c r="AE360" s="107"/>
      <c r="AF360" s="107"/>
      <c r="AG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56"/>
      <c r="J361" s="156"/>
      <c r="K361" s="107"/>
      <c r="L361" s="16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07"/>
      <c r="AE361" s="107"/>
      <c r="AF361" s="107"/>
      <c r="AG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56"/>
      <c r="J362" s="156"/>
      <c r="K362" s="107"/>
      <c r="L362" s="16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07"/>
      <c r="AE362" s="107"/>
      <c r="AF362" s="107"/>
      <c r="AG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56"/>
      <c r="J363" s="156"/>
      <c r="K363" s="107"/>
      <c r="L363" s="16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56"/>
      <c r="J364" s="156"/>
      <c r="K364" s="107"/>
      <c r="L364" s="16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  <c r="AD364" s="107"/>
      <c r="AE364" s="107"/>
      <c r="AF364" s="107"/>
      <c r="AG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56"/>
      <c r="J365" s="156"/>
      <c r="K365" s="107"/>
      <c r="L365" s="16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  <c r="AD365" s="107"/>
      <c r="AE365" s="107"/>
      <c r="AF365" s="107"/>
      <c r="AG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56"/>
      <c r="J366" s="156"/>
      <c r="K366" s="107"/>
      <c r="L366" s="16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  <c r="AD366" s="107"/>
      <c r="AE366" s="107"/>
      <c r="AF366" s="107"/>
      <c r="AG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56"/>
      <c r="J367" s="156"/>
      <c r="K367" s="107"/>
      <c r="L367" s="16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07"/>
      <c r="AE367" s="107"/>
      <c r="AF367" s="107"/>
      <c r="AG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56"/>
      <c r="J368" s="156"/>
      <c r="K368" s="107"/>
      <c r="L368" s="16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07"/>
      <c r="AE368" s="107"/>
      <c r="AF368" s="107"/>
      <c r="AG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56"/>
      <c r="J369" s="156"/>
      <c r="K369" s="107"/>
      <c r="L369" s="16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  <c r="AD369" s="107"/>
      <c r="AE369" s="107"/>
      <c r="AF369" s="107"/>
      <c r="AG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56"/>
      <c r="J370" s="156"/>
      <c r="K370" s="107"/>
      <c r="L370" s="16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07"/>
      <c r="AE370" s="107"/>
      <c r="AF370" s="107"/>
      <c r="AG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56"/>
      <c r="J371" s="156"/>
      <c r="K371" s="107"/>
      <c r="L371" s="16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07"/>
      <c r="AE371" s="107"/>
      <c r="AF371" s="107"/>
      <c r="AG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56"/>
      <c r="J372" s="156"/>
      <c r="K372" s="107"/>
      <c r="L372" s="16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56"/>
      <c r="J373" s="156"/>
      <c r="K373" s="107"/>
      <c r="L373" s="16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56"/>
      <c r="J374" s="156"/>
      <c r="K374" s="107"/>
      <c r="L374" s="16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07"/>
      <c r="AE374" s="107"/>
      <c r="AF374" s="107"/>
      <c r="AG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56"/>
      <c r="J375" s="156"/>
      <c r="K375" s="107"/>
      <c r="L375" s="16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  <c r="AD375" s="107"/>
      <c r="AE375" s="107"/>
      <c r="AF375" s="107"/>
      <c r="AG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56"/>
      <c r="J376" s="156"/>
      <c r="K376" s="107"/>
      <c r="L376" s="16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07"/>
      <c r="AE376" s="107"/>
      <c r="AF376" s="107"/>
      <c r="AG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56"/>
      <c r="J377" s="156"/>
      <c r="K377" s="107"/>
      <c r="L377" s="16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  <c r="AD377" s="107"/>
      <c r="AE377" s="107"/>
      <c r="AF377" s="107"/>
      <c r="AG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56"/>
      <c r="J378" s="156"/>
      <c r="K378" s="107"/>
      <c r="L378" s="16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  <c r="AD378" s="107"/>
      <c r="AE378" s="107"/>
      <c r="AF378" s="107"/>
      <c r="AG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56"/>
      <c r="J379" s="156"/>
      <c r="K379" s="107"/>
      <c r="L379" s="16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07"/>
      <c r="AE379" s="107"/>
      <c r="AF379" s="107"/>
      <c r="AG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56"/>
      <c r="J380" s="156"/>
      <c r="K380" s="107"/>
      <c r="L380" s="16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  <c r="AD380" s="107"/>
      <c r="AE380" s="107"/>
      <c r="AF380" s="107"/>
      <c r="AG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56"/>
      <c r="J381" s="156"/>
      <c r="K381" s="107"/>
      <c r="L381" s="16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07"/>
      <c r="AE381" s="107"/>
      <c r="AF381" s="107"/>
      <c r="AG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56"/>
      <c r="J382" s="156"/>
      <c r="K382" s="107"/>
      <c r="L382" s="16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07"/>
      <c r="AE382" s="107"/>
      <c r="AF382" s="107"/>
      <c r="AG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56"/>
      <c r="J383" s="156"/>
      <c r="K383" s="107"/>
      <c r="L383" s="16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07"/>
      <c r="AE383" s="107"/>
      <c r="AF383" s="107"/>
      <c r="AG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56"/>
      <c r="J384" s="156"/>
      <c r="K384" s="107"/>
      <c r="L384" s="16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07"/>
      <c r="AE384" s="107"/>
      <c r="AF384" s="107"/>
      <c r="AG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56"/>
      <c r="J385" s="156"/>
      <c r="K385" s="107"/>
      <c r="L385" s="16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07"/>
      <c r="AE385" s="107"/>
      <c r="AF385" s="107"/>
      <c r="AG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56"/>
      <c r="J386" s="156"/>
      <c r="K386" s="107"/>
      <c r="L386" s="16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  <c r="AD386" s="107"/>
      <c r="AE386" s="107"/>
      <c r="AF386" s="107"/>
      <c r="AG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56"/>
      <c r="J387" s="156"/>
      <c r="K387" s="107"/>
      <c r="L387" s="16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7"/>
      <c r="AF387" s="107"/>
      <c r="AG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56"/>
      <c r="J388" s="156"/>
      <c r="K388" s="107"/>
      <c r="L388" s="16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7"/>
      <c r="AF388" s="107"/>
      <c r="AG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56"/>
      <c r="J389" s="156"/>
      <c r="K389" s="107"/>
      <c r="L389" s="16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7"/>
      <c r="AF389" s="107"/>
      <c r="AG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56"/>
      <c r="J390" s="156"/>
      <c r="K390" s="107"/>
      <c r="L390" s="16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  <c r="AD390" s="107"/>
      <c r="AE390" s="107"/>
      <c r="AF390" s="107"/>
      <c r="AG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56"/>
      <c r="J391" s="156"/>
      <c r="K391" s="107"/>
      <c r="L391" s="16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07"/>
      <c r="AE391" s="107"/>
      <c r="AF391" s="107"/>
      <c r="AG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56"/>
      <c r="J392" s="156"/>
      <c r="K392" s="107"/>
      <c r="L392" s="16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  <c r="AD392" s="107"/>
      <c r="AE392" s="107"/>
      <c r="AF392" s="107"/>
      <c r="AG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56"/>
      <c r="J393" s="156"/>
      <c r="K393" s="107"/>
      <c r="L393" s="16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  <c r="AD393" s="107"/>
      <c r="AE393" s="107"/>
      <c r="AF393" s="107"/>
      <c r="AG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56"/>
      <c r="J394" s="156"/>
      <c r="K394" s="107"/>
      <c r="L394" s="16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07"/>
      <c r="AE394" s="107"/>
      <c r="AF394" s="107"/>
      <c r="AG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56"/>
      <c r="J395" s="156"/>
      <c r="K395" s="107"/>
      <c r="L395" s="16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07"/>
      <c r="AE395" s="107"/>
      <c r="AF395" s="107"/>
      <c r="AG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56"/>
      <c r="J396" s="156"/>
      <c r="K396" s="107"/>
      <c r="L396" s="16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7"/>
      <c r="AF396" s="107"/>
      <c r="AG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56"/>
      <c r="J397" s="156"/>
      <c r="K397" s="107"/>
      <c r="L397" s="16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56"/>
      <c r="J398" s="156"/>
      <c r="K398" s="107"/>
      <c r="L398" s="16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  <c r="AD398" s="107"/>
      <c r="AE398" s="107"/>
      <c r="AF398" s="107"/>
      <c r="AG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56"/>
      <c r="J399" s="156"/>
      <c r="K399" s="107"/>
      <c r="L399" s="16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  <c r="AD399" s="107"/>
      <c r="AE399" s="107"/>
      <c r="AF399" s="107"/>
      <c r="AG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56"/>
      <c r="J400" s="156"/>
      <c r="K400" s="107"/>
      <c r="L400" s="16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07"/>
      <c r="AE400" s="107"/>
      <c r="AF400" s="107"/>
      <c r="AG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56"/>
      <c r="J401" s="156"/>
      <c r="K401" s="107"/>
      <c r="L401" s="16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07"/>
      <c r="AE401" s="107"/>
      <c r="AF401" s="107"/>
      <c r="AG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56"/>
      <c r="J402" s="156"/>
      <c r="K402" s="107"/>
      <c r="L402" s="16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07"/>
      <c r="AE402" s="107"/>
      <c r="AF402" s="107"/>
      <c r="AG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56"/>
      <c r="J403" s="156"/>
      <c r="K403" s="107"/>
      <c r="L403" s="16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56"/>
      <c r="J404" s="156"/>
      <c r="K404" s="107"/>
      <c r="L404" s="16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07"/>
      <c r="AE404" s="107"/>
      <c r="AF404" s="107"/>
      <c r="AG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56"/>
      <c r="J405" s="156"/>
      <c r="K405" s="107"/>
      <c r="L405" s="16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07"/>
      <c r="AE405" s="107"/>
      <c r="AF405" s="107"/>
      <c r="AG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56"/>
      <c r="J406" s="156"/>
      <c r="K406" s="107"/>
      <c r="L406" s="16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  <c r="AD406" s="107"/>
      <c r="AE406" s="107"/>
      <c r="AF406" s="107"/>
      <c r="AG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56"/>
      <c r="J407" s="156"/>
      <c r="K407" s="107"/>
      <c r="L407" s="16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  <c r="AD407" s="107"/>
      <c r="AE407" s="107"/>
      <c r="AF407" s="107"/>
      <c r="AG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56"/>
      <c r="J408" s="156"/>
      <c r="K408" s="107"/>
      <c r="L408" s="16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07"/>
      <c r="AE408" s="107"/>
      <c r="AF408" s="107"/>
      <c r="AG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56"/>
      <c r="J409" s="156"/>
      <c r="K409" s="107"/>
      <c r="L409" s="16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07"/>
      <c r="AE409" s="107"/>
      <c r="AF409" s="107"/>
      <c r="AG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56"/>
      <c r="J410" s="156"/>
      <c r="K410" s="107"/>
      <c r="L410" s="16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  <c r="AD410" s="107"/>
      <c r="AE410" s="107"/>
      <c r="AF410" s="107"/>
      <c r="AG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56"/>
      <c r="J411" s="156"/>
      <c r="K411" s="107"/>
      <c r="L411" s="16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07"/>
      <c r="AE411" s="107"/>
      <c r="AF411" s="107"/>
      <c r="AG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56"/>
      <c r="J412" s="156"/>
      <c r="K412" s="107"/>
      <c r="L412" s="16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07"/>
      <c r="AE412" s="107"/>
      <c r="AF412" s="107"/>
      <c r="AG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56"/>
      <c r="J413" s="156"/>
      <c r="K413" s="107"/>
      <c r="L413" s="16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07"/>
      <c r="AE413" s="107"/>
      <c r="AF413" s="107"/>
      <c r="AG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56"/>
      <c r="J414" s="156"/>
      <c r="K414" s="107"/>
      <c r="L414" s="16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  <c r="AD414" s="107"/>
      <c r="AE414" s="107"/>
      <c r="AF414" s="107"/>
      <c r="AG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56"/>
      <c r="J415" s="156"/>
      <c r="K415" s="107"/>
      <c r="L415" s="16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07"/>
      <c r="AE415" s="107"/>
      <c r="AF415" s="107"/>
      <c r="AG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56"/>
      <c r="J416" s="156"/>
      <c r="K416" s="107"/>
      <c r="L416" s="16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  <c r="AD416" s="107"/>
      <c r="AE416" s="107"/>
      <c r="AF416" s="107"/>
      <c r="AG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56"/>
      <c r="J417" s="156"/>
      <c r="K417" s="107"/>
      <c r="L417" s="16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  <c r="AD417" s="107"/>
      <c r="AE417" s="107"/>
      <c r="AF417" s="107"/>
      <c r="AG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56"/>
      <c r="J418" s="156"/>
      <c r="K418" s="107"/>
      <c r="L418" s="16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  <c r="AD418" s="107"/>
      <c r="AE418" s="107"/>
      <c r="AF418" s="107"/>
      <c r="AG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56"/>
      <c r="J419" s="156"/>
      <c r="K419" s="107"/>
      <c r="L419" s="16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  <c r="AD419" s="107"/>
      <c r="AE419" s="107"/>
      <c r="AF419" s="107"/>
      <c r="AG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56"/>
      <c r="J420" s="156"/>
      <c r="K420" s="107"/>
      <c r="L420" s="16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07"/>
      <c r="AE420" s="107"/>
      <c r="AF420" s="107"/>
      <c r="AG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56"/>
      <c r="J421" s="156"/>
      <c r="K421" s="107"/>
      <c r="L421" s="16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07"/>
      <c r="AE421" s="107"/>
      <c r="AF421" s="107"/>
      <c r="AG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56"/>
      <c r="J422" s="156"/>
      <c r="K422" s="107"/>
      <c r="L422" s="16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07"/>
      <c r="AE422" s="107"/>
      <c r="AF422" s="107"/>
      <c r="AG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56"/>
      <c r="J423" s="156"/>
      <c r="K423" s="107"/>
      <c r="L423" s="16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  <c r="AD423" s="107"/>
      <c r="AE423" s="107"/>
      <c r="AF423" s="107"/>
      <c r="AG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56"/>
      <c r="J424" s="156"/>
      <c r="K424" s="107"/>
      <c r="L424" s="16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07"/>
      <c r="AE424" s="107"/>
      <c r="AF424" s="107"/>
      <c r="AG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56"/>
      <c r="J425" s="156"/>
      <c r="K425" s="107"/>
      <c r="L425" s="16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  <c r="AD425" s="107"/>
      <c r="AE425" s="107"/>
      <c r="AF425" s="107"/>
      <c r="AG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56"/>
      <c r="J426" s="156"/>
      <c r="K426" s="107"/>
      <c r="L426" s="16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07"/>
      <c r="AE426" s="107"/>
      <c r="AF426" s="107"/>
      <c r="AG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56"/>
      <c r="J427" s="156"/>
      <c r="K427" s="107"/>
      <c r="L427" s="16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07"/>
      <c r="AE427" s="107"/>
      <c r="AF427" s="107"/>
      <c r="AG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56"/>
      <c r="J428" s="156"/>
      <c r="K428" s="107"/>
      <c r="L428" s="16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  <c r="AD428" s="107"/>
      <c r="AE428" s="107"/>
      <c r="AF428" s="107"/>
      <c r="AG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56"/>
      <c r="J429" s="156"/>
      <c r="K429" s="107"/>
      <c r="L429" s="16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  <c r="AD429" s="107"/>
      <c r="AE429" s="107"/>
      <c r="AF429" s="107"/>
      <c r="AG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56"/>
      <c r="J430" s="156"/>
      <c r="K430" s="107"/>
      <c r="L430" s="16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07"/>
      <c r="AE430" s="107"/>
      <c r="AF430" s="107"/>
      <c r="AG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56"/>
      <c r="J431" s="156"/>
      <c r="K431" s="107"/>
      <c r="L431" s="16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07"/>
      <c r="AE431" s="107"/>
      <c r="AF431" s="107"/>
      <c r="AG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56"/>
      <c r="J432" s="156"/>
      <c r="K432" s="107"/>
      <c r="L432" s="16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07"/>
      <c r="AF432" s="107"/>
      <c r="AG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56"/>
      <c r="J433" s="156"/>
      <c r="K433" s="107"/>
      <c r="L433" s="16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07"/>
      <c r="AF433" s="107"/>
      <c r="AG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56"/>
      <c r="J434" s="156"/>
      <c r="K434" s="107"/>
      <c r="L434" s="16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07"/>
      <c r="AF434" s="107"/>
      <c r="AG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56"/>
      <c r="J435" s="156"/>
      <c r="K435" s="107"/>
      <c r="L435" s="16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  <c r="AD435" s="107"/>
      <c r="AE435" s="107"/>
      <c r="AF435" s="107"/>
      <c r="AG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56"/>
      <c r="J436" s="156"/>
      <c r="K436" s="107"/>
      <c r="L436" s="16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7"/>
      <c r="AF436" s="107"/>
      <c r="AG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56"/>
      <c r="J437" s="156"/>
      <c r="K437" s="107"/>
      <c r="L437" s="16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7"/>
      <c r="AF437" s="107"/>
      <c r="AG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56"/>
      <c r="J438" s="156"/>
      <c r="K438" s="107"/>
      <c r="L438" s="16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7"/>
      <c r="AF438" s="107"/>
      <c r="AG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56"/>
      <c r="J439" s="156"/>
      <c r="K439" s="107"/>
      <c r="L439" s="16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  <c r="AD439" s="107"/>
      <c r="AE439" s="107"/>
      <c r="AF439" s="107"/>
      <c r="AG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56"/>
      <c r="J440" s="156"/>
      <c r="K440" s="107"/>
      <c r="L440" s="16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  <c r="AD440" s="107"/>
      <c r="AE440" s="107"/>
      <c r="AF440" s="107"/>
      <c r="AG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56"/>
      <c r="J441" s="156"/>
      <c r="K441" s="107"/>
      <c r="L441" s="16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07"/>
      <c r="AE441" s="107"/>
      <c r="AF441" s="107"/>
      <c r="AG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56"/>
      <c r="J442" s="156"/>
      <c r="K442" s="107"/>
      <c r="L442" s="16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07"/>
      <c r="AE442" s="107"/>
      <c r="AF442" s="107"/>
      <c r="AG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56"/>
      <c r="J443" s="156"/>
      <c r="K443" s="107"/>
      <c r="L443" s="16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56"/>
      <c r="J444" s="156"/>
      <c r="K444" s="107"/>
      <c r="L444" s="16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  <c r="AD444" s="107"/>
      <c r="AE444" s="107"/>
      <c r="AF444" s="107"/>
      <c r="AG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56"/>
      <c r="J445" s="156"/>
      <c r="K445" s="107"/>
      <c r="L445" s="16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07"/>
      <c r="AE445" s="107"/>
      <c r="AF445" s="107"/>
      <c r="AG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56"/>
      <c r="J446" s="156"/>
      <c r="K446" s="107"/>
      <c r="L446" s="16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  <c r="AD446" s="107"/>
      <c r="AE446" s="107"/>
      <c r="AF446" s="107"/>
      <c r="AG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56"/>
      <c r="J447" s="156"/>
      <c r="K447" s="107"/>
      <c r="L447" s="16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07"/>
      <c r="AE447" s="107"/>
      <c r="AF447" s="107"/>
      <c r="AG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56"/>
      <c r="J448" s="156"/>
      <c r="K448" s="107"/>
      <c r="L448" s="16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  <c r="AD448" s="107"/>
      <c r="AE448" s="107"/>
      <c r="AF448" s="107"/>
      <c r="AG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56"/>
      <c r="J449" s="156"/>
      <c r="K449" s="107"/>
      <c r="L449" s="16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  <c r="AD449" s="107"/>
      <c r="AE449" s="107"/>
      <c r="AF449" s="107"/>
      <c r="AG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56"/>
      <c r="J450" s="156"/>
      <c r="K450" s="107"/>
      <c r="L450" s="16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07"/>
      <c r="AE450" s="107"/>
      <c r="AF450" s="107"/>
      <c r="AG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56"/>
      <c r="J451" s="156"/>
      <c r="K451" s="107"/>
      <c r="L451" s="16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  <c r="AD451" s="107"/>
      <c r="AE451" s="107"/>
      <c r="AF451" s="107"/>
      <c r="AG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56"/>
      <c r="J452" s="156"/>
      <c r="K452" s="107"/>
      <c r="L452" s="16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07"/>
      <c r="AE452" s="107"/>
      <c r="AF452" s="107"/>
      <c r="AG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56"/>
      <c r="J453" s="156"/>
      <c r="K453" s="107"/>
      <c r="L453" s="16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  <c r="AD453" s="107"/>
      <c r="AE453" s="107"/>
      <c r="AF453" s="107"/>
      <c r="AG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56"/>
      <c r="J454" s="156"/>
      <c r="K454" s="107"/>
      <c r="L454" s="16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07"/>
      <c r="AE454" s="107"/>
      <c r="AF454" s="107"/>
      <c r="AG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56"/>
      <c r="J455" s="156"/>
      <c r="K455" s="107"/>
      <c r="L455" s="16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07"/>
      <c r="AE455" s="107"/>
      <c r="AF455" s="107"/>
      <c r="AG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56"/>
      <c r="J456" s="156"/>
      <c r="K456" s="107"/>
      <c r="L456" s="16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07"/>
      <c r="AE456" s="107"/>
      <c r="AF456" s="107"/>
      <c r="AG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56"/>
      <c r="J457" s="156"/>
      <c r="K457" s="107"/>
      <c r="L457" s="16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  <c r="AD457" s="107"/>
      <c r="AE457" s="107"/>
      <c r="AF457" s="107"/>
      <c r="AG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56"/>
      <c r="J458" s="156"/>
      <c r="K458" s="107"/>
      <c r="L458" s="16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  <c r="AD458" s="107"/>
      <c r="AE458" s="107"/>
      <c r="AF458" s="107"/>
      <c r="AG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56"/>
      <c r="J459" s="156"/>
      <c r="K459" s="107"/>
      <c r="L459" s="16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07"/>
      <c r="AE459" s="107"/>
      <c r="AF459" s="107"/>
      <c r="AG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56"/>
      <c r="J460" s="156"/>
      <c r="K460" s="107"/>
      <c r="L460" s="16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07"/>
      <c r="AE460" s="107"/>
      <c r="AF460" s="107"/>
      <c r="AG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56"/>
      <c r="J461" s="156"/>
      <c r="K461" s="107"/>
      <c r="L461" s="16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  <c r="AD461" s="107"/>
      <c r="AE461" s="107"/>
      <c r="AF461" s="107"/>
      <c r="AG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56"/>
      <c r="J462" s="156"/>
      <c r="K462" s="107"/>
      <c r="L462" s="16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  <c r="AD462" s="107"/>
      <c r="AE462" s="107"/>
      <c r="AF462" s="107"/>
      <c r="AG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56"/>
      <c r="J463" s="156"/>
      <c r="K463" s="107"/>
      <c r="L463" s="16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07"/>
      <c r="AE463" s="107"/>
      <c r="AF463" s="107"/>
      <c r="AG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56"/>
      <c r="J464" s="156"/>
      <c r="K464" s="107"/>
      <c r="L464" s="16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07"/>
      <c r="AE464" s="107"/>
      <c r="AF464" s="107"/>
      <c r="AG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56"/>
      <c r="J465" s="156"/>
      <c r="K465" s="107"/>
      <c r="L465" s="16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  <c r="AD465" s="107"/>
      <c r="AE465" s="107"/>
      <c r="AF465" s="107"/>
      <c r="AG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56"/>
      <c r="J466" s="156"/>
      <c r="K466" s="107"/>
      <c r="L466" s="16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  <c r="AD466" s="107"/>
      <c r="AE466" s="107"/>
      <c r="AF466" s="107"/>
      <c r="AG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56"/>
      <c r="J467" s="156"/>
      <c r="K467" s="107"/>
      <c r="L467" s="16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  <c r="AD467" s="107"/>
      <c r="AE467" s="107"/>
      <c r="AF467" s="107"/>
      <c r="AG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56"/>
      <c r="J468" s="156"/>
      <c r="K468" s="107"/>
      <c r="L468" s="16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07"/>
      <c r="AE468" s="107"/>
      <c r="AF468" s="107"/>
      <c r="AG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56"/>
      <c r="J469" s="156"/>
      <c r="K469" s="107"/>
      <c r="L469" s="16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07"/>
      <c r="AE469" s="107"/>
      <c r="AF469" s="107"/>
      <c r="AG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56"/>
      <c r="J470" s="156"/>
      <c r="K470" s="107"/>
      <c r="L470" s="16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07"/>
      <c r="AE470" s="107"/>
      <c r="AF470" s="107"/>
      <c r="AG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56"/>
      <c r="J471" s="156"/>
      <c r="K471" s="107"/>
      <c r="L471" s="16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  <c r="AD471" s="107"/>
      <c r="AE471" s="107"/>
      <c r="AF471" s="107"/>
      <c r="AG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56"/>
      <c r="J472" s="156"/>
      <c r="K472" s="107"/>
      <c r="L472" s="16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  <c r="AD472" s="107"/>
      <c r="AE472" s="107"/>
      <c r="AF472" s="107"/>
      <c r="AG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56"/>
      <c r="J473" s="156"/>
      <c r="K473" s="107"/>
      <c r="L473" s="16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07"/>
      <c r="AE473" s="107"/>
      <c r="AF473" s="107"/>
      <c r="AG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56"/>
      <c r="J474" s="156"/>
      <c r="K474" s="107"/>
      <c r="L474" s="16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  <c r="AD474" s="107"/>
      <c r="AE474" s="107"/>
      <c r="AF474" s="107"/>
      <c r="AG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56"/>
      <c r="J475" s="156"/>
      <c r="K475" s="107"/>
      <c r="L475" s="16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07"/>
      <c r="AE475" s="107"/>
      <c r="AF475" s="107"/>
      <c r="AG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56"/>
      <c r="J476" s="156"/>
      <c r="K476" s="107"/>
      <c r="L476" s="16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  <c r="AD476" s="107"/>
      <c r="AE476" s="107"/>
      <c r="AF476" s="107"/>
      <c r="AG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56"/>
      <c r="J477" s="156"/>
      <c r="K477" s="107"/>
      <c r="L477" s="16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07"/>
      <c r="AE477" s="107"/>
      <c r="AF477" s="107"/>
      <c r="AG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56"/>
      <c r="J478" s="156"/>
      <c r="K478" s="107"/>
      <c r="L478" s="16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07"/>
      <c r="AF478" s="107"/>
      <c r="AG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56"/>
      <c r="J479" s="156"/>
      <c r="K479" s="107"/>
      <c r="L479" s="16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07"/>
      <c r="AF479" s="107"/>
      <c r="AG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56"/>
      <c r="J480" s="156"/>
      <c r="K480" s="107"/>
      <c r="L480" s="16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07"/>
      <c r="AF480" s="107"/>
      <c r="AG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56"/>
      <c r="J481" s="156"/>
      <c r="K481" s="107"/>
      <c r="L481" s="16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07"/>
      <c r="AF481" s="107"/>
      <c r="AG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56"/>
      <c r="J482" s="156"/>
      <c r="K482" s="107"/>
      <c r="L482" s="16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07"/>
      <c r="AF482" s="107"/>
      <c r="AG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56"/>
      <c r="J483" s="156"/>
      <c r="K483" s="107"/>
      <c r="L483" s="16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56"/>
      <c r="J484" s="156"/>
      <c r="K484" s="107"/>
      <c r="L484" s="16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07"/>
      <c r="AE484" s="107"/>
      <c r="AF484" s="107"/>
      <c r="AG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56"/>
      <c r="J485" s="156"/>
      <c r="K485" s="107"/>
      <c r="L485" s="16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  <c r="AD485" s="107"/>
      <c r="AE485" s="107"/>
      <c r="AF485" s="107"/>
      <c r="AG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56"/>
      <c r="J486" s="156"/>
      <c r="K486" s="107"/>
      <c r="L486" s="16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07"/>
      <c r="AE486" s="107"/>
      <c r="AF486" s="107"/>
      <c r="AG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56"/>
      <c r="J487" s="156"/>
      <c r="K487" s="107"/>
      <c r="L487" s="16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07"/>
      <c r="AE487" s="107"/>
      <c r="AF487" s="107"/>
      <c r="AG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56"/>
      <c r="J488" s="156"/>
      <c r="K488" s="107"/>
      <c r="L488" s="16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  <c r="AD488" s="107"/>
      <c r="AE488" s="107"/>
      <c r="AF488" s="107"/>
      <c r="AG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56"/>
      <c r="J489" s="156"/>
      <c r="K489" s="107"/>
      <c r="L489" s="16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07"/>
      <c r="AE489" s="107"/>
      <c r="AF489" s="107"/>
      <c r="AG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56"/>
      <c r="J490" s="156"/>
      <c r="K490" s="107"/>
      <c r="L490" s="16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  <c r="AD490" s="107"/>
      <c r="AE490" s="107"/>
      <c r="AF490" s="107"/>
      <c r="AG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56"/>
      <c r="J491" s="156"/>
      <c r="K491" s="107"/>
      <c r="L491" s="16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07"/>
      <c r="AE491" s="107"/>
      <c r="AF491" s="107"/>
      <c r="AG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56"/>
      <c r="J492" s="156"/>
      <c r="K492" s="107"/>
      <c r="L492" s="16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  <c r="AD492" s="107"/>
      <c r="AE492" s="107"/>
      <c r="AF492" s="107"/>
      <c r="AG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56"/>
      <c r="J493" s="156"/>
      <c r="K493" s="107"/>
      <c r="L493" s="16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07"/>
      <c r="AE493" s="107"/>
      <c r="AF493" s="107"/>
      <c r="AG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56"/>
      <c r="J494" s="156"/>
      <c r="K494" s="107"/>
      <c r="L494" s="16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56"/>
      <c r="J495" s="156"/>
      <c r="K495" s="107"/>
      <c r="L495" s="16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56"/>
      <c r="J496" s="156"/>
      <c r="K496" s="107"/>
      <c r="L496" s="16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56"/>
      <c r="J497" s="156"/>
      <c r="K497" s="107"/>
      <c r="L497" s="16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56"/>
      <c r="J498" s="156"/>
      <c r="K498" s="107"/>
      <c r="L498" s="16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56"/>
      <c r="J499" s="156"/>
      <c r="K499" s="107"/>
      <c r="L499" s="16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56"/>
      <c r="J500" s="156"/>
      <c r="K500" s="107"/>
      <c r="L500" s="16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56"/>
      <c r="J501" s="156"/>
      <c r="K501" s="107"/>
      <c r="L501" s="16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56"/>
      <c r="J502" s="156"/>
      <c r="K502" s="107"/>
      <c r="L502" s="16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56"/>
      <c r="J503" s="156"/>
      <c r="K503" s="107"/>
      <c r="L503" s="16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56"/>
      <c r="J504" s="156"/>
      <c r="K504" s="107"/>
      <c r="L504" s="16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56"/>
      <c r="J505" s="156"/>
      <c r="K505" s="107"/>
      <c r="L505" s="16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56"/>
      <c r="J506" s="156"/>
      <c r="K506" s="107"/>
      <c r="L506" s="16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56"/>
      <c r="J507" s="156"/>
      <c r="K507" s="107"/>
      <c r="L507" s="16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56"/>
      <c r="J508" s="156"/>
      <c r="K508" s="107"/>
      <c r="L508" s="16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56"/>
      <c r="J509" s="156"/>
      <c r="K509" s="107"/>
      <c r="L509" s="16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56"/>
      <c r="J510" s="156"/>
      <c r="K510" s="107"/>
      <c r="L510" s="16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56"/>
      <c r="J511" s="156"/>
      <c r="K511" s="107"/>
      <c r="L511" s="16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56"/>
      <c r="J512" s="156"/>
      <c r="K512" s="107"/>
      <c r="L512" s="16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56"/>
      <c r="J513" s="156"/>
      <c r="K513" s="107"/>
      <c r="L513" s="16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56"/>
      <c r="J514" s="156"/>
      <c r="K514" s="107"/>
      <c r="L514" s="16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56"/>
      <c r="J515" s="156"/>
      <c r="K515" s="107"/>
      <c r="L515" s="16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56"/>
      <c r="J516" s="156"/>
      <c r="K516" s="107"/>
      <c r="L516" s="16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56"/>
      <c r="J517" s="156"/>
      <c r="K517" s="107"/>
      <c r="L517" s="16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56"/>
      <c r="J518" s="156"/>
      <c r="K518" s="107"/>
      <c r="L518" s="16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56"/>
      <c r="J519" s="156"/>
      <c r="K519" s="107"/>
      <c r="L519" s="16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56"/>
      <c r="J520" s="156"/>
      <c r="K520" s="107"/>
      <c r="L520" s="16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56"/>
      <c r="J521" s="156"/>
      <c r="K521" s="107"/>
      <c r="L521" s="16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56"/>
      <c r="J522" s="156"/>
      <c r="K522" s="107"/>
      <c r="L522" s="16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56"/>
      <c r="J523" s="156"/>
      <c r="K523" s="107"/>
      <c r="L523" s="16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56"/>
      <c r="J524" s="156"/>
      <c r="K524" s="107"/>
      <c r="L524" s="16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56"/>
      <c r="J525" s="156"/>
      <c r="K525" s="107"/>
      <c r="L525" s="16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56"/>
      <c r="J526" s="156"/>
      <c r="K526" s="107"/>
      <c r="L526" s="16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56"/>
      <c r="J527" s="156"/>
      <c r="K527" s="107"/>
      <c r="L527" s="16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56"/>
      <c r="J528" s="156"/>
      <c r="K528" s="107"/>
      <c r="L528" s="16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56"/>
      <c r="J529" s="156"/>
      <c r="K529" s="107"/>
      <c r="L529" s="16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56"/>
      <c r="J530" s="156"/>
      <c r="K530" s="107"/>
      <c r="L530" s="16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56"/>
      <c r="J531" s="156"/>
      <c r="K531" s="107"/>
      <c r="L531" s="16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56"/>
      <c r="J532" s="156"/>
      <c r="K532" s="107"/>
      <c r="L532" s="16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  <c r="AD532" s="107"/>
      <c r="AE532" s="107"/>
      <c r="AF532" s="107"/>
      <c r="AG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56"/>
      <c r="J533" s="156"/>
      <c r="K533" s="107"/>
      <c r="L533" s="16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  <c r="AD533" s="107"/>
      <c r="AE533" s="107"/>
      <c r="AF533" s="107"/>
      <c r="AG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56"/>
      <c r="J534" s="156"/>
      <c r="K534" s="107"/>
      <c r="L534" s="16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  <c r="AD534" s="107"/>
      <c r="AE534" s="107"/>
      <c r="AF534" s="107"/>
      <c r="AG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56"/>
      <c r="J535" s="156"/>
      <c r="K535" s="107"/>
      <c r="L535" s="16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  <c r="AD535" s="107"/>
      <c r="AE535" s="107"/>
      <c r="AF535" s="107"/>
      <c r="AG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56"/>
      <c r="J536" s="156"/>
      <c r="K536" s="107"/>
      <c r="L536" s="16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  <c r="AD536" s="107"/>
      <c r="AE536" s="107"/>
      <c r="AF536" s="107"/>
      <c r="AG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56"/>
      <c r="J537" s="156"/>
      <c r="K537" s="107"/>
      <c r="L537" s="16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  <c r="AD537" s="107"/>
      <c r="AE537" s="107"/>
      <c r="AF537" s="107"/>
      <c r="AG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56"/>
      <c r="J538" s="156"/>
      <c r="K538" s="107"/>
      <c r="L538" s="16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  <c r="AD538" s="107"/>
      <c r="AE538" s="107"/>
      <c r="AF538" s="107"/>
      <c r="AG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56"/>
      <c r="J539" s="156"/>
      <c r="K539" s="107"/>
      <c r="L539" s="16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  <c r="AD539" s="107"/>
      <c r="AE539" s="107"/>
      <c r="AF539" s="107"/>
      <c r="AG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56"/>
      <c r="J540" s="156"/>
      <c r="K540" s="107"/>
      <c r="L540" s="16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  <c r="AD540" s="107"/>
      <c r="AE540" s="107"/>
      <c r="AF540" s="107"/>
      <c r="AG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56"/>
      <c r="J541" s="156"/>
      <c r="K541" s="107"/>
      <c r="L541" s="16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  <c r="AD541" s="107"/>
      <c r="AE541" s="107"/>
      <c r="AF541" s="107"/>
      <c r="AG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56"/>
      <c r="J542" s="156"/>
      <c r="K542" s="107"/>
      <c r="L542" s="16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  <c r="AD542" s="107"/>
      <c r="AE542" s="107"/>
      <c r="AF542" s="107"/>
      <c r="AG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56"/>
      <c r="J543" s="156"/>
      <c r="K543" s="107"/>
      <c r="L543" s="16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  <c r="AD543" s="107"/>
      <c r="AE543" s="107"/>
      <c r="AF543" s="107"/>
      <c r="AG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56"/>
      <c r="J544" s="156"/>
      <c r="K544" s="107"/>
      <c r="L544" s="16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  <c r="AD544" s="107"/>
      <c r="AE544" s="107"/>
      <c r="AF544" s="107"/>
      <c r="AG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56"/>
      <c r="J545" s="156"/>
      <c r="K545" s="107"/>
      <c r="L545" s="16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  <c r="AD545" s="107"/>
      <c r="AE545" s="107"/>
      <c r="AF545" s="107"/>
      <c r="AG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56"/>
      <c r="J546" s="156"/>
      <c r="K546" s="107"/>
      <c r="L546" s="16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  <c r="AD546" s="107"/>
      <c r="AE546" s="107"/>
      <c r="AF546" s="107"/>
      <c r="AG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56"/>
      <c r="J547" s="156"/>
      <c r="K547" s="107"/>
      <c r="L547" s="16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  <c r="AD547" s="107"/>
      <c r="AE547" s="107"/>
      <c r="AF547" s="107"/>
      <c r="AG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56"/>
      <c r="J548" s="156"/>
      <c r="K548" s="107"/>
      <c r="L548" s="16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  <c r="AD548" s="107"/>
      <c r="AE548" s="107"/>
      <c r="AF548" s="107"/>
      <c r="AG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56"/>
      <c r="J549" s="156"/>
      <c r="K549" s="107"/>
      <c r="L549" s="16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  <c r="AD549" s="107"/>
      <c r="AE549" s="107"/>
      <c r="AF549" s="107"/>
      <c r="AG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56"/>
      <c r="J550" s="156"/>
      <c r="K550" s="107"/>
      <c r="L550" s="16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  <c r="AD550" s="107"/>
      <c r="AE550" s="107"/>
      <c r="AF550" s="107"/>
      <c r="AG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56"/>
      <c r="J551" s="156"/>
      <c r="K551" s="107"/>
      <c r="L551" s="16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  <c r="AD551" s="107"/>
      <c r="AE551" s="107"/>
      <c r="AF551" s="107"/>
      <c r="AG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56"/>
      <c r="J552" s="156"/>
      <c r="K552" s="107"/>
      <c r="L552" s="16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  <c r="AD552" s="107"/>
      <c r="AE552" s="107"/>
      <c r="AF552" s="107"/>
      <c r="AG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56"/>
      <c r="J553" s="156"/>
      <c r="K553" s="107"/>
      <c r="L553" s="16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  <c r="AD553" s="107"/>
      <c r="AE553" s="107"/>
      <c r="AF553" s="107"/>
      <c r="AG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56"/>
      <c r="J554" s="156"/>
      <c r="K554" s="107"/>
      <c r="L554" s="16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  <c r="AD554" s="107"/>
      <c r="AE554" s="107"/>
      <c r="AF554" s="107"/>
      <c r="AG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56"/>
      <c r="J555" s="156"/>
      <c r="K555" s="107"/>
      <c r="L555" s="16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  <c r="AD555" s="107"/>
      <c r="AE555" s="107"/>
      <c r="AF555" s="107"/>
      <c r="AG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56"/>
      <c r="J556" s="156"/>
      <c r="K556" s="107"/>
      <c r="L556" s="16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  <c r="AD556" s="107"/>
      <c r="AE556" s="107"/>
      <c r="AF556" s="107"/>
      <c r="AG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56"/>
      <c r="J557" s="156"/>
      <c r="K557" s="107"/>
      <c r="L557" s="16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  <c r="AD557" s="107"/>
      <c r="AE557" s="107"/>
      <c r="AF557" s="107"/>
      <c r="AG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56"/>
      <c r="J558" s="156"/>
      <c r="K558" s="107"/>
      <c r="L558" s="16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7"/>
      <c r="AF558" s="107"/>
      <c r="AG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56"/>
      <c r="J559" s="156"/>
      <c r="K559" s="107"/>
      <c r="L559" s="16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7"/>
      <c r="AF559" s="107"/>
      <c r="AG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56"/>
      <c r="J560" s="156"/>
      <c r="K560" s="107"/>
      <c r="L560" s="16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7"/>
      <c r="AF560" s="107"/>
      <c r="AG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56"/>
      <c r="J561" s="156"/>
      <c r="K561" s="107"/>
      <c r="L561" s="16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  <c r="AD561" s="107"/>
      <c r="AE561" s="107"/>
      <c r="AF561" s="107"/>
      <c r="AG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56"/>
      <c r="J562" s="156"/>
      <c r="K562" s="107"/>
      <c r="L562" s="16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  <c r="AD562" s="107"/>
      <c r="AE562" s="107"/>
      <c r="AF562" s="107"/>
      <c r="AG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56"/>
      <c r="J563" s="156"/>
      <c r="K563" s="107"/>
      <c r="L563" s="16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56"/>
      <c r="J564" s="156"/>
      <c r="K564" s="107"/>
      <c r="L564" s="16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  <c r="AD564" s="107"/>
      <c r="AE564" s="107"/>
      <c r="AF564" s="107"/>
      <c r="AG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56"/>
      <c r="J565" s="156"/>
      <c r="K565" s="107"/>
      <c r="L565" s="16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  <c r="AD565" s="107"/>
      <c r="AE565" s="107"/>
      <c r="AF565" s="107"/>
      <c r="AG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56"/>
      <c r="J566" s="156"/>
      <c r="K566" s="107"/>
      <c r="L566" s="16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  <c r="AD566" s="107"/>
      <c r="AE566" s="107"/>
      <c r="AF566" s="107"/>
      <c r="AG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56"/>
      <c r="J567" s="156"/>
      <c r="K567" s="107"/>
      <c r="L567" s="16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  <c r="AD567" s="107"/>
      <c r="AE567" s="107"/>
      <c r="AF567" s="107"/>
      <c r="AG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56"/>
      <c r="J568" s="156"/>
      <c r="K568" s="107"/>
      <c r="L568" s="16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  <c r="AD568" s="107"/>
      <c r="AE568" s="107"/>
      <c r="AF568" s="107"/>
      <c r="AG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56"/>
      <c r="J569" s="156"/>
      <c r="K569" s="107"/>
      <c r="L569" s="16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  <c r="AD569" s="107"/>
      <c r="AE569" s="107"/>
      <c r="AF569" s="107"/>
      <c r="AG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56"/>
      <c r="J570" s="156"/>
      <c r="K570" s="107"/>
      <c r="L570" s="16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  <c r="AD570" s="107"/>
      <c r="AE570" s="107"/>
      <c r="AF570" s="107"/>
      <c r="AG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56"/>
      <c r="J571" s="156"/>
      <c r="K571" s="107"/>
      <c r="L571" s="16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  <c r="AD571" s="107"/>
      <c r="AE571" s="107"/>
      <c r="AF571" s="107"/>
      <c r="AG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56"/>
      <c r="J572" s="156"/>
      <c r="K572" s="107"/>
      <c r="L572" s="16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  <c r="AD572" s="107"/>
      <c r="AE572" s="107"/>
      <c r="AF572" s="107"/>
      <c r="AG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56"/>
      <c r="J573" s="156"/>
      <c r="K573" s="107"/>
      <c r="L573" s="16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  <c r="AD573" s="107"/>
      <c r="AE573" s="107"/>
      <c r="AF573" s="107"/>
      <c r="AG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56"/>
      <c r="J574" s="156"/>
      <c r="K574" s="107"/>
      <c r="L574" s="16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  <c r="AD574" s="107"/>
      <c r="AE574" s="107"/>
      <c r="AF574" s="107"/>
      <c r="AG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56"/>
      <c r="J575" s="156"/>
      <c r="K575" s="107"/>
      <c r="L575" s="16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  <c r="AD575" s="107"/>
      <c r="AE575" s="107"/>
      <c r="AF575" s="107"/>
      <c r="AG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56"/>
      <c r="J576" s="156"/>
      <c r="K576" s="107"/>
      <c r="L576" s="16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  <c r="AD576" s="107"/>
      <c r="AE576" s="107"/>
      <c r="AF576" s="107"/>
      <c r="AG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56"/>
      <c r="J577" s="156"/>
      <c r="K577" s="107"/>
      <c r="L577" s="16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  <c r="AD577" s="107"/>
      <c r="AE577" s="107"/>
      <c r="AF577" s="107"/>
      <c r="AG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56"/>
      <c r="J578" s="156"/>
      <c r="K578" s="107"/>
      <c r="L578" s="16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  <c r="AD578" s="107"/>
      <c r="AE578" s="107"/>
      <c r="AF578" s="107"/>
      <c r="AG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56"/>
      <c r="J579" s="156"/>
      <c r="K579" s="107"/>
      <c r="L579" s="16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  <c r="AD579" s="107"/>
      <c r="AE579" s="107"/>
      <c r="AF579" s="107"/>
      <c r="AG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56"/>
      <c r="J580" s="156"/>
      <c r="K580" s="107"/>
      <c r="L580" s="16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  <c r="AD580" s="107"/>
      <c r="AE580" s="107"/>
      <c r="AF580" s="107"/>
      <c r="AG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56"/>
      <c r="J581" s="156"/>
      <c r="K581" s="107"/>
      <c r="L581" s="16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  <c r="AD581" s="107"/>
      <c r="AE581" s="107"/>
      <c r="AF581" s="107"/>
      <c r="AG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56"/>
      <c r="J582" s="156"/>
      <c r="K582" s="107"/>
      <c r="L582" s="16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  <c r="AD582" s="107"/>
      <c r="AE582" s="107"/>
      <c r="AF582" s="107"/>
      <c r="AG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56"/>
      <c r="J583" s="156"/>
      <c r="K583" s="107"/>
      <c r="L583" s="16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  <c r="AD583" s="107"/>
      <c r="AE583" s="107"/>
      <c r="AF583" s="107"/>
      <c r="AG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56"/>
      <c r="J584" s="156"/>
      <c r="K584" s="107"/>
      <c r="L584" s="16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  <c r="AD584" s="107"/>
      <c r="AE584" s="107"/>
      <c r="AF584" s="107"/>
      <c r="AG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56"/>
      <c r="J585" s="156"/>
      <c r="K585" s="107"/>
      <c r="L585" s="16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  <c r="AD585" s="107"/>
      <c r="AE585" s="107"/>
      <c r="AF585" s="107"/>
      <c r="AG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56"/>
      <c r="J586" s="156"/>
      <c r="K586" s="107"/>
      <c r="L586" s="16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  <c r="AD586" s="107"/>
      <c r="AE586" s="107"/>
      <c r="AF586" s="107"/>
      <c r="AG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56"/>
      <c r="J587" s="156"/>
      <c r="K587" s="107"/>
      <c r="L587" s="16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  <c r="AD587" s="107"/>
      <c r="AE587" s="107"/>
      <c r="AF587" s="107"/>
      <c r="AG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56"/>
      <c r="J588" s="156"/>
      <c r="K588" s="107"/>
      <c r="L588" s="16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  <c r="AD588" s="107"/>
      <c r="AE588" s="107"/>
      <c r="AF588" s="107"/>
      <c r="AG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56"/>
      <c r="J589" s="156"/>
      <c r="K589" s="107"/>
      <c r="L589" s="16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  <c r="AD589" s="107"/>
      <c r="AE589" s="107"/>
      <c r="AF589" s="107"/>
      <c r="AG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56"/>
      <c r="J590" s="156"/>
      <c r="K590" s="107"/>
      <c r="L590" s="16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  <c r="AD590" s="107"/>
      <c r="AE590" s="107"/>
      <c r="AF590" s="107"/>
      <c r="AG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56"/>
      <c r="J591" s="156"/>
      <c r="K591" s="107"/>
      <c r="L591" s="16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  <c r="AD591" s="107"/>
      <c r="AE591" s="107"/>
      <c r="AF591" s="107"/>
      <c r="AG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56"/>
      <c r="J592" s="156"/>
      <c r="K592" s="107"/>
      <c r="L592" s="16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  <c r="AD592" s="107"/>
      <c r="AE592" s="107"/>
      <c r="AF592" s="107"/>
      <c r="AG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56"/>
      <c r="J593" s="156"/>
      <c r="K593" s="107"/>
      <c r="L593" s="16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  <c r="AD593" s="107"/>
      <c r="AE593" s="107"/>
      <c r="AF593" s="107"/>
      <c r="AG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56"/>
      <c r="J594" s="156"/>
      <c r="K594" s="107"/>
      <c r="L594" s="16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  <c r="AD594" s="107"/>
      <c r="AE594" s="107"/>
      <c r="AF594" s="107"/>
      <c r="AG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56"/>
      <c r="J595" s="156"/>
      <c r="K595" s="107"/>
      <c r="L595" s="16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  <c r="AD595" s="107"/>
      <c r="AE595" s="107"/>
      <c r="AF595" s="107"/>
      <c r="AG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56"/>
      <c r="J596" s="156"/>
      <c r="K596" s="107"/>
      <c r="L596" s="16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  <c r="AD596" s="107"/>
      <c r="AE596" s="107"/>
      <c r="AF596" s="107"/>
      <c r="AG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56"/>
      <c r="J597" s="156"/>
      <c r="K597" s="107"/>
      <c r="L597" s="16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  <c r="AD597" s="107"/>
      <c r="AE597" s="107"/>
      <c r="AF597" s="107"/>
      <c r="AG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56"/>
      <c r="J598" s="156"/>
      <c r="K598" s="107"/>
      <c r="L598" s="16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  <c r="AD598" s="107"/>
      <c r="AE598" s="107"/>
      <c r="AF598" s="107"/>
      <c r="AG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56"/>
      <c r="J599" s="156"/>
      <c r="K599" s="107"/>
      <c r="L599" s="16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  <c r="AD599" s="107"/>
      <c r="AE599" s="107"/>
      <c r="AF599" s="107"/>
      <c r="AG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56"/>
      <c r="J600" s="156"/>
      <c r="K600" s="107"/>
      <c r="L600" s="16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  <c r="AD600" s="107"/>
      <c r="AE600" s="107"/>
      <c r="AF600" s="107"/>
      <c r="AG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56"/>
      <c r="J601" s="156"/>
      <c r="K601" s="107"/>
      <c r="L601" s="16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  <c r="AD601" s="107"/>
      <c r="AE601" s="107"/>
      <c r="AF601" s="107"/>
      <c r="AG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56"/>
      <c r="J602" s="156"/>
      <c r="K602" s="107"/>
      <c r="L602" s="16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  <c r="AD602" s="107"/>
      <c r="AE602" s="107"/>
      <c r="AF602" s="107"/>
      <c r="AG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56"/>
      <c r="J603" s="156"/>
      <c r="K603" s="107"/>
      <c r="L603" s="16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56"/>
      <c r="J604" s="156"/>
      <c r="K604" s="107"/>
      <c r="L604" s="16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  <c r="AD604" s="107"/>
      <c r="AE604" s="107"/>
      <c r="AF604" s="107"/>
      <c r="AG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56"/>
      <c r="J605" s="156"/>
      <c r="K605" s="107"/>
      <c r="L605" s="16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  <c r="AD605" s="107"/>
      <c r="AE605" s="107"/>
      <c r="AF605" s="107"/>
      <c r="AG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56"/>
      <c r="J606" s="156"/>
      <c r="K606" s="107"/>
      <c r="L606" s="16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  <c r="AD606" s="107"/>
      <c r="AE606" s="107"/>
      <c r="AF606" s="107"/>
      <c r="AG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56"/>
      <c r="J607" s="156"/>
      <c r="K607" s="107"/>
      <c r="L607" s="16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7"/>
      <c r="AF607" s="107"/>
      <c r="AG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56"/>
      <c r="J608" s="156"/>
      <c r="K608" s="107"/>
      <c r="L608" s="16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7"/>
      <c r="AF608" s="107"/>
      <c r="AG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56"/>
      <c r="J609" s="156"/>
      <c r="K609" s="107"/>
      <c r="L609" s="16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7"/>
      <c r="AF609" s="107"/>
      <c r="AG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56"/>
      <c r="J610" s="156"/>
      <c r="K610" s="107"/>
      <c r="L610" s="16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  <c r="AD610" s="107"/>
      <c r="AE610" s="107"/>
      <c r="AF610" s="107"/>
      <c r="AG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56"/>
      <c r="J611" s="156"/>
      <c r="K611" s="107"/>
      <c r="L611" s="16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  <c r="AD611" s="107"/>
      <c r="AE611" s="107"/>
      <c r="AF611" s="107"/>
      <c r="AG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56"/>
      <c r="J612" s="156"/>
      <c r="K612" s="107"/>
      <c r="L612" s="16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  <c r="AD612" s="107"/>
      <c r="AE612" s="107"/>
      <c r="AF612" s="107"/>
      <c r="AG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56"/>
      <c r="J613" s="156"/>
      <c r="K613" s="107"/>
      <c r="L613" s="16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  <c r="AD613" s="107"/>
      <c r="AE613" s="107"/>
      <c r="AF613" s="107"/>
      <c r="AG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56"/>
      <c r="J614" s="156"/>
      <c r="K614" s="107"/>
      <c r="L614" s="16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  <c r="AD614" s="107"/>
      <c r="AE614" s="107"/>
      <c r="AF614" s="107"/>
      <c r="AG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56"/>
      <c r="J615" s="156"/>
      <c r="K615" s="107"/>
      <c r="L615" s="16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  <c r="AD615" s="107"/>
      <c r="AE615" s="107"/>
      <c r="AF615" s="107"/>
      <c r="AG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56"/>
      <c r="J616" s="156"/>
      <c r="K616" s="107"/>
      <c r="L616" s="16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  <c r="AD616" s="107"/>
      <c r="AE616" s="107"/>
      <c r="AF616" s="107"/>
      <c r="AG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56"/>
      <c r="J617" s="156"/>
      <c r="K617" s="107"/>
      <c r="L617" s="16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  <c r="AD617" s="107"/>
      <c r="AE617" s="107"/>
      <c r="AF617" s="107"/>
      <c r="AG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56"/>
      <c r="J618" s="156"/>
      <c r="K618" s="107"/>
      <c r="L618" s="16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  <c r="AD618" s="107"/>
      <c r="AE618" s="107"/>
      <c r="AF618" s="107"/>
      <c r="AG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56"/>
      <c r="J619" s="156"/>
      <c r="K619" s="107"/>
      <c r="L619" s="16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  <c r="AD619" s="107"/>
      <c r="AE619" s="107"/>
      <c r="AF619" s="107"/>
      <c r="AG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56"/>
      <c r="J620" s="156"/>
      <c r="K620" s="107"/>
      <c r="L620" s="16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  <c r="AD620" s="107"/>
      <c r="AE620" s="107"/>
      <c r="AF620" s="107"/>
      <c r="AG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56"/>
      <c r="J621" s="156"/>
      <c r="K621" s="107"/>
      <c r="L621" s="16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  <c r="AD621" s="107"/>
      <c r="AE621" s="107"/>
      <c r="AF621" s="107"/>
      <c r="AG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56"/>
      <c r="J622" s="156"/>
      <c r="K622" s="107"/>
      <c r="L622" s="16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  <c r="AD622" s="107"/>
      <c r="AE622" s="107"/>
      <c r="AF622" s="107"/>
      <c r="AG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56"/>
      <c r="J623" s="156"/>
      <c r="K623" s="107"/>
      <c r="L623" s="16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  <c r="AD623" s="107"/>
      <c r="AE623" s="107"/>
      <c r="AF623" s="107"/>
      <c r="AG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56"/>
      <c r="J624" s="156"/>
      <c r="K624" s="107"/>
      <c r="L624" s="16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  <c r="AD624" s="107"/>
      <c r="AE624" s="107"/>
      <c r="AF624" s="107"/>
      <c r="AG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56"/>
      <c r="J625" s="156"/>
      <c r="K625" s="107"/>
      <c r="L625" s="16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  <c r="AD625" s="107"/>
      <c r="AE625" s="107"/>
      <c r="AF625" s="107"/>
      <c r="AG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56"/>
      <c r="J626" s="156"/>
      <c r="K626" s="107"/>
      <c r="L626" s="16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  <c r="AD626" s="107"/>
      <c r="AE626" s="107"/>
      <c r="AF626" s="107"/>
      <c r="AG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56"/>
      <c r="J627" s="156"/>
      <c r="K627" s="107"/>
      <c r="L627" s="16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  <c r="AD627" s="107"/>
      <c r="AE627" s="107"/>
      <c r="AF627" s="107"/>
      <c r="AG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56"/>
      <c r="J628" s="156"/>
      <c r="K628" s="107"/>
      <c r="L628" s="16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  <c r="AD628" s="107"/>
      <c r="AE628" s="107"/>
      <c r="AF628" s="107"/>
      <c r="AG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56"/>
      <c r="J629" s="156"/>
      <c r="K629" s="107"/>
      <c r="L629" s="16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  <c r="AD629" s="107"/>
      <c r="AE629" s="107"/>
      <c r="AF629" s="107"/>
      <c r="AG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56"/>
      <c r="J630" s="156"/>
      <c r="K630" s="107"/>
      <c r="L630" s="16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  <c r="AD630" s="107"/>
      <c r="AE630" s="107"/>
      <c r="AF630" s="107"/>
      <c r="AG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56"/>
      <c r="J631" s="156"/>
      <c r="K631" s="107"/>
      <c r="L631" s="16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  <c r="AD631" s="107"/>
      <c r="AE631" s="107"/>
      <c r="AF631" s="107"/>
      <c r="AG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56"/>
      <c r="J632" s="156"/>
      <c r="K632" s="107"/>
      <c r="L632" s="16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  <c r="AD632" s="107"/>
      <c r="AE632" s="107"/>
      <c r="AF632" s="107"/>
      <c r="AG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56"/>
      <c r="J633" s="156"/>
      <c r="K633" s="107"/>
      <c r="L633" s="16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  <c r="AD633" s="107"/>
      <c r="AE633" s="107"/>
      <c r="AF633" s="107"/>
      <c r="AG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56"/>
      <c r="J634" s="156"/>
      <c r="K634" s="107"/>
      <c r="L634" s="16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  <c r="AD634" s="107"/>
      <c r="AE634" s="107"/>
      <c r="AF634" s="107"/>
      <c r="AG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56"/>
      <c r="J635" s="156"/>
      <c r="K635" s="107"/>
      <c r="L635" s="16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  <c r="AD635" s="107"/>
      <c r="AE635" s="107"/>
      <c r="AF635" s="107"/>
      <c r="AG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56"/>
      <c r="J636" s="156"/>
      <c r="K636" s="107"/>
      <c r="L636" s="16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  <c r="AD636" s="107"/>
      <c r="AE636" s="107"/>
      <c r="AF636" s="107"/>
      <c r="AG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56"/>
      <c r="J637" s="156"/>
      <c r="K637" s="107"/>
      <c r="L637" s="16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  <c r="AD637" s="107"/>
      <c r="AE637" s="107"/>
      <c r="AF637" s="107"/>
      <c r="AG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56"/>
      <c r="J638" s="156"/>
      <c r="K638" s="107"/>
      <c r="L638" s="16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  <c r="AD638" s="107"/>
      <c r="AE638" s="107"/>
      <c r="AF638" s="107"/>
      <c r="AG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56"/>
      <c r="J639" s="156"/>
      <c r="K639" s="107"/>
      <c r="L639" s="16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  <c r="AD639" s="107"/>
      <c r="AE639" s="107"/>
      <c r="AF639" s="107"/>
      <c r="AG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56"/>
      <c r="J640" s="156"/>
      <c r="K640" s="107"/>
      <c r="L640" s="16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  <c r="AD640" s="107"/>
      <c r="AE640" s="107"/>
      <c r="AF640" s="107"/>
      <c r="AG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56"/>
      <c r="J641" s="156"/>
      <c r="K641" s="107"/>
      <c r="L641" s="16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  <c r="AD641" s="107"/>
      <c r="AE641" s="107"/>
      <c r="AF641" s="107"/>
      <c r="AG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56"/>
      <c r="J642" s="156"/>
      <c r="K642" s="107"/>
      <c r="L642" s="16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  <c r="AD642" s="107"/>
      <c r="AE642" s="107"/>
      <c r="AF642" s="107"/>
      <c r="AG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56"/>
      <c r="J643" s="156"/>
      <c r="K643" s="107"/>
      <c r="L643" s="16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56"/>
      <c r="J644" s="156"/>
      <c r="K644" s="107"/>
      <c r="L644" s="16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  <c r="AD644" s="107"/>
      <c r="AE644" s="107"/>
      <c r="AF644" s="107"/>
      <c r="AG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56"/>
      <c r="J645" s="156"/>
      <c r="K645" s="107"/>
      <c r="L645" s="16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  <c r="AD645" s="107"/>
      <c r="AE645" s="107"/>
      <c r="AF645" s="107"/>
      <c r="AG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56"/>
      <c r="J646" s="156"/>
      <c r="K646" s="107"/>
      <c r="L646" s="16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  <c r="AD646" s="107"/>
      <c r="AE646" s="107"/>
      <c r="AF646" s="107"/>
      <c r="AG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56"/>
      <c r="J647" s="156"/>
      <c r="K647" s="107"/>
      <c r="L647" s="16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  <c r="AD647" s="107"/>
      <c r="AE647" s="107"/>
      <c r="AF647" s="107"/>
      <c r="AG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56"/>
      <c r="J648" s="156"/>
      <c r="K648" s="107"/>
      <c r="L648" s="16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  <c r="AD648" s="107"/>
      <c r="AE648" s="107"/>
      <c r="AF648" s="107"/>
      <c r="AG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56"/>
      <c r="J649" s="156"/>
      <c r="K649" s="107"/>
      <c r="L649" s="16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  <c r="AD649" s="107"/>
      <c r="AE649" s="107"/>
      <c r="AF649" s="107"/>
      <c r="AG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56"/>
      <c r="J650" s="156"/>
      <c r="K650" s="107"/>
      <c r="L650" s="16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  <c r="AD650" s="107"/>
      <c r="AE650" s="107"/>
      <c r="AF650" s="107"/>
      <c r="AG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56"/>
      <c r="J651" s="156"/>
      <c r="K651" s="107"/>
      <c r="L651" s="16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  <c r="AD651" s="107"/>
      <c r="AE651" s="107"/>
      <c r="AF651" s="107"/>
      <c r="AG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56"/>
      <c r="J652" s="156"/>
      <c r="K652" s="107"/>
      <c r="L652" s="16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  <c r="AD652" s="107"/>
      <c r="AE652" s="107"/>
      <c r="AF652" s="107"/>
      <c r="AG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56"/>
      <c r="J653" s="156"/>
      <c r="K653" s="107"/>
      <c r="L653" s="16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  <c r="AD653" s="107"/>
      <c r="AE653" s="107"/>
      <c r="AF653" s="107"/>
      <c r="AG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56"/>
      <c r="J654" s="156"/>
      <c r="K654" s="107"/>
      <c r="L654" s="16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  <c r="AD654" s="107"/>
      <c r="AE654" s="107"/>
      <c r="AF654" s="107"/>
      <c r="AG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56"/>
      <c r="J655" s="156"/>
      <c r="K655" s="107"/>
      <c r="L655" s="16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  <c r="AD655" s="107"/>
      <c r="AE655" s="107"/>
      <c r="AF655" s="107"/>
      <c r="AG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56"/>
      <c r="J656" s="156"/>
      <c r="K656" s="107"/>
      <c r="L656" s="16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7"/>
      <c r="AF656" s="107"/>
      <c r="AG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56"/>
      <c r="J657" s="156"/>
      <c r="K657" s="107"/>
      <c r="L657" s="16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7"/>
      <c r="AF657" s="107"/>
      <c r="AG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56"/>
      <c r="J658" s="156"/>
      <c r="K658" s="107"/>
      <c r="L658" s="16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7"/>
      <c r="AF658" s="107"/>
      <c r="AG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56"/>
      <c r="J659" s="156"/>
      <c r="K659" s="107"/>
      <c r="L659" s="16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  <c r="AD659" s="107"/>
      <c r="AE659" s="107"/>
      <c r="AF659" s="107"/>
      <c r="AG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56"/>
      <c r="J660" s="156"/>
      <c r="K660" s="107"/>
      <c r="L660" s="16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  <c r="AD660" s="107"/>
      <c r="AE660" s="107"/>
      <c r="AF660" s="107"/>
      <c r="AG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56"/>
      <c r="J661" s="156"/>
      <c r="K661" s="107"/>
      <c r="L661" s="16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  <c r="AD661" s="107"/>
      <c r="AE661" s="107"/>
      <c r="AF661" s="107"/>
      <c r="AG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56"/>
      <c r="J662" s="156"/>
      <c r="K662" s="107"/>
      <c r="L662" s="16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  <c r="AD662" s="107"/>
      <c r="AE662" s="107"/>
      <c r="AF662" s="107"/>
      <c r="AG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56"/>
      <c r="J663" s="156"/>
      <c r="K663" s="107"/>
      <c r="L663" s="16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  <c r="AD663" s="107"/>
      <c r="AE663" s="107"/>
      <c r="AF663" s="107"/>
      <c r="AG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56"/>
      <c r="J664" s="156"/>
      <c r="K664" s="107"/>
      <c r="L664" s="16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  <c r="AD664" s="107"/>
      <c r="AE664" s="107"/>
      <c r="AF664" s="107"/>
      <c r="AG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56"/>
      <c r="J665" s="156"/>
      <c r="K665" s="107"/>
      <c r="L665" s="16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  <c r="AD665" s="107"/>
      <c r="AE665" s="107"/>
      <c r="AF665" s="107"/>
      <c r="AG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56"/>
      <c r="J666" s="156"/>
      <c r="K666" s="107"/>
      <c r="L666" s="16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  <c r="AD666" s="107"/>
      <c r="AE666" s="107"/>
      <c r="AF666" s="107"/>
      <c r="AG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56"/>
      <c r="J667" s="156"/>
      <c r="K667" s="107"/>
      <c r="L667" s="16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  <c r="AD667" s="107"/>
      <c r="AE667" s="107"/>
      <c r="AF667" s="107"/>
      <c r="AG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56"/>
      <c r="J668" s="156"/>
      <c r="K668" s="107"/>
      <c r="L668" s="16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56"/>
      <c r="J669" s="156"/>
      <c r="K669" s="107"/>
      <c r="L669" s="16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  <c r="AD669" s="107"/>
      <c r="AE669" s="107"/>
      <c r="AF669" s="107"/>
      <c r="AG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56"/>
      <c r="J670" s="156"/>
      <c r="K670" s="107"/>
      <c r="L670" s="16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  <c r="AD670" s="107"/>
      <c r="AE670" s="107"/>
      <c r="AF670" s="107"/>
      <c r="AG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56"/>
      <c r="J671" s="156"/>
      <c r="K671" s="107"/>
      <c r="L671" s="16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  <c r="AD671" s="107"/>
      <c r="AE671" s="107"/>
      <c r="AF671" s="107"/>
      <c r="AG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56"/>
      <c r="J672" s="156"/>
      <c r="K672" s="107"/>
      <c r="L672" s="16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  <c r="AD672" s="107"/>
      <c r="AE672" s="107"/>
      <c r="AF672" s="107"/>
      <c r="AG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56"/>
      <c r="J673" s="156"/>
      <c r="K673" s="107"/>
      <c r="L673" s="16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  <c r="AD673" s="107"/>
      <c r="AE673" s="107"/>
      <c r="AF673" s="107"/>
      <c r="AG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56"/>
      <c r="J674" s="156"/>
      <c r="K674" s="107"/>
      <c r="L674" s="16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  <c r="AD674" s="107"/>
      <c r="AE674" s="107"/>
      <c r="AF674" s="107"/>
      <c r="AG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56"/>
      <c r="J675" s="156"/>
      <c r="K675" s="107"/>
      <c r="L675" s="16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  <c r="AD675" s="107"/>
      <c r="AE675" s="107"/>
      <c r="AF675" s="107"/>
      <c r="AG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56"/>
      <c r="J676" s="156"/>
      <c r="K676" s="107"/>
      <c r="L676" s="16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  <c r="AD676" s="107"/>
      <c r="AE676" s="107"/>
      <c r="AF676" s="107"/>
      <c r="AG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56"/>
      <c r="J677" s="156"/>
      <c r="K677" s="107"/>
      <c r="L677" s="16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  <c r="AD677" s="107"/>
      <c r="AE677" s="107"/>
      <c r="AF677" s="107"/>
      <c r="AG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56"/>
      <c r="J678" s="156"/>
      <c r="K678" s="107"/>
      <c r="L678" s="16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  <c r="AD678" s="107"/>
      <c r="AE678" s="107"/>
      <c r="AF678" s="107"/>
      <c r="AG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56"/>
      <c r="J679" s="156"/>
      <c r="K679" s="107"/>
      <c r="L679" s="16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  <c r="AD679" s="107"/>
      <c r="AE679" s="107"/>
      <c r="AF679" s="107"/>
      <c r="AG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56"/>
      <c r="J680" s="156"/>
      <c r="K680" s="107"/>
      <c r="L680" s="16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  <c r="AD680" s="107"/>
      <c r="AE680" s="107"/>
      <c r="AF680" s="107"/>
      <c r="AG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56"/>
      <c r="J681" s="156"/>
      <c r="K681" s="107"/>
      <c r="L681" s="16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  <c r="AD681" s="107"/>
      <c r="AE681" s="107"/>
      <c r="AF681" s="107"/>
      <c r="AG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56"/>
      <c r="J682" s="156"/>
      <c r="K682" s="107"/>
      <c r="L682" s="16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  <c r="AD682" s="107"/>
      <c r="AE682" s="107"/>
      <c r="AF682" s="107"/>
      <c r="AG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56"/>
      <c r="J683" s="156"/>
      <c r="K683" s="107"/>
      <c r="L683" s="16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56"/>
      <c r="J684" s="156"/>
      <c r="K684" s="107"/>
      <c r="L684" s="16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  <c r="AD684" s="107"/>
      <c r="AE684" s="107"/>
      <c r="AF684" s="107"/>
      <c r="AG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56"/>
      <c r="J685" s="156"/>
      <c r="K685" s="107"/>
      <c r="L685" s="16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  <c r="AD685" s="107"/>
      <c r="AE685" s="107"/>
      <c r="AF685" s="107"/>
      <c r="AG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56"/>
      <c r="J686" s="156"/>
      <c r="K686" s="107"/>
      <c r="L686" s="16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  <c r="AD686" s="107"/>
      <c r="AE686" s="107"/>
      <c r="AF686" s="107"/>
      <c r="AG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56"/>
      <c r="J687" s="156"/>
      <c r="K687" s="107"/>
      <c r="L687" s="16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  <c r="AD687" s="107"/>
      <c r="AE687" s="107"/>
      <c r="AF687" s="107"/>
      <c r="AG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56"/>
      <c r="J688" s="156"/>
      <c r="K688" s="107"/>
      <c r="L688" s="16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  <c r="AD688" s="107"/>
      <c r="AE688" s="107"/>
      <c r="AF688" s="107"/>
      <c r="AG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56"/>
      <c r="J689" s="156"/>
      <c r="K689" s="107"/>
      <c r="L689" s="16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  <c r="AD689" s="107"/>
      <c r="AE689" s="107"/>
      <c r="AF689" s="107"/>
      <c r="AG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56"/>
      <c r="J690" s="156"/>
      <c r="K690" s="107"/>
      <c r="L690" s="16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  <c r="AD690" s="107"/>
      <c r="AE690" s="107"/>
      <c r="AF690" s="107"/>
      <c r="AG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56"/>
      <c r="J691" s="156"/>
      <c r="K691" s="107"/>
      <c r="L691" s="16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  <c r="AD691" s="107"/>
      <c r="AE691" s="107"/>
      <c r="AF691" s="107"/>
      <c r="AG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56"/>
      <c r="J692" s="156"/>
      <c r="K692" s="107"/>
      <c r="L692" s="16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  <c r="AD692" s="107"/>
      <c r="AE692" s="107"/>
      <c r="AF692" s="107"/>
      <c r="AG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56"/>
      <c r="J693" s="156"/>
      <c r="K693" s="107"/>
      <c r="L693" s="16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  <c r="AD693" s="107"/>
      <c r="AE693" s="107"/>
      <c r="AF693" s="107"/>
      <c r="AG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56"/>
      <c r="J694" s="156"/>
      <c r="K694" s="107"/>
      <c r="L694" s="16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  <c r="AD694" s="107"/>
      <c r="AE694" s="107"/>
      <c r="AF694" s="107"/>
      <c r="AG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56"/>
      <c r="J695" s="156"/>
      <c r="K695" s="107"/>
      <c r="L695" s="16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  <c r="AD695" s="107"/>
      <c r="AE695" s="107"/>
      <c r="AF695" s="107"/>
      <c r="AG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56"/>
      <c r="J696" s="156"/>
      <c r="K696" s="107"/>
      <c r="L696" s="16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  <c r="AD696" s="107"/>
      <c r="AE696" s="107"/>
      <c r="AF696" s="107"/>
      <c r="AG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56"/>
      <c r="J697" s="156"/>
      <c r="K697" s="107"/>
      <c r="L697" s="16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  <c r="AD697" s="107"/>
      <c r="AE697" s="107"/>
      <c r="AF697" s="107"/>
      <c r="AG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56"/>
      <c r="J698" s="156"/>
      <c r="K698" s="107"/>
      <c r="L698" s="16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  <c r="AD698" s="107"/>
      <c r="AE698" s="107"/>
      <c r="AF698" s="107"/>
      <c r="AG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56"/>
      <c r="J699" s="156"/>
      <c r="K699" s="107"/>
      <c r="L699" s="16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  <c r="AD699" s="107"/>
      <c r="AE699" s="107"/>
      <c r="AF699" s="107"/>
      <c r="AG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56"/>
      <c r="J700" s="156"/>
      <c r="K700" s="107"/>
      <c r="L700" s="16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  <c r="AD700" s="107"/>
      <c r="AE700" s="107"/>
      <c r="AF700" s="107"/>
      <c r="AG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56"/>
      <c r="J701" s="156"/>
      <c r="K701" s="107"/>
      <c r="L701" s="16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  <c r="AD701" s="107"/>
      <c r="AE701" s="107"/>
      <c r="AF701" s="107"/>
      <c r="AG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56"/>
      <c r="J702" s="156"/>
      <c r="K702" s="107"/>
      <c r="L702" s="16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  <c r="AD702" s="107"/>
      <c r="AE702" s="107"/>
      <c r="AF702" s="107"/>
      <c r="AG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56"/>
      <c r="J703" s="156"/>
      <c r="K703" s="107"/>
      <c r="L703" s="16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  <c r="AD703" s="107"/>
      <c r="AE703" s="107"/>
      <c r="AF703" s="107"/>
      <c r="AG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56"/>
      <c r="J704" s="156"/>
      <c r="K704" s="107"/>
      <c r="L704" s="16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  <c r="AD704" s="107"/>
      <c r="AE704" s="107"/>
      <c r="AF704" s="107"/>
      <c r="AG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56"/>
      <c r="J705" s="156"/>
      <c r="K705" s="107"/>
      <c r="L705" s="16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7"/>
      <c r="AF705" s="107"/>
      <c r="AG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56"/>
      <c r="J706" s="156"/>
      <c r="K706" s="107"/>
      <c r="L706" s="16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7"/>
      <c r="AF706" s="107"/>
      <c r="AG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56"/>
      <c r="J707" s="156"/>
      <c r="K707" s="107"/>
      <c r="L707" s="16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7"/>
      <c r="AF707" s="107"/>
      <c r="AG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56"/>
      <c r="J708" s="156"/>
      <c r="K708" s="107"/>
      <c r="L708" s="16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  <c r="AD708" s="107"/>
      <c r="AE708" s="107"/>
      <c r="AF708" s="107"/>
      <c r="AG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56"/>
      <c r="J709" s="156"/>
      <c r="K709" s="107"/>
      <c r="L709" s="16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  <c r="AD709" s="107"/>
      <c r="AE709" s="107"/>
      <c r="AF709" s="107"/>
      <c r="AG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56"/>
      <c r="J710" s="156"/>
      <c r="K710" s="107"/>
      <c r="L710" s="16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  <c r="AD710" s="107"/>
      <c r="AE710" s="107"/>
      <c r="AF710" s="107"/>
      <c r="AG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56"/>
      <c r="J711" s="156"/>
      <c r="K711" s="107"/>
      <c r="L711" s="16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  <c r="AD711" s="107"/>
      <c r="AE711" s="107"/>
      <c r="AF711" s="107"/>
      <c r="AG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56"/>
      <c r="J712" s="156"/>
      <c r="K712" s="107"/>
      <c r="L712" s="16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  <c r="AD712" s="107"/>
      <c r="AE712" s="107"/>
      <c r="AF712" s="107"/>
      <c r="AG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56"/>
      <c r="J713" s="156"/>
      <c r="K713" s="107"/>
      <c r="L713" s="16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  <c r="AD713" s="107"/>
      <c r="AE713" s="107"/>
      <c r="AF713" s="107"/>
      <c r="AG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56"/>
      <c r="J714" s="156"/>
      <c r="K714" s="107"/>
      <c r="L714" s="16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  <c r="AD714" s="107"/>
      <c r="AE714" s="107"/>
      <c r="AF714" s="107"/>
      <c r="AG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56"/>
      <c r="J715" s="156"/>
      <c r="K715" s="107"/>
      <c r="L715" s="16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  <c r="AD715" s="107"/>
      <c r="AE715" s="107"/>
      <c r="AF715" s="107"/>
      <c r="AG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56"/>
      <c r="J716" s="156"/>
      <c r="K716" s="107"/>
      <c r="L716" s="16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  <c r="AD716" s="107"/>
      <c r="AE716" s="107"/>
      <c r="AF716" s="107"/>
      <c r="AG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56"/>
      <c r="J717" s="156"/>
      <c r="K717" s="107"/>
      <c r="L717" s="16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  <c r="AD717" s="107"/>
      <c r="AE717" s="107"/>
      <c r="AF717" s="107"/>
      <c r="AG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56"/>
      <c r="J718" s="156"/>
      <c r="K718" s="107"/>
      <c r="L718" s="16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  <c r="AD718" s="107"/>
      <c r="AE718" s="107"/>
      <c r="AF718" s="107"/>
      <c r="AG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56"/>
      <c r="J719" s="156"/>
      <c r="K719" s="107"/>
      <c r="L719" s="16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  <c r="AD719" s="107"/>
      <c r="AE719" s="107"/>
      <c r="AF719" s="107"/>
      <c r="AG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56"/>
      <c r="J720" s="156"/>
      <c r="K720" s="107"/>
      <c r="L720" s="16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  <c r="AD720" s="107"/>
      <c r="AE720" s="107"/>
      <c r="AF720" s="107"/>
      <c r="AG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56"/>
      <c r="J721" s="156"/>
      <c r="K721" s="107"/>
      <c r="L721" s="16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  <c r="AD721" s="107"/>
      <c r="AE721" s="107"/>
      <c r="AF721" s="107"/>
      <c r="AG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56"/>
      <c r="J722" s="156"/>
      <c r="K722" s="107"/>
      <c r="L722" s="16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  <c r="AD722" s="107"/>
      <c r="AE722" s="107"/>
      <c r="AF722" s="107"/>
      <c r="AG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56"/>
      <c r="J723" s="156"/>
      <c r="K723" s="107"/>
      <c r="L723" s="16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56"/>
      <c r="J724" s="156"/>
      <c r="K724" s="107"/>
      <c r="L724" s="16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  <c r="AD724" s="107"/>
      <c r="AE724" s="107"/>
      <c r="AF724" s="107"/>
      <c r="AG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56"/>
      <c r="J725" s="156"/>
      <c r="K725" s="107"/>
      <c r="L725" s="16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  <c r="AD725" s="107"/>
      <c r="AE725" s="107"/>
      <c r="AF725" s="107"/>
      <c r="AG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56"/>
      <c r="J726" s="156"/>
      <c r="K726" s="107"/>
      <c r="L726" s="16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  <c r="AD726" s="107"/>
      <c r="AE726" s="107"/>
      <c r="AF726" s="107"/>
      <c r="AG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56"/>
      <c r="J727" s="156"/>
      <c r="K727" s="107"/>
      <c r="L727" s="16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  <c r="AD727" s="107"/>
      <c r="AE727" s="107"/>
      <c r="AF727" s="107"/>
      <c r="AG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56"/>
      <c r="J728" s="156"/>
      <c r="K728" s="107"/>
      <c r="L728" s="16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  <c r="AD728" s="107"/>
      <c r="AE728" s="107"/>
      <c r="AF728" s="107"/>
      <c r="AG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56"/>
      <c r="J729" s="156"/>
      <c r="K729" s="107"/>
      <c r="L729" s="16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  <c r="AD729" s="107"/>
      <c r="AE729" s="107"/>
      <c r="AF729" s="107"/>
      <c r="AG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56"/>
      <c r="J730" s="156"/>
      <c r="K730" s="107"/>
      <c r="L730" s="16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  <c r="AD730" s="107"/>
      <c r="AE730" s="107"/>
      <c r="AF730" s="107"/>
      <c r="AG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56"/>
      <c r="J731" s="156"/>
      <c r="K731" s="107"/>
      <c r="L731" s="16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  <c r="AD731" s="107"/>
      <c r="AE731" s="107"/>
      <c r="AF731" s="107"/>
      <c r="AG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56"/>
      <c r="J732" s="156"/>
      <c r="K732" s="107"/>
      <c r="L732" s="16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  <c r="AD732" s="107"/>
      <c r="AE732" s="107"/>
      <c r="AF732" s="107"/>
      <c r="AG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56"/>
      <c r="J733" s="156"/>
      <c r="K733" s="107"/>
      <c r="L733" s="16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  <c r="AD733" s="107"/>
      <c r="AE733" s="107"/>
      <c r="AF733" s="107"/>
      <c r="AG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56"/>
      <c r="J734" s="156"/>
      <c r="K734" s="107"/>
      <c r="L734" s="16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  <c r="AD734" s="107"/>
      <c r="AE734" s="107"/>
      <c r="AF734" s="107"/>
      <c r="AG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56"/>
      <c r="J735" s="156"/>
      <c r="K735" s="107"/>
      <c r="L735" s="16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  <c r="AD735" s="107"/>
      <c r="AE735" s="107"/>
      <c r="AF735" s="107"/>
      <c r="AG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56"/>
      <c r="J736" s="156"/>
      <c r="K736" s="107"/>
      <c r="L736" s="16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  <c r="AD736" s="107"/>
      <c r="AE736" s="107"/>
      <c r="AF736" s="107"/>
      <c r="AG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56"/>
      <c r="J737" s="156"/>
      <c r="K737" s="107"/>
      <c r="L737" s="16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  <c r="AD737" s="107"/>
      <c r="AE737" s="107"/>
      <c r="AF737" s="107"/>
      <c r="AG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56"/>
      <c r="J738" s="156"/>
      <c r="K738" s="107"/>
      <c r="L738" s="16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  <c r="AD738" s="107"/>
      <c r="AE738" s="107"/>
      <c r="AF738" s="107"/>
      <c r="AG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56"/>
      <c r="J739" s="156"/>
      <c r="K739" s="107"/>
      <c r="L739" s="16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  <c r="AD739" s="107"/>
      <c r="AE739" s="107"/>
      <c r="AF739" s="107"/>
      <c r="AG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56"/>
      <c r="J740" s="156"/>
      <c r="K740" s="107"/>
      <c r="L740" s="16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  <c r="AD740" s="107"/>
      <c r="AE740" s="107"/>
      <c r="AF740" s="107"/>
      <c r="AG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56"/>
      <c r="J741" s="156"/>
      <c r="K741" s="107"/>
      <c r="L741" s="16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  <c r="AD741" s="107"/>
      <c r="AE741" s="107"/>
      <c r="AF741" s="107"/>
      <c r="AG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56"/>
      <c r="J742" s="156"/>
      <c r="K742" s="107"/>
      <c r="L742" s="16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  <c r="AD742" s="107"/>
      <c r="AE742" s="107"/>
      <c r="AF742" s="107"/>
      <c r="AG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56"/>
      <c r="J743" s="156"/>
      <c r="K743" s="107"/>
      <c r="L743" s="16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  <c r="AD743" s="107"/>
      <c r="AE743" s="107"/>
      <c r="AF743" s="107"/>
      <c r="AG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56"/>
      <c r="J744" s="156"/>
      <c r="K744" s="107"/>
      <c r="L744" s="16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  <c r="AD744" s="107"/>
      <c r="AE744" s="107"/>
      <c r="AF744" s="107"/>
      <c r="AG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56"/>
      <c r="J745" s="156"/>
      <c r="K745" s="107"/>
      <c r="L745" s="16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  <c r="AD745" s="107"/>
      <c r="AE745" s="107"/>
      <c r="AF745" s="107"/>
      <c r="AG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56"/>
      <c r="J746" s="156"/>
      <c r="K746" s="107"/>
      <c r="L746" s="16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  <c r="AD746" s="107"/>
      <c r="AE746" s="107"/>
      <c r="AF746" s="107"/>
      <c r="AG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56"/>
      <c r="J747" s="156"/>
      <c r="K747" s="107"/>
      <c r="L747" s="16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  <c r="AD747" s="107"/>
      <c r="AE747" s="107"/>
      <c r="AF747" s="107"/>
      <c r="AG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56"/>
      <c r="J748" s="156"/>
      <c r="K748" s="107"/>
      <c r="L748" s="16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  <c r="AD748" s="107"/>
      <c r="AE748" s="107"/>
      <c r="AF748" s="107"/>
      <c r="AG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56"/>
      <c r="J749" s="156"/>
      <c r="K749" s="107"/>
      <c r="L749" s="16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  <c r="AD749" s="107"/>
      <c r="AE749" s="107"/>
      <c r="AF749" s="107"/>
      <c r="AG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56"/>
      <c r="J750" s="156"/>
      <c r="K750" s="107"/>
      <c r="L750" s="16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  <c r="AD750" s="107"/>
      <c r="AE750" s="107"/>
      <c r="AF750" s="107"/>
      <c r="AG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56"/>
      <c r="J751" s="156"/>
      <c r="K751" s="107"/>
      <c r="L751" s="16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  <c r="AD751" s="107"/>
      <c r="AE751" s="107"/>
      <c r="AF751" s="107"/>
      <c r="AG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56"/>
      <c r="J752" s="156"/>
      <c r="K752" s="107"/>
      <c r="L752" s="16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  <c r="AD752" s="107"/>
      <c r="AE752" s="107"/>
      <c r="AF752" s="107"/>
      <c r="AG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56"/>
      <c r="J753" s="156"/>
      <c r="K753" s="107"/>
      <c r="L753" s="16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  <c r="AD753" s="107"/>
      <c r="AE753" s="107"/>
      <c r="AF753" s="107"/>
      <c r="AG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56"/>
      <c r="J754" s="156"/>
      <c r="K754" s="107"/>
      <c r="L754" s="16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7"/>
      <c r="AF754" s="107"/>
      <c r="AG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56"/>
      <c r="J755" s="156"/>
      <c r="K755" s="107"/>
      <c r="L755" s="16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7"/>
      <c r="AF755" s="107"/>
      <c r="AG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56"/>
      <c r="J756" s="156"/>
      <c r="K756" s="107"/>
      <c r="L756" s="16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7"/>
      <c r="AF756" s="107"/>
      <c r="AG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56"/>
      <c r="J757" s="156"/>
      <c r="K757" s="107"/>
      <c r="L757" s="16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  <c r="AD757" s="107"/>
      <c r="AE757" s="107"/>
      <c r="AF757" s="107"/>
      <c r="AG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56"/>
      <c r="J758" s="156"/>
      <c r="K758" s="107"/>
      <c r="L758" s="16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  <c r="AD758" s="107"/>
      <c r="AE758" s="107"/>
      <c r="AF758" s="107"/>
      <c r="AG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56"/>
      <c r="J759" s="156"/>
      <c r="K759" s="107"/>
      <c r="L759" s="16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  <c r="AD759" s="107"/>
      <c r="AE759" s="107"/>
      <c r="AF759" s="107"/>
      <c r="AG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56"/>
      <c r="J760" s="156"/>
      <c r="K760" s="107"/>
      <c r="L760" s="16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  <c r="AD760" s="107"/>
      <c r="AE760" s="107"/>
      <c r="AF760" s="107"/>
      <c r="AG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56"/>
      <c r="J761" s="156"/>
      <c r="K761" s="107"/>
      <c r="L761" s="16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  <c r="AD761" s="107"/>
      <c r="AE761" s="107"/>
      <c r="AF761" s="107"/>
      <c r="AG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56"/>
      <c r="J762" s="156"/>
      <c r="K762" s="107"/>
      <c r="L762" s="16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  <c r="AD762" s="107"/>
      <c r="AE762" s="107"/>
      <c r="AF762" s="107"/>
      <c r="AG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56"/>
      <c r="J763" s="156"/>
      <c r="K763" s="107"/>
      <c r="L763" s="16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56"/>
      <c r="J764" s="156"/>
      <c r="K764" s="107"/>
      <c r="L764" s="16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  <c r="AD764" s="107"/>
      <c r="AE764" s="107"/>
      <c r="AF764" s="107"/>
      <c r="AG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56"/>
      <c r="J765" s="156"/>
      <c r="K765" s="107"/>
      <c r="L765" s="16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  <c r="AD765" s="107"/>
      <c r="AE765" s="107"/>
      <c r="AF765" s="107"/>
      <c r="AG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56"/>
      <c r="J766" s="156"/>
      <c r="K766" s="107"/>
      <c r="L766" s="16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  <c r="AD766" s="107"/>
      <c r="AE766" s="107"/>
      <c r="AF766" s="107"/>
      <c r="AG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56"/>
      <c r="J767" s="156"/>
      <c r="K767" s="107"/>
      <c r="L767" s="16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  <c r="AD767" s="107"/>
      <c r="AE767" s="107"/>
      <c r="AF767" s="107"/>
      <c r="AG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56"/>
      <c r="J768" s="156"/>
      <c r="K768" s="107"/>
      <c r="L768" s="16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  <c r="AD768" s="107"/>
      <c r="AE768" s="107"/>
      <c r="AF768" s="107"/>
      <c r="AG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56"/>
      <c r="J769" s="156"/>
      <c r="K769" s="107"/>
      <c r="L769" s="16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  <c r="AD769" s="107"/>
      <c r="AE769" s="107"/>
      <c r="AF769" s="107"/>
      <c r="AG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56"/>
      <c r="J770" s="156"/>
      <c r="K770" s="107"/>
      <c r="L770" s="16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  <c r="AD770" s="107"/>
      <c r="AE770" s="107"/>
      <c r="AF770" s="107"/>
      <c r="AG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56"/>
      <c r="J771" s="156"/>
      <c r="K771" s="107"/>
      <c r="L771" s="16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  <c r="AD771" s="107"/>
      <c r="AE771" s="107"/>
      <c r="AF771" s="107"/>
      <c r="AG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56"/>
      <c r="J772" s="156"/>
      <c r="K772" s="107"/>
      <c r="L772" s="16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  <c r="AD772" s="107"/>
      <c r="AE772" s="107"/>
      <c r="AF772" s="107"/>
      <c r="AG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56"/>
      <c r="J773" s="156"/>
      <c r="K773" s="107"/>
      <c r="L773" s="16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  <c r="AD773" s="107"/>
      <c r="AE773" s="107"/>
      <c r="AF773" s="107"/>
      <c r="AG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56"/>
      <c r="J774" s="156"/>
      <c r="K774" s="107"/>
      <c r="L774" s="16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  <c r="AD774" s="107"/>
      <c r="AE774" s="107"/>
      <c r="AF774" s="107"/>
      <c r="AG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56"/>
      <c r="J775" s="156"/>
      <c r="K775" s="107"/>
      <c r="L775" s="16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  <c r="AD775" s="107"/>
      <c r="AE775" s="107"/>
      <c r="AF775" s="107"/>
      <c r="AG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56"/>
      <c r="J776" s="156"/>
      <c r="K776" s="107"/>
      <c r="L776" s="16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  <c r="AD776" s="107"/>
      <c r="AE776" s="107"/>
      <c r="AF776" s="107"/>
      <c r="AG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56"/>
      <c r="J777" s="156"/>
      <c r="K777" s="107"/>
      <c r="L777" s="16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  <c r="AD777" s="107"/>
      <c r="AE777" s="107"/>
      <c r="AF777" s="107"/>
      <c r="AG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56"/>
      <c r="J778" s="156"/>
      <c r="K778" s="107"/>
      <c r="L778" s="16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  <c r="AD778" s="107"/>
      <c r="AE778" s="107"/>
      <c r="AF778" s="107"/>
      <c r="AG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56"/>
      <c r="J779" s="156"/>
      <c r="K779" s="107"/>
      <c r="L779" s="16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  <c r="AD779" s="107"/>
      <c r="AE779" s="107"/>
      <c r="AF779" s="107"/>
      <c r="AG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56"/>
      <c r="J780" s="156"/>
      <c r="K780" s="107"/>
      <c r="L780" s="16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  <c r="AD780" s="107"/>
      <c r="AE780" s="107"/>
      <c r="AF780" s="107"/>
      <c r="AG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56"/>
      <c r="J781" s="156"/>
      <c r="K781" s="107"/>
      <c r="L781" s="16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  <c r="AD781" s="107"/>
      <c r="AE781" s="107"/>
      <c r="AF781" s="107"/>
      <c r="AG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56"/>
      <c r="J782" s="156"/>
      <c r="K782" s="107"/>
      <c r="L782" s="16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  <c r="AD782" s="107"/>
      <c r="AE782" s="107"/>
      <c r="AF782" s="107"/>
      <c r="AG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56"/>
      <c r="J783" s="156"/>
      <c r="K783" s="107"/>
      <c r="L783" s="16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  <c r="AD783" s="107"/>
      <c r="AE783" s="107"/>
      <c r="AF783" s="107"/>
      <c r="AG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56"/>
      <c r="J784" s="156"/>
      <c r="K784" s="107"/>
      <c r="L784" s="16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  <c r="AD784" s="107"/>
      <c r="AE784" s="107"/>
      <c r="AF784" s="107"/>
      <c r="AG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56"/>
      <c r="J785" s="156"/>
      <c r="K785" s="107"/>
      <c r="L785" s="16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  <c r="AD785" s="107"/>
      <c r="AE785" s="107"/>
      <c r="AF785" s="107"/>
      <c r="AG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56"/>
      <c r="J786" s="156"/>
      <c r="K786" s="107"/>
      <c r="L786" s="16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  <c r="AD786" s="107"/>
      <c r="AE786" s="107"/>
      <c r="AF786" s="107"/>
      <c r="AG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56"/>
      <c r="J787" s="156"/>
      <c r="K787" s="107"/>
      <c r="L787" s="16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  <c r="AD787" s="107"/>
      <c r="AE787" s="107"/>
      <c r="AF787" s="107"/>
      <c r="AG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56"/>
      <c r="J788" s="156"/>
      <c r="K788" s="107"/>
      <c r="L788" s="16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  <c r="AD788" s="107"/>
      <c r="AE788" s="107"/>
      <c r="AF788" s="107"/>
      <c r="AG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56"/>
      <c r="J789" s="156"/>
      <c r="K789" s="107"/>
      <c r="L789" s="16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  <c r="AD789" s="107"/>
      <c r="AE789" s="107"/>
      <c r="AF789" s="107"/>
      <c r="AG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56"/>
      <c r="J790" s="156"/>
      <c r="K790" s="107"/>
      <c r="L790" s="16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  <c r="AD790" s="107"/>
      <c r="AE790" s="107"/>
      <c r="AF790" s="107"/>
      <c r="AG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56"/>
      <c r="J791" s="156"/>
      <c r="K791" s="107"/>
      <c r="L791" s="16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  <c r="AD791" s="107"/>
      <c r="AE791" s="107"/>
      <c r="AF791" s="107"/>
      <c r="AG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56"/>
      <c r="J792" s="156"/>
      <c r="K792" s="107"/>
      <c r="L792" s="16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  <c r="AD792" s="107"/>
      <c r="AE792" s="107"/>
      <c r="AF792" s="107"/>
      <c r="AG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56"/>
      <c r="J793" s="156"/>
      <c r="K793" s="107"/>
      <c r="L793" s="16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  <c r="AD793" s="107"/>
      <c r="AE793" s="107"/>
      <c r="AF793" s="107"/>
      <c r="AG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56"/>
      <c r="J794" s="156"/>
      <c r="K794" s="107"/>
      <c r="L794" s="16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  <c r="AD794" s="107"/>
      <c r="AE794" s="107"/>
      <c r="AF794" s="107"/>
      <c r="AG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56"/>
      <c r="J795" s="156"/>
      <c r="K795" s="107"/>
      <c r="L795" s="16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  <c r="AD795" s="107"/>
      <c r="AE795" s="107"/>
      <c r="AF795" s="107"/>
      <c r="AG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56"/>
      <c r="J796" s="156"/>
      <c r="K796" s="107"/>
      <c r="L796" s="16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  <c r="AD796" s="107"/>
      <c r="AE796" s="107"/>
      <c r="AF796" s="107"/>
      <c r="AG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56"/>
      <c r="J797" s="156"/>
      <c r="K797" s="107"/>
      <c r="L797" s="16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  <c r="AD797" s="107"/>
      <c r="AE797" s="107"/>
      <c r="AF797" s="107"/>
      <c r="AG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56"/>
      <c r="J798" s="156"/>
      <c r="K798" s="107"/>
      <c r="L798" s="16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  <c r="AD798" s="107"/>
      <c r="AE798" s="107"/>
      <c r="AF798" s="107"/>
      <c r="AG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56"/>
      <c r="J799" s="156"/>
      <c r="K799" s="107"/>
      <c r="L799" s="16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  <c r="AD799" s="107"/>
      <c r="AE799" s="107"/>
      <c r="AF799" s="107"/>
      <c r="AG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56"/>
      <c r="J800" s="156"/>
      <c r="K800" s="107"/>
      <c r="L800" s="16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  <c r="AD800" s="107"/>
      <c r="AE800" s="107"/>
      <c r="AF800" s="107"/>
      <c r="AG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56"/>
      <c r="J801" s="156"/>
      <c r="K801" s="107"/>
      <c r="L801" s="16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  <c r="AD801" s="107"/>
      <c r="AE801" s="107"/>
      <c r="AF801" s="107"/>
      <c r="AG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56"/>
      <c r="J802" s="156"/>
      <c r="K802" s="107"/>
      <c r="L802" s="16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  <c r="AD802" s="107"/>
      <c r="AE802" s="107"/>
      <c r="AF802" s="107"/>
      <c r="AG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56"/>
      <c r="J803" s="156"/>
      <c r="K803" s="107"/>
      <c r="L803" s="16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56"/>
      <c r="J804" s="156"/>
      <c r="K804" s="107"/>
      <c r="L804" s="16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7"/>
      <c r="AF804" s="107"/>
      <c r="AG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56"/>
      <c r="J805" s="156"/>
      <c r="K805" s="107"/>
      <c r="L805" s="16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7"/>
      <c r="AF805" s="107"/>
      <c r="AG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56"/>
      <c r="J806" s="156"/>
      <c r="K806" s="107"/>
      <c r="L806" s="16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  <c r="AD806" s="107"/>
      <c r="AE806" s="107"/>
      <c r="AF806" s="107"/>
      <c r="AG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56"/>
      <c r="J807" s="156"/>
      <c r="K807" s="107"/>
      <c r="L807" s="16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  <c r="AD807" s="107"/>
      <c r="AE807" s="107"/>
      <c r="AF807" s="107"/>
      <c r="AG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56"/>
      <c r="J808" s="156"/>
      <c r="K808" s="107"/>
      <c r="L808" s="16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  <c r="AD808" s="107"/>
      <c r="AE808" s="107"/>
      <c r="AF808" s="107"/>
      <c r="AG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56"/>
      <c r="J809" s="156"/>
      <c r="K809" s="107"/>
      <c r="L809" s="16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  <c r="AD809" s="107"/>
      <c r="AE809" s="107"/>
      <c r="AF809" s="107"/>
      <c r="AG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56"/>
      <c r="J810" s="156"/>
      <c r="K810" s="107"/>
      <c r="L810" s="16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  <c r="AD810" s="107"/>
      <c r="AE810" s="107"/>
      <c r="AF810" s="107"/>
      <c r="AG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56"/>
      <c r="J811" s="156"/>
      <c r="K811" s="107"/>
      <c r="L811" s="16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  <c r="AD811" s="107"/>
      <c r="AE811" s="107"/>
      <c r="AF811" s="107"/>
      <c r="AG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56"/>
      <c r="J812" s="156"/>
      <c r="K812" s="107"/>
      <c r="L812" s="16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  <c r="AD812" s="107"/>
      <c r="AE812" s="107"/>
      <c r="AF812" s="107"/>
      <c r="AG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56"/>
      <c r="J813" s="156"/>
      <c r="K813" s="107"/>
      <c r="L813" s="16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  <c r="AD813" s="107"/>
      <c r="AE813" s="107"/>
      <c r="AF813" s="107"/>
      <c r="AG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56"/>
      <c r="J814" s="156"/>
      <c r="K814" s="107"/>
      <c r="L814" s="16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  <c r="AD814" s="107"/>
      <c r="AE814" s="107"/>
      <c r="AF814" s="107"/>
      <c r="AG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56"/>
      <c r="J815" s="156"/>
      <c r="K815" s="107"/>
      <c r="L815" s="16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  <c r="AD815" s="107"/>
      <c r="AE815" s="107"/>
      <c r="AF815" s="107"/>
      <c r="AG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56"/>
      <c r="J816" s="156"/>
      <c r="K816" s="107"/>
      <c r="L816" s="16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  <c r="AD816" s="107"/>
      <c r="AE816" s="107"/>
      <c r="AF816" s="107"/>
      <c r="AG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56"/>
      <c r="J817" s="156"/>
      <c r="K817" s="107"/>
      <c r="L817" s="16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  <c r="AD817" s="107"/>
      <c r="AE817" s="107"/>
      <c r="AF817" s="107"/>
      <c r="AG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56"/>
      <c r="J818" s="156"/>
      <c r="K818" s="107"/>
      <c r="L818" s="16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  <c r="AD818" s="107"/>
      <c r="AE818" s="107"/>
      <c r="AF818" s="107"/>
      <c r="AG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56"/>
      <c r="J819" s="156"/>
      <c r="K819" s="107"/>
      <c r="L819" s="16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  <c r="AD819" s="107"/>
      <c r="AE819" s="107"/>
      <c r="AF819" s="107"/>
      <c r="AG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56"/>
      <c r="J820" s="156"/>
      <c r="K820" s="107"/>
      <c r="L820" s="16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  <c r="AD820" s="107"/>
      <c r="AE820" s="107"/>
      <c r="AF820" s="107"/>
      <c r="AG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56"/>
      <c r="J821" s="156"/>
      <c r="K821" s="107"/>
      <c r="L821" s="16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  <c r="AD821" s="107"/>
      <c r="AE821" s="107"/>
      <c r="AF821" s="107"/>
      <c r="AG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56"/>
      <c r="J822" s="156"/>
      <c r="K822" s="107"/>
      <c r="L822" s="16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  <c r="AD822" s="107"/>
      <c r="AE822" s="107"/>
      <c r="AF822" s="107"/>
      <c r="AG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56"/>
      <c r="J823" s="156"/>
      <c r="K823" s="107"/>
      <c r="L823" s="16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  <c r="AD823" s="107"/>
      <c r="AE823" s="107"/>
      <c r="AF823" s="107"/>
      <c r="AG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56"/>
      <c r="J824" s="156"/>
      <c r="K824" s="107"/>
      <c r="L824" s="16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  <c r="AD824" s="107"/>
      <c r="AE824" s="107"/>
      <c r="AF824" s="107"/>
      <c r="AG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56"/>
      <c r="J825" s="156"/>
      <c r="K825" s="107"/>
      <c r="L825" s="16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  <c r="AD825" s="107"/>
      <c r="AE825" s="107"/>
      <c r="AF825" s="107"/>
      <c r="AG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56"/>
      <c r="J826" s="156"/>
      <c r="K826" s="107"/>
      <c r="L826" s="16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  <c r="AD826" s="107"/>
      <c r="AE826" s="107"/>
      <c r="AF826" s="107"/>
      <c r="AG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56"/>
      <c r="J827" s="156"/>
      <c r="K827" s="107"/>
      <c r="L827" s="16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  <c r="AD827" s="107"/>
      <c r="AE827" s="107"/>
      <c r="AF827" s="107"/>
      <c r="AG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56"/>
      <c r="J828" s="156"/>
      <c r="K828" s="107"/>
      <c r="L828" s="16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  <c r="AD828" s="107"/>
      <c r="AE828" s="107"/>
      <c r="AF828" s="107"/>
      <c r="AG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56"/>
      <c r="J829" s="156"/>
      <c r="K829" s="107"/>
      <c r="L829" s="16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  <c r="AD829" s="107"/>
      <c r="AE829" s="107"/>
      <c r="AF829" s="107"/>
      <c r="AG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56"/>
      <c r="J830" s="156"/>
      <c r="K830" s="107"/>
      <c r="L830" s="16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  <c r="AD830" s="107"/>
      <c r="AE830" s="107"/>
      <c r="AF830" s="107"/>
      <c r="AG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56"/>
      <c r="J831" s="156"/>
      <c r="K831" s="107"/>
      <c r="L831" s="16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  <c r="AD831" s="107"/>
      <c r="AE831" s="107"/>
      <c r="AF831" s="107"/>
      <c r="AG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56"/>
      <c r="J832" s="156"/>
      <c r="K832" s="107"/>
      <c r="L832" s="16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  <c r="AD832" s="107"/>
      <c r="AE832" s="107"/>
      <c r="AF832" s="107"/>
      <c r="AG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56"/>
      <c r="J833" s="156"/>
      <c r="K833" s="107"/>
      <c r="L833" s="16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  <c r="AD833" s="107"/>
      <c r="AE833" s="107"/>
      <c r="AF833" s="107"/>
      <c r="AG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56"/>
      <c r="J834" s="156"/>
      <c r="K834" s="107"/>
      <c r="L834" s="16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  <c r="AD834" s="107"/>
      <c r="AE834" s="107"/>
      <c r="AF834" s="107"/>
      <c r="AG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56"/>
      <c r="J835" s="156"/>
      <c r="K835" s="107"/>
      <c r="L835" s="16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  <c r="AD835" s="107"/>
      <c r="AE835" s="107"/>
      <c r="AF835" s="107"/>
      <c r="AG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56"/>
      <c r="J836" s="156"/>
      <c r="K836" s="107"/>
      <c r="L836" s="16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  <c r="AD836" s="107"/>
      <c r="AE836" s="107"/>
      <c r="AF836" s="107"/>
      <c r="AG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56"/>
      <c r="J837" s="156"/>
      <c r="K837" s="107"/>
      <c r="L837" s="16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  <c r="AD837" s="107"/>
      <c r="AE837" s="107"/>
      <c r="AF837" s="107"/>
      <c r="AG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56"/>
      <c r="J838" s="156"/>
      <c r="K838" s="107"/>
      <c r="L838" s="16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  <c r="AD838" s="107"/>
      <c r="AE838" s="107"/>
      <c r="AF838" s="107"/>
      <c r="AG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56"/>
      <c r="J839" s="156"/>
      <c r="K839" s="107"/>
      <c r="L839" s="16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  <c r="AD839" s="107"/>
      <c r="AE839" s="107"/>
      <c r="AF839" s="107"/>
      <c r="AG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56"/>
      <c r="J840" s="156"/>
      <c r="K840" s="107"/>
      <c r="L840" s="16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  <c r="AD840" s="107"/>
      <c r="AE840" s="107"/>
      <c r="AF840" s="107"/>
      <c r="AG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56"/>
      <c r="J841" s="156"/>
      <c r="K841" s="107"/>
      <c r="L841" s="16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  <c r="AD841" s="107"/>
      <c r="AE841" s="107"/>
      <c r="AF841" s="107"/>
      <c r="AG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56"/>
      <c r="J842" s="156"/>
      <c r="K842" s="107"/>
      <c r="L842" s="16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  <c r="AD842" s="107"/>
      <c r="AE842" s="107"/>
      <c r="AF842" s="107"/>
      <c r="AG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56"/>
      <c r="J843" s="156"/>
      <c r="K843" s="107"/>
      <c r="L843" s="16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56"/>
      <c r="J844" s="156"/>
      <c r="K844" s="107"/>
      <c r="L844" s="16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  <c r="AD844" s="107"/>
      <c r="AE844" s="107"/>
      <c r="AF844" s="107"/>
      <c r="AG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56"/>
      <c r="J845" s="156"/>
      <c r="K845" s="107"/>
      <c r="L845" s="16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  <c r="AD845" s="107"/>
      <c r="AE845" s="107"/>
      <c r="AF845" s="107"/>
      <c r="AG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56"/>
      <c r="J846" s="156"/>
      <c r="K846" s="107"/>
      <c r="L846" s="16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  <c r="AD846" s="107"/>
      <c r="AE846" s="107"/>
      <c r="AF846" s="107"/>
      <c r="AG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56"/>
      <c r="J847" s="156"/>
      <c r="K847" s="107"/>
      <c r="L847" s="16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  <c r="AD847" s="107"/>
      <c r="AE847" s="107"/>
      <c r="AF847" s="107"/>
      <c r="AG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56"/>
      <c r="J848" s="156"/>
      <c r="K848" s="107"/>
      <c r="L848" s="16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  <c r="AD848" s="107"/>
      <c r="AE848" s="107"/>
      <c r="AF848" s="107"/>
      <c r="AG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56"/>
      <c r="J849" s="156"/>
      <c r="K849" s="107"/>
      <c r="L849" s="16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  <c r="AD849" s="107"/>
      <c r="AE849" s="107"/>
      <c r="AF849" s="107"/>
      <c r="AG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56"/>
      <c r="J850" s="156"/>
      <c r="K850" s="107"/>
      <c r="L850" s="16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  <c r="AD850" s="107"/>
      <c r="AE850" s="107"/>
      <c r="AF850" s="107"/>
      <c r="AG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56"/>
      <c r="J851" s="156"/>
      <c r="K851" s="107"/>
      <c r="L851" s="16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  <c r="AD851" s="107"/>
      <c r="AE851" s="107"/>
      <c r="AF851" s="107"/>
      <c r="AG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56"/>
      <c r="J852" s="156"/>
      <c r="K852" s="107"/>
      <c r="L852" s="16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7"/>
      <c r="AF852" s="107"/>
      <c r="AG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56"/>
      <c r="J853" s="156"/>
      <c r="K853" s="107"/>
      <c r="L853" s="16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7"/>
      <c r="AF853" s="107"/>
      <c r="AG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56"/>
      <c r="J854" s="156"/>
      <c r="K854" s="107"/>
      <c r="L854" s="16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7"/>
      <c r="AF854" s="107"/>
      <c r="AG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56"/>
      <c r="J855" s="156"/>
      <c r="K855" s="107"/>
      <c r="L855" s="16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  <c r="AD855" s="107"/>
      <c r="AE855" s="107"/>
      <c r="AF855" s="107"/>
      <c r="AG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56"/>
      <c r="J856" s="156"/>
      <c r="K856" s="107"/>
      <c r="L856" s="16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  <c r="AD856" s="107"/>
      <c r="AE856" s="107"/>
      <c r="AF856" s="107"/>
      <c r="AG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56"/>
      <c r="J857" s="156"/>
      <c r="K857" s="107"/>
      <c r="L857" s="16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  <c r="AD857" s="107"/>
      <c r="AE857" s="107"/>
      <c r="AF857" s="107"/>
      <c r="AG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56"/>
      <c r="J858" s="156"/>
      <c r="K858" s="107"/>
      <c r="L858" s="16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  <c r="AD858" s="107"/>
      <c r="AE858" s="107"/>
      <c r="AF858" s="107"/>
      <c r="AG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56"/>
      <c r="J859" s="156"/>
      <c r="K859" s="107"/>
      <c r="L859" s="16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  <c r="AD859" s="107"/>
      <c r="AE859" s="107"/>
      <c r="AF859" s="107"/>
      <c r="AG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56"/>
      <c r="J860" s="156"/>
      <c r="K860" s="107"/>
      <c r="L860" s="16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  <c r="AD860" s="107"/>
      <c r="AE860" s="107"/>
      <c r="AF860" s="107"/>
      <c r="AG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56"/>
      <c r="J861" s="156"/>
      <c r="K861" s="107"/>
      <c r="L861" s="16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  <c r="AD861" s="107"/>
      <c r="AE861" s="107"/>
      <c r="AF861" s="107"/>
      <c r="AG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56"/>
      <c r="J862" s="156"/>
      <c r="K862" s="107"/>
      <c r="L862" s="16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  <c r="AD862" s="107"/>
      <c r="AE862" s="107"/>
      <c r="AF862" s="107"/>
      <c r="AG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56"/>
      <c r="J863" s="156"/>
      <c r="K863" s="107"/>
      <c r="L863" s="16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  <c r="AD863" s="107"/>
      <c r="AE863" s="107"/>
      <c r="AF863" s="107"/>
      <c r="AG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56"/>
      <c r="J864" s="156"/>
      <c r="K864" s="107"/>
      <c r="L864" s="16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  <c r="AD864" s="107"/>
      <c r="AE864" s="107"/>
      <c r="AF864" s="107"/>
      <c r="AG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56"/>
      <c r="J865" s="156"/>
      <c r="K865" s="107"/>
      <c r="L865" s="16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  <c r="AD865" s="107"/>
      <c r="AE865" s="107"/>
      <c r="AF865" s="107"/>
      <c r="AG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56"/>
      <c r="J866" s="156"/>
      <c r="K866" s="107"/>
      <c r="L866" s="16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  <c r="AD866" s="107"/>
      <c r="AE866" s="107"/>
      <c r="AF866" s="107"/>
      <c r="AG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56"/>
      <c r="J867" s="156"/>
      <c r="K867" s="107"/>
      <c r="L867" s="16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  <c r="AD867" s="107"/>
      <c r="AE867" s="107"/>
      <c r="AF867" s="107"/>
      <c r="AG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56"/>
      <c r="J868" s="156"/>
      <c r="K868" s="107"/>
      <c r="L868" s="16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  <c r="AD868" s="107"/>
      <c r="AE868" s="107"/>
      <c r="AF868" s="107"/>
      <c r="AG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56"/>
      <c r="J869" s="156"/>
      <c r="K869" s="107"/>
      <c r="L869" s="16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  <c r="AD869" s="107"/>
      <c r="AE869" s="107"/>
      <c r="AF869" s="107"/>
      <c r="AG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56"/>
      <c r="J870" s="156"/>
      <c r="K870" s="107"/>
      <c r="L870" s="16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  <c r="AD870" s="107"/>
      <c r="AE870" s="107"/>
      <c r="AF870" s="107"/>
      <c r="AG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56"/>
      <c r="J871" s="156"/>
      <c r="K871" s="107"/>
      <c r="L871" s="16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  <c r="AD871" s="107"/>
      <c r="AE871" s="107"/>
      <c r="AF871" s="107"/>
      <c r="AG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56"/>
      <c r="J872" s="156"/>
      <c r="K872" s="107"/>
      <c r="L872" s="16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  <c r="AD872" s="107"/>
      <c r="AE872" s="107"/>
      <c r="AF872" s="107"/>
      <c r="AG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56"/>
      <c r="J873" s="156"/>
      <c r="K873" s="107"/>
      <c r="L873" s="16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  <c r="AD873" s="107"/>
      <c r="AE873" s="107"/>
      <c r="AF873" s="107"/>
      <c r="AG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56"/>
      <c r="J874" s="156"/>
      <c r="K874" s="107"/>
      <c r="L874" s="16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  <c r="AD874" s="107"/>
      <c r="AE874" s="107"/>
      <c r="AF874" s="107"/>
      <c r="AG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56"/>
      <c r="J875" s="156"/>
      <c r="K875" s="107"/>
      <c r="L875" s="16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  <c r="AD875" s="107"/>
      <c r="AE875" s="107"/>
      <c r="AF875" s="107"/>
      <c r="AG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56"/>
      <c r="J876" s="156"/>
      <c r="K876" s="107"/>
      <c r="L876" s="16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  <c r="AD876" s="107"/>
      <c r="AE876" s="107"/>
      <c r="AF876" s="107"/>
      <c r="AG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56"/>
      <c r="J877" s="156"/>
      <c r="K877" s="107"/>
      <c r="L877" s="16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  <c r="AD877" s="107"/>
      <c r="AE877" s="107"/>
      <c r="AF877" s="107"/>
      <c r="AG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56"/>
      <c r="J878" s="156"/>
      <c r="K878" s="107"/>
      <c r="L878" s="16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  <c r="AD878" s="107"/>
      <c r="AE878" s="107"/>
      <c r="AF878" s="107"/>
      <c r="AG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56"/>
      <c r="J879" s="156"/>
      <c r="K879" s="107"/>
      <c r="L879" s="16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  <c r="AD879" s="107"/>
      <c r="AE879" s="107"/>
      <c r="AF879" s="107"/>
      <c r="AG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56"/>
      <c r="J880" s="156"/>
      <c r="K880" s="107"/>
      <c r="L880" s="16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  <c r="AD880" s="107"/>
      <c r="AE880" s="107"/>
      <c r="AF880" s="107"/>
      <c r="AG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56"/>
      <c r="J881" s="156"/>
      <c r="K881" s="107"/>
      <c r="L881" s="16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  <c r="AD881" s="107"/>
      <c r="AE881" s="107"/>
      <c r="AF881" s="107"/>
      <c r="AG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56"/>
      <c r="J882" s="156"/>
      <c r="K882" s="107"/>
      <c r="L882" s="16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  <c r="AD882" s="107"/>
      <c r="AE882" s="107"/>
      <c r="AF882" s="107"/>
      <c r="AG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56"/>
      <c r="J883" s="156"/>
      <c r="K883" s="107"/>
      <c r="L883" s="16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56"/>
      <c r="J884" s="156"/>
      <c r="K884" s="107"/>
      <c r="L884" s="16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  <c r="AD884" s="107"/>
      <c r="AE884" s="107"/>
      <c r="AF884" s="107"/>
      <c r="AG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56"/>
      <c r="J885" s="156"/>
      <c r="K885" s="107"/>
      <c r="L885" s="16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  <c r="AD885" s="107"/>
      <c r="AE885" s="107"/>
      <c r="AF885" s="107"/>
      <c r="AG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56"/>
      <c r="J886" s="156"/>
      <c r="K886" s="107"/>
      <c r="L886" s="16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  <c r="AD886" s="107"/>
      <c r="AE886" s="107"/>
      <c r="AF886" s="107"/>
      <c r="AG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56"/>
      <c r="J887" s="156"/>
      <c r="K887" s="107"/>
      <c r="L887" s="16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  <c r="AD887" s="107"/>
      <c r="AE887" s="107"/>
      <c r="AF887" s="107"/>
      <c r="AG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56"/>
      <c r="J888" s="156"/>
      <c r="K888" s="107"/>
      <c r="L888" s="16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  <c r="AD888" s="107"/>
      <c r="AE888" s="107"/>
      <c r="AF888" s="107"/>
      <c r="AG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56"/>
      <c r="J889" s="156"/>
      <c r="K889" s="107"/>
      <c r="L889" s="16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  <c r="AD889" s="107"/>
      <c r="AE889" s="107"/>
      <c r="AF889" s="107"/>
      <c r="AG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56"/>
      <c r="J890" s="156"/>
      <c r="K890" s="107"/>
      <c r="L890" s="16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  <c r="AD890" s="107"/>
      <c r="AE890" s="107"/>
      <c r="AF890" s="107"/>
      <c r="AG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56"/>
      <c r="J891" s="156"/>
      <c r="K891" s="107"/>
      <c r="L891" s="16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  <c r="AD891" s="107"/>
      <c r="AE891" s="107"/>
      <c r="AF891" s="107"/>
      <c r="AG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56"/>
      <c r="J892" s="156"/>
      <c r="K892" s="107"/>
      <c r="L892" s="16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  <c r="AD892" s="107"/>
      <c r="AE892" s="107"/>
      <c r="AF892" s="107"/>
      <c r="AG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56"/>
      <c r="J893" s="156"/>
      <c r="K893" s="107"/>
      <c r="L893" s="16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  <c r="AD893" s="107"/>
      <c r="AE893" s="107"/>
      <c r="AF893" s="107"/>
      <c r="AG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56"/>
      <c r="J894" s="156"/>
      <c r="K894" s="107"/>
      <c r="L894" s="16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  <c r="AD894" s="107"/>
      <c r="AE894" s="107"/>
      <c r="AF894" s="107"/>
      <c r="AG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56"/>
      <c r="J895" s="156"/>
      <c r="K895" s="107"/>
      <c r="L895" s="16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  <c r="AD895" s="107"/>
      <c r="AE895" s="107"/>
      <c r="AF895" s="107"/>
      <c r="AG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56"/>
      <c r="J896" s="156"/>
      <c r="K896" s="107"/>
      <c r="L896" s="16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  <c r="AD896" s="107"/>
      <c r="AE896" s="107"/>
      <c r="AF896" s="107"/>
      <c r="AG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56"/>
      <c r="J897" s="156"/>
      <c r="K897" s="107"/>
      <c r="L897" s="16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07"/>
      <c r="AF897" s="107"/>
      <c r="AG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56"/>
      <c r="J898" s="156"/>
      <c r="K898" s="107"/>
      <c r="L898" s="16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07"/>
      <c r="AF898" s="107"/>
      <c r="AG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56"/>
      <c r="J899" s="156"/>
      <c r="K899" s="107"/>
      <c r="L899" s="16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07"/>
      <c r="AF899" s="107"/>
      <c r="AG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56"/>
      <c r="J900" s="156"/>
      <c r="K900" s="107"/>
      <c r="L900" s="16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  <c r="AD900" s="107"/>
      <c r="AE900" s="107"/>
      <c r="AF900" s="107"/>
      <c r="AG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56"/>
      <c r="J901" s="156"/>
      <c r="K901" s="107"/>
      <c r="L901" s="16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7"/>
      <c r="AF901" s="107"/>
      <c r="AG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56"/>
      <c r="J902" s="156"/>
      <c r="K902" s="107"/>
      <c r="L902" s="16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7"/>
      <c r="AF902" s="107"/>
      <c r="AG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56"/>
      <c r="J903" s="156"/>
      <c r="K903" s="107"/>
      <c r="L903" s="16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7"/>
      <c r="AF903" s="107"/>
      <c r="AG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56"/>
      <c r="J904" s="156"/>
      <c r="K904" s="107"/>
      <c r="L904" s="16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  <c r="AD904" s="107"/>
      <c r="AE904" s="107"/>
      <c r="AF904" s="107"/>
      <c r="AG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56"/>
      <c r="J905" s="156"/>
      <c r="K905" s="107"/>
      <c r="L905" s="16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  <c r="AD905" s="107"/>
      <c r="AE905" s="107"/>
      <c r="AF905" s="107"/>
      <c r="AG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56"/>
      <c r="J906" s="156"/>
      <c r="K906" s="107"/>
      <c r="L906" s="16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  <c r="AD906" s="107"/>
      <c r="AE906" s="107"/>
      <c r="AF906" s="107"/>
      <c r="AG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56"/>
      <c r="J907" s="156"/>
      <c r="K907" s="107"/>
      <c r="L907" s="16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  <c r="AD907" s="107"/>
      <c r="AE907" s="107"/>
      <c r="AF907" s="107"/>
      <c r="AG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56"/>
      <c r="J908" s="156"/>
      <c r="K908" s="107"/>
      <c r="L908" s="16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  <c r="AD908" s="107"/>
      <c r="AE908" s="107"/>
      <c r="AF908" s="107"/>
      <c r="AG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56"/>
      <c r="J909" s="156"/>
      <c r="K909" s="107"/>
      <c r="L909" s="16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  <c r="AD909" s="107"/>
      <c r="AE909" s="107"/>
      <c r="AF909" s="107"/>
      <c r="AG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56"/>
      <c r="J910" s="156"/>
      <c r="K910" s="107"/>
      <c r="L910" s="16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  <c r="AD910" s="107"/>
      <c r="AE910" s="107"/>
      <c r="AF910" s="107"/>
      <c r="AG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56"/>
      <c r="J911" s="156"/>
      <c r="K911" s="107"/>
      <c r="L911" s="16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  <c r="AD911" s="107"/>
      <c r="AE911" s="107"/>
      <c r="AF911" s="107"/>
      <c r="AG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56"/>
      <c r="J912" s="156"/>
      <c r="K912" s="107"/>
      <c r="L912" s="16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  <c r="AD912" s="107"/>
      <c r="AE912" s="107"/>
      <c r="AF912" s="107"/>
      <c r="AG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56"/>
      <c r="J913" s="156"/>
      <c r="K913" s="107"/>
      <c r="L913" s="16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  <c r="AD913" s="107"/>
      <c r="AE913" s="107"/>
      <c r="AF913" s="107"/>
      <c r="AG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56"/>
      <c r="J914" s="156"/>
      <c r="K914" s="107"/>
      <c r="L914" s="16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  <c r="AD914" s="107"/>
      <c r="AE914" s="107"/>
      <c r="AF914" s="107"/>
      <c r="AG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56"/>
      <c r="J915" s="156"/>
      <c r="K915" s="107"/>
      <c r="L915" s="16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  <c r="AD915" s="107"/>
      <c r="AE915" s="107"/>
      <c r="AF915" s="107"/>
      <c r="AG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56"/>
      <c r="J916" s="156"/>
      <c r="K916" s="107"/>
      <c r="L916" s="16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  <c r="AD916" s="107"/>
      <c r="AE916" s="107"/>
      <c r="AF916" s="107"/>
      <c r="AG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56"/>
      <c r="J917" s="156"/>
      <c r="K917" s="107"/>
      <c r="L917" s="16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  <c r="AD917" s="107"/>
      <c r="AE917" s="107"/>
      <c r="AF917" s="107"/>
      <c r="AG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56"/>
      <c r="J918" s="156"/>
      <c r="K918" s="107"/>
      <c r="L918" s="16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  <c r="AD918" s="107"/>
      <c r="AE918" s="107"/>
      <c r="AF918" s="107"/>
      <c r="AG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56"/>
      <c r="J919" s="156"/>
      <c r="K919" s="107"/>
      <c r="L919" s="16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  <c r="AD919" s="107"/>
      <c r="AE919" s="107"/>
      <c r="AF919" s="107"/>
      <c r="AG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56"/>
      <c r="J920" s="156"/>
      <c r="K920" s="107"/>
      <c r="L920" s="16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  <c r="AD920" s="107"/>
      <c r="AE920" s="107"/>
      <c r="AF920" s="107"/>
      <c r="AG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56"/>
      <c r="J921" s="156"/>
      <c r="K921" s="107"/>
      <c r="L921" s="16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  <c r="AD921" s="107"/>
      <c r="AE921" s="107"/>
      <c r="AF921" s="107"/>
      <c r="AG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56"/>
      <c r="J922" s="156"/>
      <c r="K922" s="107"/>
      <c r="L922" s="16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  <c r="AD922" s="107"/>
      <c r="AE922" s="107"/>
      <c r="AF922" s="107"/>
      <c r="AG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56"/>
      <c r="J923" s="156"/>
      <c r="K923" s="107"/>
      <c r="L923" s="16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  <c r="AD923" s="107"/>
      <c r="AE923" s="107"/>
      <c r="AF923" s="107"/>
      <c r="AG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56"/>
      <c r="J924" s="156"/>
      <c r="K924" s="107"/>
      <c r="L924" s="16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  <c r="AD924" s="107"/>
      <c r="AE924" s="107"/>
      <c r="AF924" s="107"/>
      <c r="AG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56"/>
      <c r="J925" s="156"/>
      <c r="K925" s="107"/>
      <c r="L925" s="16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  <c r="AD925" s="107"/>
      <c r="AE925" s="107"/>
      <c r="AF925" s="107"/>
      <c r="AG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56"/>
      <c r="J926" s="156"/>
      <c r="K926" s="107"/>
      <c r="L926" s="16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  <c r="AD926" s="107"/>
      <c r="AE926" s="107"/>
      <c r="AF926" s="107"/>
      <c r="AG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56"/>
      <c r="J927" s="156"/>
      <c r="K927" s="107"/>
      <c r="L927" s="16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  <c r="AD927" s="107"/>
      <c r="AE927" s="107"/>
      <c r="AF927" s="107"/>
      <c r="AG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56"/>
      <c r="J928" s="156"/>
      <c r="K928" s="107"/>
      <c r="L928" s="16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  <c r="AD928" s="107"/>
      <c r="AE928" s="107"/>
      <c r="AF928" s="107"/>
      <c r="AG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56"/>
      <c r="J929" s="156"/>
      <c r="K929" s="107"/>
      <c r="L929" s="16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  <c r="AD929" s="107"/>
      <c r="AE929" s="107"/>
      <c r="AF929" s="107"/>
      <c r="AG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56"/>
      <c r="J930" s="156"/>
      <c r="K930" s="107"/>
      <c r="L930" s="16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  <c r="AD930" s="107"/>
      <c r="AE930" s="107"/>
      <c r="AF930" s="107"/>
      <c r="AG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56"/>
      <c r="J931" s="156"/>
      <c r="K931" s="107"/>
      <c r="L931" s="16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  <c r="AD931" s="107"/>
      <c r="AE931" s="107"/>
      <c r="AF931" s="107"/>
      <c r="AG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56"/>
      <c r="J932" s="156"/>
      <c r="K932" s="107"/>
      <c r="L932" s="16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  <c r="AD932" s="107"/>
      <c r="AE932" s="107"/>
      <c r="AF932" s="107"/>
      <c r="AG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56"/>
      <c r="J933" s="156"/>
      <c r="K933" s="107"/>
      <c r="L933" s="16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  <c r="AD933" s="107"/>
      <c r="AE933" s="107"/>
      <c r="AF933" s="107"/>
      <c r="AG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56"/>
      <c r="J934" s="156"/>
      <c r="K934" s="107"/>
      <c r="L934" s="16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  <c r="AD934" s="107"/>
      <c r="AE934" s="107"/>
      <c r="AF934" s="107"/>
      <c r="AG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56"/>
      <c r="J935" s="156"/>
      <c r="K935" s="107"/>
      <c r="L935" s="16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  <c r="AD935" s="107"/>
      <c r="AE935" s="107"/>
      <c r="AF935" s="107"/>
      <c r="AG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56"/>
      <c r="J936" s="156"/>
      <c r="K936" s="107"/>
      <c r="L936" s="16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  <c r="AD936" s="107"/>
      <c r="AE936" s="107"/>
      <c r="AF936" s="107"/>
      <c r="AG936" s="107"/>
    </row>
    <row r="937">
      <c r="A937" s="107"/>
      <c r="B937" s="107"/>
      <c r="C937" s="165"/>
      <c r="D937" s="165"/>
      <c r="E937" s="165"/>
      <c r="F937" s="165"/>
      <c r="G937" s="165"/>
      <c r="H937" s="165"/>
      <c r="I937" s="166"/>
      <c r="J937" s="166"/>
      <c r="K937" s="165"/>
      <c r="L937" s="16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  <c r="AA937" s="165"/>
      <c r="AB937" s="165"/>
      <c r="AC937" s="165"/>
      <c r="AD937" s="165"/>
      <c r="AE937" s="165"/>
      <c r="AF937" s="165"/>
      <c r="AG937" s="165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