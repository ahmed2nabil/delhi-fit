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<sst xmlns="http://schemas.openxmlformats.org/spreadsheetml/2006/main" count="784" uniqueCount="127">
  <si>
    <t>الاسبوع 1</t>
  </si>
  <si>
    <t>الاسبوع 2</t>
  </si>
  <si>
    <t>الاسبوع 3</t>
  </si>
  <si>
    <t>الاسبوع 4</t>
  </si>
  <si>
    <t>اليوم 1- جزء سفلي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</si>
  <si>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</si>
  <si>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</si>
  <si>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</si>
  <si>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</si>
  <si>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</si>
  <si>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</si>
  <si>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</si>
  <si>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</si>
  <si>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</si>
  <si>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Hack Squats</t>
  </si>
  <si>
    <t>Hip Thrusts</t>
  </si>
  <si>
    <t>8--10</t>
  </si>
  <si>
    <t>تركيز علي المؤخره</t>
  </si>
  <si>
    <t>Leg Extensions</t>
  </si>
  <si>
    <t>ثبات ثانية بالاعلى والنزول على ثانيتين</t>
  </si>
  <si>
    <t>Laying Leg Curls</t>
  </si>
  <si>
    <t>Seated Calf raises</t>
  </si>
  <si>
    <t>اليوم 2- دفع</t>
  </si>
  <si>
    <t>الاحد</t>
  </si>
  <si>
    <t>Dumbbell Press</t>
  </si>
  <si>
    <t>Machine Incline Press</t>
  </si>
  <si>
    <t>Lateral Raise</t>
  </si>
  <si>
    <t>Triceps Push Downs</t>
  </si>
  <si>
    <t>Modified crunches</t>
  </si>
  <si>
    <t xml:space="preserve">سوي اول تمرين يظهر لك </t>
  </si>
  <si>
    <t>اليوم 3- سحب</t>
  </si>
  <si>
    <t>الاثنين</t>
  </si>
  <si>
    <t>Lats  Pulldown</t>
  </si>
  <si>
    <t>Hammer strength plate loaded lat row</t>
  </si>
  <si>
    <t>Seated Cable Rows</t>
  </si>
  <si>
    <t>Cable EZ Bar Curl</t>
  </si>
  <si>
    <t>النزول على ثانيتين</t>
  </si>
  <si>
    <t>Machine Rear delts</t>
  </si>
  <si>
    <t>يوم راحة</t>
  </si>
  <si>
    <t xml:space="preserve">اليوم 3- جزء سفلي </t>
  </si>
  <si>
    <t>الاربعاء</t>
  </si>
  <si>
    <t>Leg press 45 Degrees</t>
  </si>
  <si>
    <t>45 Degrees Glute Extensions</t>
  </si>
  <si>
    <t>Standing calves raises</t>
  </si>
  <si>
    <t>STANDING CABLE ROTATION</t>
  </si>
  <si>
    <t>اليوم 4- جزء علوي</t>
  </si>
  <si>
    <t>الخميس</t>
  </si>
  <si>
    <t>Incline Dumbbell Press</t>
  </si>
  <si>
    <t>Seated row upperback maggrip</t>
  </si>
  <si>
    <t>Single Arm Lateral raises</t>
  </si>
  <si>
    <t>Dumbbell Curls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</si>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</sst>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8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libri"/>
    </font>
    <font>
      <sz val="11.0"/>
      <color theme="1"/>
      <name val="Arial"/>
    </font>
    <font>
      <sz val="11.0"/>
      <color rgb="FFFFFFFF"/>
      <name val="Cairo"/>
    </font>
    <font>
      <sz val="11.0"/>
      <color rgb="FF434343"/>
      <name val="Cairo"/>
    </font>
    <font>
      <sz val="18.0"/>
      <color rgb="FFFFFFFF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9" fillId="2" fontId="17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/>
    </xf>
    <xf borderId="9" fillId="0" fontId="18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19" numFmtId="0" xfId="0" applyAlignment="1" applyBorder="1" applyFont="1">
      <alignment horizont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0" fillId="0" fontId="9" numFmtId="0" xfId="0" applyFont="1"/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9" numFmtId="0" xfId="0" applyBorder="1" applyFont="1"/>
    <xf borderId="0" fillId="2" fontId="9" numFmtId="0" xfId="0" applyFont="1"/>
    <xf borderId="4" fillId="4" fontId="10" numFmtId="0" xfId="0" applyAlignment="1" applyBorder="1" applyFont="1">
      <alignment horizontal="center" readingOrder="0"/>
    </xf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14" numFmtId="0" xfId="0" applyAlignment="1" applyFont="1">
      <alignment horizontal="center"/>
    </xf>
    <xf borderId="0" fillId="2" fontId="9" numFmtId="0" xfId="0" applyFont="1"/>
    <xf borderId="9" fillId="6" fontId="14" numFmtId="0" xfId="0" applyAlignment="1" applyBorder="1" applyFont="1">
      <alignment horizontal="center" readingOrder="0"/>
    </xf>
    <xf borderId="4" fillId="6" fontId="14" numFmtId="0" xfId="0" applyAlignment="1" applyBorder="1" applyFont="1">
      <alignment horizontal="center"/>
    </xf>
    <xf borderId="4" fillId="7" fontId="1" numFmtId="0" xfId="0" applyAlignment="1" applyBorder="1" applyFont="1">
      <alignment horizontal="center"/>
    </xf>
    <xf borderId="9" fillId="0" fontId="20" numFmtId="0" xfId="0" applyAlignment="1" applyBorder="1" applyFont="1">
      <alignment horizontal="center"/>
    </xf>
    <xf borderId="4" fillId="7" fontId="21" numFmtId="0" xfId="0" applyAlignment="1" applyBorder="1" applyFont="1">
      <alignment horizontal="center" readingOrder="0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22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0" fillId="2" fontId="23" numFmtId="0" xfId="0" applyAlignment="1" applyFont="1">
      <alignment horizontal="center" vertical="center"/>
    </xf>
    <xf borderId="0" fillId="2" fontId="24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readingOrder="0" shrinkToFit="0" vertical="center" wrapText="0"/>
    </xf>
    <xf borderId="15" fillId="2" fontId="22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2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36" numFmtId="166" xfId="0" applyAlignment="1" applyFont="1" applyNumberFormat="1">
      <alignment horizontal="center" readingOrder="0" vertical="center"/>
    </xf>
    <xf borderId="0" fillId="2" fontId="9" numFmtId="166" xfId="0" applyFont="1" applyNumberFormat="1"/>
    <xf borderId="0" fillId="0" fontId="9" numFmtId="0" xfId="0" applyFont="1"/>
    <xf borderId="0" fillId="2" fontId="36" numFmtId="166" xfId="0" applyAlignment="1" applyFont="1" applyNumberFormat="1">
      <alignment horizontal="center" readingOrder="2" vertical="center"/>
    </xf>
    <xf borderId="4" fillId="2" fontId="37" numFmtId="0" xfId="0" applyAlignment="1" applyBorder="1" applyFont="1">
      <alignment horizontal="center" vertical="bottom"/>
    </xf>
    <xf borderId="0" fillId="2" fontId="9" numFmtId="0" xfId="0" applyFont="1"/>
    <xf borderId="0" fillId="2" fontId="38" numFmtId="166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2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4" fillId="3" fontId="39" numFmtId="0" xfId="0" applyAlignment="1" applyBorder="1" applyFont="1">
      <alignment horizontal="center" readingOrder="0" vertical="center"/>
    </xf>
    <xf borderId="9" fillId="8" fontId="38" numFmtId="0" xfId="0" applyAlignment="1" applyBorder="1" applyFill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3" fontId="41" numFmtId="0" xfId="0" applyAlignment="1" applyBorder="1" applyFont="1">
      <alignment horizontal="center" readingOrder="1" shrinkToFit="0" vertical="center" wrapText="0"/>
    </xf>
    <xf borderId="9" fillId="3" fontId="42" numFmtId="0" xfId="0" applyAlignment="1" applyBorder="1" applyFont="1">
      <alignment horizontal="center" readingOrder="0" vertical="center"/>
    </xf>
    <xf borderId="9" fillId="3" fontId="43" numFmtId="0" xfId="0" applyAlignment="1" applyBorder="1" applyFont="1">
      <alignment horizontal="center" vertical="center"/>
    </xf>
    <xf borderId="0" fillId="2" fontId="33" numFmtId="0" xfId="0" applyAlignment="1" applyFont="1">
      <alignment horizontal="center" readingOrder="2" vertical="center"/>
    </xf>
    <xf borderId="9" fillId="3" fontId="43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4" fillId="3" fontId="43" numFmtId="0" xfId="0" applyAlignment="1" applyBorder="1" applyFont="1">
      <alignment horizontal="center"/>
    </xf>
    <xf borderId="9" fillId="8" fontId="44" numFmtId="0" xfId="0" applyAlignment="1" applyBorder="1" applyFont="1">
      <alignment horizontal="center" readingOrder="0" vertical="center"/>
    </xf>
    <xf borderId="9" fillId="0" fontId="45" numFmtId="16" xfId="0" applyAlignment="1" applyBorder="1" applyFont="1" applyNumberFormat="1">
      <alignment horizontal="center" vertical="center"/>
    </xf>
    <xf borderId="9" fillId="2" fontId="32" numFmtId="0" xfId="0" applyAlignment="1" applyBorder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 vertical="bottom"/>
    </xf>
    <xf borderId="9" fillId="7" fontId="32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/>
    </xf>
    <xf borderId="9" fillId="6" fontId="32" numFmtId="0" xfId="0" applyAlignment="1" applyBorder="1" applyFont="1">
      <alignment horizontal="center"/>
    </xf>
    <xf borderId="9" fillId="9" fontId="45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38" numFmtId="167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7" fontId="38" numFmtId="4" xfId="0" applyAlignment="1" applyBorder="1" applyFont="1" applyNumberFormat="1">
      <alignment horizontal="center" readingOrder="0" vertical="center"/>
    </xf>
    <xf borderId="9" fillId="10" fontId="46" numFmtId="0" xfId="0" applyAlignment="1" applyBorder="1" applyFill="1" applyFont="1">
      <alignment horizontal="center" readingOrder="0" vertical="center"/>
    </xf>
    <xf borderId="9" fillId="10" fontId="38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9" fillId="5" fontId="38" numFmtId="167" xfId="0" applyAlignment="1" applyBorder="1" applyFont="1" applyNumberForma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4" fontId="39" numFmtId="0" xfId="0" applyAlignment="1" applyBorder="1" applyFont="1">
      <alignment horizontal="center" readingOrder="0" vertical="center"/>
    </xf>
    <xf borderId="9" fillId="8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47" numFmtId="0" xfId="0" applyAlignment="1" applyBorder="1" applyFont="1">
      <alignment horizontal="center" readingOrder="1" shrinkToFit="0" vertical="center" wrapText="0"/>
    </xf>
    <xf borderId="9" fillId="7" fontId="38" numFmtId="166" xfId="0" applyAlignment="1" applyBorder="1" applyFont="1" applyNumberFormat="1">
      <alignment horizontal="center" readingOrder="0" vertical="center"/>
    </xf>
    <xf borderId="6" fillId="2" fontId="36" numFmtId="0" xfId="0" applyAlignment="1" applyBorder="1" applyFont="1">
      <alignment horizontal="center" vertical="center"/>
    </xf>
    <xf borderId="6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838200</xdr:colOff>
      <xdr:row>33</xdr:row>
      <xdr:rowOff>190500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JIZy6qGTL2s?t=88" TargetMode="External"/><Relationship Id="rId42" Type="http://schemas.openxmlformats.org/officeDocument/2006/relationships/hyperlink" Target="https://youtu.be/CAwf7n6Luuc?t=73" TargetMode="External"/><Relationship Id="rId41" Type="http://schemas.openxmlformats.org/officeDocument/2006/relationships/hyperlink" Target="https://youtu.be/CAwf7n6Luuc?t=73" TargetMode="External"/><Relationship Id="rId44" Type="http://schemas.openxmlformats.org/officeDocument/2006/relationships/hyperlink" Target="https://youtu.be/CAwf7n6Luuc?t=73" TargetMode="External"/><Relationship Id="rId43" Type="http://schemas.openxmlformats.org/officeDocument/2006/relationships/hyperlink" Target="https://youtu.be/CAwf7n6Luuc?t=73" TargetMode="External"/><Relationship Id="rId46" Type="http://schemas.openxmlformats.org/officeDocument/2006/relationships/hyperlink" Target="https://youtu.be/BeTZjAneZpk?t=130" TargetMode="External"/><Relationship Id="rId45" Type="http://schemas.openxmlformats.org/officeDocument/2006/relationships/hyperlink" Target="https://youtu.be/BeTZjAneZpk?t=130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youtu.be/BeTZjAneZpk?t=130" TargetMode="External"/><Relationship Id="rId47" Type="http://schemas.openxmlformats.org/officeDocument/2006/relationships/hyperlink" Target="https://youtu.be/BeTZjAneZpk?t=130" TargetMode="External"/><Relationship Id="rId49" Type="http://schemas.openxmlformats.org/officeDocument/2006/relationships/hyperlink" Target="https://www.youtube.com/watch?v=lJoozxC0Rns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youtu.be/sAq_ocpRh_I?t=18" TargetMode="External"/><Relationship Id="rId31" Type="http://schemas.openxmlformats.org/officeDocument/2006/relationships/hyperlink" Target="https://youtube.com/shorts/JxQPsGSTPA8?feature=share" TargetMode="External"/><Relationship Id="rId30" Type="http://schemas.openxmlformats.org/officeDocument/2006/relationships/hyperlink" Target="https://youtube.com/shorts/JxQPsGSTPA8?feature=share" TargetMode="External"/><Relationship Id="rId33" Type="http://schemas.openxmlformats.org/officeDocument/2006/relationships/hyperlink" Target="https://www.youtube.com/watch?v=6Fzep104f0s" TargetMode="External"/><Relationship Id="rId32" Type="http://schemas.openxmlformats.org/officeDocument/2006/relationships/hyperlink" Target="https://youtube.com/shorts/JxQPsGSTPA8?feature=share" TargetMode="External"/><Relationship Id="rId35" Type="http://schemas.openxmlformats.org/officeDocument/2006/relationships/hyperlink" Target="https://www.youtube.com/watch?v=6Fzep104f0s" TargetMode="External"/><Relationship Id="rId34" Type="http://schemas.openxmlformats.org/officeDocument/2006/relationships/hyperlink" Target="https://www.youtube.com/watch?v=6Fzep104f0s" TargetMode="External"/><Relationship Id="rId37" Type="http://schemas.openxmlformats.org/officeDocument/2006/relationships/hyperlink" Target="https://youtu.be/JIZy6qGTL2s?t=88" TargetMode="External"/><Relationship Id="rId36" Type="http://schemas.openxmlformats.org/officeDocument/2006/relationships/hyperlink" Target="https://www.youtube.com/watch?v=6Fzep104f0s" TargetMode="External"/><Relationship Id="rId39" Type="http://schemas.openxmlformats.org/officeDocument/2006/relationships/hyperlink" Target="https://youtu.be/JIZy6qGTL2s?t=88" TargetMode="External"/><Relationship Id="rId38" Type="http://schemas.openxmlformats.org/officeDocument/2006/relationships/hyperlink" Target="https://youtu.be/JIZy6qGTL2s?t=88" TargetMode="External"/><Relationship Id="rId20" Type="http://schemas.openxmlformats.org/officeDocument/2006/relationships/hyperlink" Target="https://youtu.be/HSGjUouQZCQ?si=VXLiNY1IsuMwZSWY&amp;t=21" TargetMode="External"/><Relationship Id="rId22" Type="http://schemas.openxmlformats.org/officeDocument/2006/relationships/hyperlink" Target="https://www.youtube.com/watch?v=t90Vb6IBi0E" TargetMode="External"/><Relationship Id="rId21" Type="http://schemas.openxmlformats.org/officeDocument/2006/relationships/hyperlink" Target="https://www.youtube.com/watch?v=t90Vb6IBi0E" TargetMode="External"/><Relationship Id="rId24" Type="http://schemas.openxmlformats.org/officeDocument/2006/relationships/hyperlink" Target="https://www.youtube.com/watch?v=t90Vb6IBi0E" TargetMode="External"/><Relationship Id="rId23" Type="http://schemas.openxmlformats.org/officeDocument/2006/relationships/hyperlink" Target="https://www.youtube.com/watch?v=t90Vb6IBi0E" TargetMode="External"/><Relationship Id="rId26" Type="http://schemas.openxmlformats.org/officeDocument/2006/relationships/hyperlink" Target="https://youtu.be/ig0NyNlSce4?t=57" TargetMode="External"/><Relationship Id="rId25" Type="http://schemas.openxmlformats.org/officeDocument/2006/relationships/hyperlink" Target="https://youtu.be/ig0NyNlSce4?t=57" TargetMode="External"/><Relationship Id="rId28" Type="http://schemas.openxmlformats.org/officeDocument/2006/relationships/hyperlink" Target="https://youtu.be/ig0NyNlSce4?t=57" TargetMode="External"/><Relationship Id="rId27" Type="http://schemas.openxmlformats.org/officeDocument/2006/relationships/hyperlink" Target="https://youtu.be/ig0NyNlSce4?t=57" TargetMode="External"/><Relationship Id="rId29" Type="http://schemas.openxmlformats.org/officeDocument/2006/relationships/hyperlink" Target="https://youtube.com/shorts/JxQPsGSTPA8?feature=share" TargetMode="External"/><Relationship Id="rId95" Type="http://schemas.openxmlformats.org/officeDocument/2006/relationships/hyperlink" Target="https://www.youtube.com/watch?v=fpWpQ9OAjZ4" TargetMode="External"/><Relationship Id="rId94" Type="http://schemas.openxmlformats.org/officeDocument/2006/relationships/hyperlink" Target="https://www.youtube.com/watch?v=fpWpQ9OAjZ4" TargetMode="External"/><Relationship Id="rId97" Type="http://schemas.openxmlformats.org/officeDocument/2006/relationships/hyperlink" Target="https://youtu.be/sAq_ocpRh_I?t=18" TargetMode="External"/><Relationship Id="rId96" Type="http://schemas.openxmlformats.org/officeDocument/2006/relationships/hyperlink" Target="https://www.youtube.com/watch?v=fpWpQ9OAjZ4" TargetMode="External"/><Relationship Id="rId11" Type="http://schemas.openxmlformats.org/officeDocument/2006/relationships/hyperlink" Target="https://www.youtube.com/watch?v=ZyWFzGyFwK0&amp;pp=ygUNbGVnIGV4dGVuc2lvbg%3D%3D" TargetMode="External"/><Relationship Id="rId99" Type="http://schemas.openxmlformats.org/officeDocument/2006/relationships/hyperlink" Target="https://youtu.be/sAq_ocpRh_I?t=18" TargetMode="External"/><Relationship Id="rId10" Type="http://schemas.openxmlformats.org/officeDocument/2006/relationships/hyperlink" Target="https://www.youtube.com/watch?v=ZyWFzGyFwK0&amp;pp=ygUNbGVnIGV4dGVuc2lvbg%3D%3D" TargetMode="External"/><Relationship Id="rId98" Type="http://schemas.openxmlformats.org/officeDocument/2006/relationships/hyperlink" Target="https://youtu.be/sAq_ocpRh_I?t=18" TargetMode="External"/><Relationship Id="rId13" Type="http://schemas.openxmlformats.org/officeDocument/2006/relationships/hyperlink" Target="https://youtu.be/1Tq3QdYUuHs?t=55" TargetMode="External"/><Relationship Id="rId12" Type="http://schemas.openxmlformats.org/officeDocument/2006/relationships/hyperlink" Target="https://www.youtube.com/watch?v=ZyWFzGyFwK0&amp;pp=ygUNbGVnIGV4dGVuc2lvbg%3D%3D" TargetMode="External"/><Relationship Id="rId91" Type="http://schemas.openxmlformats.org/officeDocument/2006/relationships/hyperlink" Target="https://www.youtube.com/shorts/Isb8D3s37zc" TargetMode="External"/><Relationship Id="rId90" Type="http://schemas.openxmlformats.org/officeDocument/2006/relationships/hyperlink" Target="https://www.youtube.com/shorts/Isb8D3s37zc" TargetMode="External"/><Relationship Id="rId93" Type="http://schemas.openxmlformats.org/officeDocument/2006/relationships/hyperlink" Target="https://www.youtube.com/watch?v=fpWpQ9OAjZ4" TargetMode="External"/><Relationship Id="rId92" Type="http://schemas.openxmlformats.org/officeDocument/2006/relationships/hyperlink" Target="https://www.youtube.com/shorts/Isb8D3s37zc" TargetMode="External"/><Relationship Id="rId15" Type="http://schemas.openxmlformats.org/officeDocument/2006/relationships/hyperlink" Target="https://youtu.be/1Tq3QdYUuHs?t=55" TargetMode="External"/><Relationship Id="rId14" Type="http://schemas.openxmlformats.org/officeDocument/2006/relationships/hyperlink" Target="https://youtu.be/1Tq3QdYUuHs?t=55" TargetMode="External"/><Relationship Id="rId17" Type="http://schemas.openxmlformats.org/officeDocument/2006/relationships/hyperlink" Target="https://youtu.be/HSGjUouQZCQ?si=VXLiNY1IsuMwZSWY&amp;t=21" TargetMode="External"/><Relationship Id="rId16" Type="http://schemas.openxmlformats.org/officeDocument/2006/relationships/hyperlink" Target="https://youtu.be/1Tq3QdYUuHs?t=55" TargetMode="External"/><Relationship Id="rId19" Type="http://schemas.openxmlformats.org/officeDocument/2006/relationships/hyperlink" Target="https://youtu.be/HSGjUouQZCQ?si=VXLiNY1IsuMwZSWY&amp;t=21" TargetMode="External"/><Relationship Id="rId18" Type="http://schemas.openxmlformats.org/officeDocument/2006/relationships/hyperlink" Target="https://youtu.be/HSGjUouQZCQ?si=VXLiNY1IsuMwZSWY&amp;t=21" TargetMode="External"/><Relationship Id="rId84" Type="http://schemas.openxmlformats.org/officeDocument/2006/relationships/hyperlink" Target="https://www.youtube.com/watch?v=61ara6KJdrU" TargetMode="External"/><Relationship Id="rId83" Type="http://schemas.openxmlformats.org/officeDocument/2006/relationships/hyperlink" Target="https://www.youtube.com/watch?v=61ara6KJdrU" TargetMode="External"/><Relationship Id="rId86" Type="http://schemas.openxmlformats.org/officeDocument/2006/relationships/hyperlink" Target="https://youtu.be/0G2_XV7slIg?t=179" TargetMode="External"/><Relationship Id="rId85" Type="http://schemas.openxmlformats.org/officeDocument/2006/relationships/hyperlink" Target="https://youtu.be/0G2_XV7slIg?t=179" TargetMode="External"/><Relationship Id="rId88" Type="http://schemas.openxmlformats.org/officeDocument/2006/relationships/hyperlink" Target="https://youtu.be/0G2_XV7slIg?t=179" TargetMode="External"/><Relationship Id="rId87" Type="http://schemas.openxmlformats.org/officeDocument/2006/relationships/hyperlink" Target="https://youtu.be/0G2_XV7slIg?t=179" TargetMode="External"/><Relationship Id="rId89" Type="http://schemas.openxmlformats.org/officeDocument/2006/relationships/hyperlink" Target="https://www.youtube.com/shorts/Isb8D3s37zc" TargetMode="External"/><Relationship Id="rId80" Type="http://schemas.openxmlformats.org/officeDocument/2006/relationships/hyperlink" Target="https://youtu.be/GAQ-oohMhog?t=20" TargetMode="External"/><Relationship Id="rId82" Type="http://schemas.openxmlformats.org/officeDocument/2006/relationships/hyperlink" Target="https://www.youtube.com/watch?v=61ara6KJdrU" TargetMode="External"/><Relationship Id="rId81" Type="http://schemas.openxmlformats.org/officeDocument/2006/relationships/hyperlink" Target="https://www.youtube.com/watch?v=61ara6KJdrU" TargetMode="External"/><Relationship Id="rId1" Type="http://schemas.openxmlformats.org/officeDocument/2006/relationships/hyperlink" Target="https://www.youtube.com/watch?v=0tn5K9NlCfo" TargetMode="External"/><Relationship Id="rId2" Type="http://schemas.openxmlformats.org/officeDocument/2006/relationships/hyperlink" Target="https://www.youtube.com/watch?v=0tn5K9NlCfo" TargetMode="External"/><Relationship Id="rId3" Type="http://schemas.openxmlformats.org/officeDocument/2006/relationships/hyperlink" Target="https://www.youtube.com/watch?v=0tn5K9NlCfo" TargetMode="External"/><Relationship Id="rId4" Type="http://schemas.openxmlformats.org/officeDocument/2006/relationships/hyperlink" Target="https://www.youtube.com/watch?v=0tn5K9NlCfo" TargetMode="External"/><Relationship Id="rId9" Type="http://schemas.openxmlformats.org/officeDocument/2006/relationships/hyperlink" Target="https://www.youtube.com/watch?v=ZyWFzGyFwK0&amp;pp=ygUNbGVnIGV4dGVuc2lvbg%3D%3D" TargetMode="External"/><Relationship Id="rId5" Type="http://schemas.openxmlformats.org/officeDocument/2006/relationships/hyperlink" Target="https://youtu.be/S_uZP4UH6J0?t=55" TargetMode="External"/><Relationship Id="rId6" Type="http://schemas.openxmlformats.org/officeDocument/2006/relationships/hyperlink" Target="https://youtu.be/S_uZP4UH6J0?t=55" TargetMode="External"/><Relationship Id="rId7" Type="http://schemas.openxmlformats.org/officeDocument/2006/relationships/hyperlink" Target="https://youtu.be/S_uZP4UH6J0?t=55" TargetMode="External"/><Relationship Id="rId8" Type="http://schemas.openxmlformats.org/officeDocument/2006/relationships/hyperlink" Target="https://youtu.be/S_uZP4UH6J0?t=55" TargetMode="External"/><Relationship Id="rId73" Type="http://schemas.openxmlformats.org/officeDocument/2006/relationships/hyperlink" Target="https://www.youtube.com/watch?v=ZyWFzGyFwK0&amp;pp=ygUNbGVnIGV4dGVuc2lvbg%3D%3D" TargetMode="External"/><Relationship Id="rId72" Type="http://schemas.openxmlformats.org/officeDocument/2006/relationships/hyperlink" Target="https://youtu.be/1Tq3QdYUuHs?t=55" TargetMode="External"/><Relationship Id="rId75" Type="http://schemas.openxmlformats.org/officeDocument/2006/relationships/hyperlink" Target="https://www.youtube.com/watch?v=ZyWFzGyFwK0&amp;pp=ygUNbGVnIGV4dGVuc2lvbg%3D%3D" TargetMode="External"/><Relationship Id="rId74" Type="http://schemas.openxmlformats.org/officeDocument/2006/relationships/hyperlink" Target="https://www.youtube.com/watch?v=ZyWFzGyFwK0&amp;pp=ygUNbGVnIGV4dGVuc2lvbg%3D%3D" TargetMode="External"/><Relationship Id="rId77" Type="http://schemas.openxmlformats.org/officeDocument/2006/relationships/hyperlink" Target="https://youtu.be/GAQ-oohMhog?t=20" TargetMode="External"/><Relationship Id="rId76" Type="http://schemas.openxmlformats.org/officeDocument/2006/relationships/hyperlink" Target="https://www.youtube.com/watch?v=ZyWFzGyFwK0&amp;pp=ygUNbGVnIGV4dGVuc2lvbg%3D%3D" TargetMode="External"/><Relationship Id="rId79" Type="http://schemas.openxmlformats.org/officeDocument/2006/relationships/hyperlink" Target="https://youtu.be/GAQ-oohMhog?t=20" TargetMode="External"/><Relationship Id="rId78" Type="http://schemas.openxmlformats.org/officeDocument/2006/relationships/hyperlink" Target="https://youtu.be/GAQ-oohMhog?t=20" TargetMode="External"/><Relationship Id="rId71" Type="http://schemas.openxmlformats.org/officeDocument/2006/relationships/hyperlink" Target="https://youtu.be/1Tq3QdYUuHs?t=55" TargetMode="External"/><Relationship Id="rId70" Type="http://schemas.openxmlformats.org/officeDocument/2006/relationships/hyperlink" Target="https://youtu.be/1Tq3QdYUuHs?t=55" TargetMode="External"/><Relationship Id="rId62" Type="http://schemas.openxmlformats.org/officeDocument/2006/relationships/hyperlink" Target="https://youtu.be/Oxy31rMrTeo?t=47" TargetMode="External"/><Relationship Id="rId61" Type="http://schemas.openxmlformats.org/officeDocument/2006/relationships/hyperlink" Target="https://youtu.be/Oxy31rMrTeo?t=47" TargetMode="External"/><Relationship Id="rId64" Type="http://schemas.openxmlformats.org/officeDocument/2006/relationships/hyperlink" Target="https://youtu.be/Oxy31rMrTeo?t=47" TargetMode="External"/><Relationship Id="rId63" Type="http://schemas.openxmlformats.org/officeDocument/2006/relationships/hyperlink" Target="https://youtu.be/Oxy31rMrTeo?t=47" TargetMode="External"/><Relationship Id="rId66" Type="http://schemas.openxmlformats.org/officeDocument/2006/relationships/hyperlink" Target="https://www.instagram.com/p/ClJq2kNAAv4/" TargetMode="External"/><Relationship Id="rId65" Type="http://schemas.openxmlformats.org/officeDocument/2006/relationships/hyperlink" Target="https://www.instagram.com/p/ClJq2kNAAv4/" TargetMode="External"/><Relationship Id="rId68" Type="http://schemas.openxmlformats.org/officeDocument/2006/relationships/hyperlink" Target="https://www.instagram.com/p/ClJq2kNAAv4/" TargetMode="External"/><Relationship Id="rId67" Type="http://schemas.openxmlformats.org/officeDocument/2006/relationships/hyperlink" Target="https://www.instagram.com/p/ClJq2kNAAv4/" TargetMode="External"/><Relationship Id="rId60" Type="http://schemas.openxmlformats.org/officeDocument/2006/relationships/hyperlink" Target="https://youtu.be/6yMdhi2DVao?t=68" TargetMode="External"/><Relationship Id="rId69" Type="http://schemas.openxmlformats.org/officeDocument/2006/relationships/hyperlink" Target="https://youtu.be/1Tq3QdYUuHs?t=55" TargetMode="External"/><Relationship Id="rId51" Type="http://schemas.openxmlformats.org/officeDocument/2006/relationships/hyperlink" Target="https://www.youtube.com/watch?v=lJoozxC0Rns" TargetMode="External"/><Relationship Id="rId50" Type="http://schemas.openxmlformats.org/officeDocument/2006/relationships/hyperlink" Target="https://www.youtube.com/watch?v=lJoozxC0Rns" TargetMode="External"/><Relationship Id="rId53" Type="http://schemas.openxmlformats.org/officeDocument/2006/relationships/hyperlink" Target="https://youtu.be/N2k3qcs0WLQ?si=Ew5yaxeOV7IzHcwz" TargetMode="External"/><Relationship Id="rId52" Type="http://schemas.openxmlformats.org/officeDocument/2006/relationships/hyperlink" Target="https://www.youtube.com/watch?v=lJoozxC0Rns" TargetMode="External"/><Relationship Id="rId55" Type="http://schemas.openxmlformats.org/officeDocument/2006/relationships/hyperlink" Target="https://youtu.be/N2k3qcs0WLQ?si=Ew5yaxeOV7IzHcwz" TargetMode="External"/><Relationship Id="rId54" Type="http://schemas.openxmlformats.org/officeDocument/2006/relationships/hyperlink" Target="https://youtu.be/N2k3qcs0WLQ?si=Ew5yaxeOV7IzHcwz" TargetMode="External"/><Relationship Id="rId57" Type="http://schemas.openxmlformats.org/officeDocument/2006/relationships/hyperlink" Target="https://youtu.be/6yMdhi2DVao?t=68" TargetMode="External"/><Relationship Id="rId56" Type="http://schemas.openxmlformats.org/officeDocument/2006/relationships/hyperlink" Target="https://youtu.be/N2k3qcs0WLQ?si=Ew5yaxeOV7IzHcwz" TargetMode="External"/><Relationship Id="rId59" Type="http://schemas.openxmlformats.org/officeDocument/2006/relationships/hyperlink" Target="https://youtu.be/6yMdhi2DVao?t=68" TargetMode="External"/><Relationship Id="rId58" Type="http://schemas.openxmlformats.org/officeDocument/2006/relationships/hyperlink" Target="https://youtu.be/6yMdhi2DVao?t=6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18.6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4.88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4.8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15</v>
      </c>
      <c r="D13" s="27">
        <v>3.0</v>
      </c>
      <c r="E13" s="35" t="s">
        <v>16</v>
      </c>
      <c r="F13" s="28">
        <v>8.0</v>
      </c>
      <c r="G13" s="30"/>
      <c r="H13" s="30"/>
      <c r="I13" s="31" t="s">
        <v>17</v>
      </c>
      <c r="J13" s="23"/>
      <c r="K13" s="31"/>
      <c r="L13" s="23"/>
      <c r="M13" s="32"/>
      <c r="N13" s="1"/>
      <c r="O13" s="26" t="s">
        <v>15</v>
      </c>
      <c r="P13" s="27">
        <v>3.0</v>
      </c>
      <c r="Q13" s="35" t="s">
        <v>16</v>
      </c>
      <c r="R13" s="28">
        <v>8.0</v>
      </c>
      <c r="S13" s="30"/>
      <c r="T13" s="30"/>
      <c r="U13" s="31" t="s">
        <v>17</v>
      </c>
      <c r="V13" s="23"/>
      <c r="W13" s="31"/>
      <c r="X13" s="23"/>
      <c r="Y13" s="1"/>
      <c r="Z13" s="1"/>
      <c r="AA13" s="26" t="s">
        <v>15</v>
      </c>
      <c r="AB13" s="27">
        <v>3.0</v>
      </c>
      <c r="AC13" s="35" t="s">
        <v>16</v>
      </c>
      <c r="AD13" s="28">
        <v>8.0</v>
      </c>
      <c r="AE13" s="30"/>
      <c r="AF13" s="30"/>
      <c r="AG13" s="31" t="s">
        <v>17</v>
      </c>
      <c r="AH13" s="23"/>
      <c r="AI13" s="31"/>
      <c r="AJ13" s="23"/>
      <c r="AK13" s="33"/>
      <c r="AL13" s="1"/>
      <c r="AM13" s="26" t="s">
        <v>15</v>
      </c>
      <c r="AN13" s="27">
        <v>3.0</v>
      </c>
      <c r="AO13" s="35" t="s">
        <v>16</v>
      </c>
      <c r="AP13" s="28">
        <v>8.0</v>
      </c>
      <c r="AQ13" s="30"/>
      <c r="AR13" s="30"/>
      <c r="AS13" s="31" t="s">
        <v>17</v>
      </c>
      <c r="AT13" s="23"/>
      <c r="AU13" s="31"/>
      <c r="AV13" s="23"/>
      <c r="AW13" s="34"/>
      <c r="AX13" s="34"/>
    </row>
    <row r="14" ht="20.25" customHeight="1">
      <c r="A14" s="4"/>
      <c r="B14" s="1"/>
      <c r="C14" s="36" t="s">
        <v>18</v>
      </c>
      <c r="D14" s="27">
        <v>3.0</v>
      </c>
      <c r="E14" s="35" t="s">
        <v>16</v>
      </c>
      <c r="F14" s="28">
        <v>8.0</v>
      </c>
      <c r="G14" s="30"/>
      <c r="H14" s="30"/>
      <c r="I14" s="37" t="s">
        <v>19</v>
      </c>
      <c r="J14" s="23"/>
      <c r="K14" s="31"/>
      <c r="L14" s="23"/>
      <c r="M14" s="32"/>
      <c r="N14" s="1"/>
      <c r="O14" s="36" t="s">
        <v>18</v>
      </c>
      <c r="P14" s="27">
        <v>3.0</v>
      </c>
      <c r="Q14" s="35" t="s">
        <v>16</v>
      </c>
      <c r="R14" s="28">
        <v>8.0</v>
      </c>
      <c r="S14" s="30"/>
      <c r="T14" s="30"/>
      <c r="U14" s="37" t="s">
        <v>19</v>
      </c>
      <c r="V14" s="23"/>
      <c r="W14" s="31"/>
      <c r="X14" s="23"/>
      <c r="Y14" s="24"/>
      <c r="Z14" s="1"/>
      <c r="AA14" s="36" t="s">
        <v>18</v>
      </c>
      <c r="AB14" s="27">
        <v>3.0</v>
      </c>
      <c r="AC14" s="35" t="s">
        <v>16</v>
      </c>
      <c r="AD14" s="28">
        <v>8.0</v>
      </c>
      <c r="AE14" s="30"/>
      <c r="AF14" s="30"/>
      <c r="AG14" s="37" t="s">
        <v>19</v>
      </c>
      <c r="AH14" s="23"/>
      <c r="AI14" s="31"/>
      <c r="AJ14" s="23"/>
      <c r="AK14" s="33"/>
      <c r="AL14" s="1"/>
      <c r="AM14" s="36" t="s">
        <v>18</v>
      </c>
      <c r="AN14" s="27">
        <v>3.0</v>
      </c>
      <c r="AO14" s="35" t="s">
        <v>16</v>
      </c>
      <c r="AP14" s="28">
        <v>8.0</v>
      </c>
      <c r="AQ14" s="30"/>
      <c r="AR14" s="30"/>
      <c r="AS14" s="37" t="s">
        <v>19</v>
      </c>
      <c r="AT14" s="23"/>
      <c r="AU14" s="31"/>
      <c r="AV14" s="23"/>
      <c r="AW14" s="34"/>
      <c r="AX14" s="34"/>
    </row>
    <row r="15" ht="20.25" customHeight="1">
      <c r="A15" s="1"/>
      <c r="B15" s="1"/>
      <c r="C15" s="26" t="s">
        <v>20</v>
      </c>
      <c r="D15" s="27">
        <v>3.0</v>
      </c>
      <c r="E15" s="35" t="s">
        <v>16</v>
      </c>
      <c r="F15" s="28">
        <v>8.0</v>
      </c>
      <c r="G15" s="30"/>
      <c r="H15" s="30"/>
      <c r="I15" s="37" t="s">
        <v>19</v>
      </c>
      <c r="J15" s="23"/>
      <c r="K15" s="31"/>
      <c r="L15" s="23"/>
      <c r="M15" s="32"/>
      <c r="N15" s="1"/>
      <c r="O15" s="26" t="s">
        <v>20</v>
      </c>
      <c r="P15" s="27">
        <v>3.0</v>
      </c>
      <c r="Q15" s="35" t="s">
        <v>16</v>
      </c>
      <c r="R15" s="28">
        <v>8.0</v>
      </c>
      <c r="S15" s="30"/>
      <c r="T15" s="30"/>
      <c r="U15" s="37" t="s">
        <v>19</v>
      </c>
      <c r="V15" s="23"/>
      <c r="W15" s="31"/>
      <c r="X15" s="23"/>
      <c r="Y15" s="24"/>
      <c r="Z15" s="1"/>
      <c r="AA15" s="26" t="s">
        <v>20</v>
      </c>
      <c r="AB15" s="27">
        <v>3.0</v>
      </c>
      <c r="AC15" s="35" t="s">
        <v>16</v>
      </c>
      <c r="AD15" s="28">
        <v>8.0</v>
      </c>
      <c r="AE15" s="30"/>
      <c r="AF15" s="30"/>
      <c r="AG15" s="37" t="s">
        <v>19</v>
      </c>
      <c r="AH15" s="23"/>
      <c r="AI15" s="31"/>
      <c r="AJ15" s="23"/>
      <c r="AK15" s="33"/>
      <c r="AL15" s="1"/>
      <c r="AM15" s="26" t="s">
        <v>20</v>
      </c>
      <c r="AN15" s="27">
        <v>3.0</v>
      </c>
      <c r="AO15" s="35" t="s">
        <v>16</v>
      </c>
      <c r="AP15" s="28">
        <v>8.0</v>
      </c>
      <c r="AQ15" s="30"/>
      <c r="AR15" s="30"/>
      <c r="AS15" s="37" t="s">
        <v>19</v>
      </c>
      <c r="AT15" s="23"/>
      <c r="AU15" s="31"/>
      <c r="AV15" s="23"/>
      <c r="AW15" s="34"/>
      <c r="AX15" s="34"/>
    </row>
    <row r="16">
      <c r="A16" s="1"/>
      <c r="B16" s="1"/>
      <c r="C16" s="38" t="s">
        <v>21</v>
      </c>
      <c r="D16" s="27">
        <v>3.0</v>
      </c>
      <c r="E16" s="35" t="s">
        <v>16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38" t="s">
        <v>21</v>
      </c>
      <c r="P16" s="27">
        <v>3.0</v>
      </c>
      <c r="Q16" s="35" t="s">
        <v>16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38" t="s">
        <v>21</v>
      </c>
      <c r="AB16" s="27">
        <v>3.0</v>
      </c>
      <c r="AC16" s="35" t="s">
        <v>16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38" t="s">
        <v>21</v>
      </c>
      <c r="AN16" s="27">
        <v>3.0</v>
      </c>
      <c r="AO16" s="35" t="s">
        <v>16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5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4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2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39"/>
      <c r="AX17" s="39"/>
    </row>
    <row r="18" ht="20.25" customHeight="1">
      <c r="A18" s="1"/>
      <c r="B18" s="4"/>
      <c r="C18" s="12" t="s">
        <v>22</v>
      </c>
      <c r="D18" s="40"/>
      <c r="E18" s="40"/>
      <c r="F18" s="1"/>
      <c r="G18" s="1"/>
      <c r="H18" s="1"/>
      <c r="I18" s="1"/>
      <c r="J18" s="1"/>
      <c r="K18" s="1"/>
      <c r="L18" s="1"/>
      <c r="M18" s="5"/>
      <c r="N18" s="4"/>
      <c r="O18" s="12" t="s">
        <v>22</v>
      </c>
      <c r="P18" s="40"/>
      <c r="Q18" s="40"/>
      <c r="R18" s="1"/>
      <c r="S18" s="1"/>
      <c r="T18" s="1"/>
      <c r="U18" s="1"/>
      <c r="V18" s="1"/>
      <c r="W18" s="1"/>
      <c r="X18" s="1"/>
      <c r="Y18" s="24"/>
      <c r="Z18" s="4"/>
      <c r="AA18" s="12" t="s">
        <v>22</v>
      </c>
      <c r="AB18" s="40"/>
      <c r="AC18" s="40"/>
      <c r="AD18" s="1"/>
      <c r="AE18" s="1"/>
      <c r="AF18" s="1"/>
      <c r="AG18" s="1"/>
      <c r="AH18" s="1"/>
      <c r="AI18" s="1"/>
      <c r="AJ18" s="1"/>
      <c r="AK18" s="3"/>
      <c r="AL18" s="4"/>
      <c r="AM18" s="12" t="s">
        <v>22</v>
      </c>
      <c r="AN18" s="40"/>
      <c r="AO18" s="40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2" t="s">
        <v>23</v>
      </c>
      <c r="C19" s="41" t="s">
        <v>6</v>
      </c>
      <c r="D19" s="21" t="s">
        <v>7</v>
      </c>
      <c r="E19" s="21" t="s">
        <v>8</v>
      </c>
      <c r="F19" s="20" t="s">
        <v>9</v>
      </c>
      <c r="G19" s="21" t="s">
        <v>10</v>
      </c>
      <c r="H19" s="21" t="s">
        <v>11</v>
      </c>
      <c r="I19" s="22" t="s">
        <v>12</v>
      </c>
      <c r="J19" s="23"/>
      <c r="K19" s="22" t="s">
        <v>13</v>
      </c>
      <c r="L19" s="23"/>
      <c r="M19" s="32"/>
      <c r="N19" s="12" t="s">
        <v>23</v>
      </c>
      <c r="O19" s="41" t="s">
        <v>6</v>
      </c>
      <c r="P19" s="21" t="s">
        <v>7</v>
      </c>
      <c r="Q19" s="21" t="s">
        <v>8</v>
      </c>
      <c r="R19" s="20" t="s">
        <v>9</v>
      </c>
      <c r="S19" s="21" t="s">
        <v>10</v>
      </c>
      <c r="T19" s="21" t="s">
        <v>11</v>
      </c>
      <c r="U19" s="22" t="s">
        <v>12</v>
      </c>
      <c r="V19" s="23"/>
      <c r="W19" s="22" t="s">
        <v>13</v>
      </c>
      <c r="X19" s="23"/>
      <c r="Y19" s="24"/>
      <c r="Z19" s="12" t="s">
        <v>23</v>
      </c>
      <c r="AA19" s="41" t="s">
        <v>6</v>
      </c>
      <c r="AB19" s="21" t="s">
        <v>7</v>
      </c>
      <c r="AC19" s="21" t="s">
        <v>8</v>
      </c>
      <c r="AD19" s="20" t="s">
        <v>9</v>
      </c>
      <c r="AE19" s="21" t="s">
        <v>10</v>
      </c>
      <c r="AF19" s="21" t="s">
        <v>11</v>
      </c>
      <c r="AG19" s="22" t="s">
        <v>12</v>
      </c>
      <c r="AH19" s="23"/>
      <c r="AI19" s="22" t="s">
        <v>13</v>
      </c>
      <c r="AJ19" s="23"/>
      <c r="AK19" s="33"/>
      <c r="AL19" s="12" t="s">
        <v>23</v>
      </c>
      <c r="AM19" s="41" t="s">
        <v>6</v>
      </c>
      <c r="AN19" s="21" t="s">
        <v>7</v>
      </c>
      <c r="AO19" s="21" t="s">
        <v>8</v>
      </c>
      <c r="AP19" s="20" t="s">
        <v>9</v>
      </c>
      <c r="AQ19" s="21" t="s">
        <v>10</v>
      </c>
      <c r="AR19" s="21" t="s">
        <v>11</v>
      </c>
      <c r="AS19" s="22" t="s">
        <v>12</v>
      </c>
      <c r="AT19" s="23"/>
      <c r="AU19" s="22" t="s">
        <v>13</v>
      </c>
      <c r="AV19" s="23"/>
      <c r="AW19" s="25"/>
      <c r="AX19" s="25"/>
    </row>
    <row r="20" ht="20.25" customHeight="1">
      <c r="A20" s="4"/>
      <c r="B20" s="1"/>
      <c r="C20" s="42" t="s">
        <v>24</v>
      </c>
      <c r="D20" s="35">
        <v>3.0</v>
      </c>
      <c r="E20" s="35">
        <v>8.0</v>
      </c>
      <c r="F20" s="35">
        <v>8.0</v>
      </c>
      <c r="G20" s="43"/>
      <c r="H20" s="44"/>
      <c r="I20" s="31"/>
      <c r="J20" s="23"/>
      <c r="K20" s="31"/>
      <c r="L20" s="23"/>
      <c r="M20" s="17"/>
      <c r="N20" s="1"/>
      <c r="O20" s="42" t="s">
        <v>24</v>
      </c>
      <c r="P20" s="35">
        <v>3.0</v>
      </c>
      <c r="Q20" s="35">
        <v>8.0</v>
      </c>
      <c r="R20" s="35">
        <v>8.0</v>
      </c>
      <c r="S20" s="43"/>
      <c r="T20" s="44"/>
      <c r="U20" s="31"/>
      <c r="V20" s="23"/>
      <c r="W20" s="31"/>
      <c r="X20" s="23"/>
      <c r="Y20" s="1"/>
      <c r="Z20" s="1"/>
      <c r="AA20" s="42" t="s">
        <v>24</v>
      </c>
      <c r="AB20" s="35">
        <v>3.0</v>
      </c>
      <c r="AC20" s="35">
        <v>8.0</v>
      </c>
      <c r="AD20" s="35">
        <v>8.0</v>
      </c>
      <c r="AE20" s="43"/>
      <c r="AF20" s="44"/>
      <c r="AG20" s="31"/>
      <c r="AH20" s="23"/>
      <c r="AI20" s="31"/>
      <c r="AJ20" s="23"/>
      <c r="AK20" s="33"/>
      <c r="AL20" s="1"/>
      <c r="AM20" s="42" t="s">
        <v>24</v>
      </c>
      <c r="AN20" s="35">
        <v>3.0</v>
      </c>
      <c r="AO20" s="35">
        <v>8.0</v>
      </c>
      <c r="AP20" s="35">
        <v>8.0</v>
      </c>
      <c r="AQ20" s="43"/>
      <c r="AR20" s="44"/>
      <c r="AS20" s="31"/>
      <c r="AT20" s="23"/>
      <c r="AU20" s="31"/>
      <c r="AV20" s="23"/>
      <c r="AW20" s="34"/>
      <c r="AX20" s="34"/>
    </row>
    <row r="21" ht="20.25" customHeight="1">
      <c r="A21" s="1"/>
      <c r="B21" s="1"/>
      <c r="C21" s="42" t="s">
        <v>25</v>
      </c>
      <c r="D21" s="45">
        <v>3.0</v>
      </c>
      <c r="E21" s="35" t="s">
        <v>16</v>
      </c>
      <c r="F21" s="35">
        <v>8.0</v>
      </c>
      <c r="G21" s="30"/>
      <c r="H21" s="30"/>
      <c r="I21" s="31"/>
      <c r="J21" s="23"/>
      <c r="K21" s="31"/>
      <c r="L21" s="23"/>
      <c r="M21" s="32"/>
      <c r="N21" s="1"/>
      <c r="O21" s="42" t="s">
        <v>25</v>
      </c>
      <c r="P21" s="45">
        <v>3.0</v>
      </c>
      <c r="Q21" s="35" t="s">
        <v>16</v>
      </c>
      <c r="R21" s="35">
        <v>8.0</v>
      </c>
      <c r="S21" s="30"/>
      <c r="T21" s="30"/>
      <c r="U21" s="31"/>
      <c r="V21" s="23"/>
      <c r="W21" s="31"/>
      <c r="X21" s="23"/>
      <c r="Y21" s="24"/>
      <c r="Z21" s="1"/>
      <c r="AA21" s="42" t="s">
        <v>25</v>
      </c>
      <c r="AB21" s="45">
        <v>3.0</v>
      </c>
      <c r="AC21" s="35" t="s">
        <v>16</v>
      </c>
      <c r="AD21" s="35">
        <v>8.0</v>
      </c>
      <c r="AE21" s="30"/>
      <c r="AF21" s="30"/>
      <c r="AG21" s="31"/>
      <c r="AH21" s="23"/>
      <c r="AI21" s="31"/>
      <c r="AJ21" s="23"/>
      <c r="AK21" s="33"/>
      <c r="AL21" s="1"/>
      <c r="AM21" s="42" t="s">
        <v>25</v>
      </c>
      <c r="AN21" s="45">
        <v>3.0</v>
      </c>
      <c r="AO21" s="35" t="s">
        <v>16</v>
      </c>
      <c r="AP21" s="35">
        <v>8.0</v>
      </c>
      <c r="AQ21" s="30"/>
      <c r="AR21" s="30"/>
      <c r="AS21" s="31"/>
      <c r="AT21" s="23"/>
      <c r="AU21" s="31"/>
      <c r="AV21" s="23"/>
      <c r="AW21" s="34"/>
      <c r="AX21" s="34"/>
    </row>
    <row r="22" ht="20.25" customHeight="1">
      <c r="A22" s="1"/>
      <c r="B22" s="1"/>
      <c r="C22" s="42" t="s">
        <v>26</v>
      </c>
      <c r="D22" s="35">
        <v>3.0</v>
      </c>
      <c r="E22" s="35" t="s">
        <v>16</v>
      </c>
      <c r="F22" s="35">
        <v>8.0</v>
      </c>
      <c r="G22" s="30"/>
      <c r="H22" s="30"/>
      <c r="I22" s="37" t="s">
        <v>19</v>
      </c>
      <c r="J22" s="23"/>
      <c r="K22" s="31"/>
      <c r="L22" s="23"/>
      <c r="M22" s="32"/>
      <c r="N22" s="1"/>
      <c r="O22" s="42" t="s">
        <v>26</v>
      </c>
      <c r="P22" s="35">
        <v>3.0</v>
      </c>
      <c r="Q22" s="35" t="s">
        <v>16</v>
      </c>
      <c r="R22" s="35">
        <v>8.0</v>
      </c>
      <c r="S22" s="30"/>
      <c r="T22" s="30"/>
      <c r="U22" s="37" t="s">
        <v>19</v>
      </c>
      <c r="V22" s="23"/>
      <c r="W22" s="31"/>
      <c r="X22" s="23"/>
      <c r="Y22" s="24"/>
      <c r="Z22" s="1"/>
      <c r="AA22" s="42" t="s">
        <v>26</v>
      </c>
      <c r="AB22" s="35">
        <v>3.0</v>
      </c>
      <c r="AC22" s="35" t="s">
        <v>16</v>
      </c>
      <c r="AD22" s="35">
        <v>8.0</v>
      </c>
      <c r="AE22" s="30"/>
      <c r="AF22" s="30"/>
      <c r="AG22" s="37" t="s">
        <v>19</v>
      </c>
      <c r="AH22" s="23"/>
      <c r="AI22" s="31"/>
      <c r="AJ22" s="23"/>
      <c r="AK22" s="33"/>
      <c r="AL22" s="1"/>
      <c r="AM22" s="42" t="s">
        <v>26</v>
      </c>
      <c r="AN22" s="35">
        <v>3.0</v>
      </c>
      <c r="AO22" s="35" t="s">
        <v>16</v>
      </c>
      <c r="AP22" s="35">
        <v>8.0</v>
      </c>
      <c r="AQ22" s="30"/>
      <c r="AR22" s="30"/>
      <c r="AS22" s="37" t="s">
        <v>19</v>
      </c>
      <c r="AT22" s="23"/>
      <c r="AU22" s="31"/>
      <c r="AV22" s="23"/>
      <c r="AW22" s="34"/>
      <c r="AX22" s="34"/>
    </row>
    <row r="23" ht="20.25" customHeight="1">
      <c r="A23" s="1"/>
      <c r="B23" s="1"/>
      <c r="C23" s="42" t="s">
        <v>27</v>
      </c>
      <c r="D23" s="45">
        <v>3.0</v>
      </c>
      <c r="E23" s="35" t="s">
        <v>16</v>
      </c>
      <c r="F23" s="35">
        <v>8.0</v>
      </c>
      <c r="G23" s="30"/>
      <c r="H23" s="30"/>
      <c r="I23" s="31"/>
      <c r="J23" s="23"/>
      <c r="K23" s="31"/>
      <c r="L23" s="23"/>
      <c r="M23" s="32"/>
      <c r="N23" s="1"/>
      <c r="O23" s="42" t="s">
        <v>27</v>
      </c>
      <c r="P23" s="45">
        <v>3.0</v>
      </c>
      <c r="Q23" s="35" t="s">
        <v>16</v>
      </c>
      <c r="R23" s="35">
        <v>8.0</v>
      </c>
      <c r="S23" s="30"/>
      <c r="T23" s="30"/>
      <c r="U23" s="31"/>
      <c r="V23" s="23"/>
      <c r="W23" s="31"/>
      <c r="X23" s="23"/>
      <c r="Y23" s="24"/>
      <c r="Z23" s="1"/>
      <c r="AA23" s="42" t="s">
        <v>27</v>
      </c>
      <c r="AB23" s="45">
        <v>3.0</v>
      </c>
      <c r="AC23" s="35" t="s">
        <v>16</v>
      </c>
      <c r="AD23" s="35">
        <v>8.0</v>
      </c>
      <c r="AE23" s="30"/>
      <c r="AF23" s="30"/>
      <c r="AG23" s="31"/>
      <c r="AH23" s="23"/>
      <c r="AI23" s="31"/>
      <c r="AJ23" s="23"/>
      <c r="AK23" s="33"/>
      <c r="AL23" s="1"/>
      <c r="AM23" s="42" t="s">
        <v>27</v>
      </c>
      <c r="AN23" s="45">
        <v>3.0</v>
      </c>
      <c r="AO23" s="35" t="s">
        <v>16</v>
      </c>
      <c r="AP23" s="35">
        <v>8.0</v>
      </c>
      <c r="AQ23" s="30"/>
      <c r="AR23" s="30"/>
      <c r="AS23" s="31"/>
      <c r="AT23" s="23"/>
      <c r="AU23" s="31"/>
      <c r="AV23" s="23"/>
      <c r="AW23" s="34"/>
      <c r="AX23" s="34"/>
    </row>
    <row r="24" ht="20.25" customHeight="1">
      <c r="A24" s="1"/>
      <c r="B24" s="46"/>
      <c r="C24" s="42" t="s">
        <v>28</v>
      </c>
      <c r="D24" s="47">
        <v>3.0</v>
      </c>
      <c r="E24" s="35" t="s">
        <v>16</v>
      </c>
      <c r="F24" s="47">
        <v>8.0</v>
      </c>
      <c r="G24" s="48"/>
      <c r="H24" s="48"/>
      <c r="I24" s="37" t="s">
        <v>29</v>
      </c>
      <c r="J24" s="23"/>
      <c r="K24" s="49"/>
      <c r="L24" s="23"/>
      <c r="M24" s="5"/>
      <c r="N24" s="46"/>
      <c r="O24" s="42" t="s">
        <v>28</v>
      </c>
      <c r="P24" s="47">
        <v>3.0</v>
      </c>
      <c r="Q24" s="35" t="s">
        <v>16</v>
      </c>
      <c r="R24" s="47">
        <v>8.0</v>
      </c>
      <c r="S24" s="48"/>
      <c r="T24" s="48"/>
      <c r="U24" s="37" t="s">
        <v>29</v>
      </c>
      <c r="V24" s="23"/>
      <c r="W24" s="49"/>
      <c r="X24" s="23"/>
      <c r="Y24" s="2"/>
      <c r="Z24" s="46"/>
      <c r="AA24" s="42" t="s">
        <v>28</v>
      </c>
      <c r="AB24" s="47">
        <v>3.0</v>
      </c>
      <c r="AC24" s="35" t="s">
        <v>16</v>
      </c>
      <c r="AD24" s="47">
        <v>8.0</v>
      </c>
      <c r="AE24" s="48"/>
      <c r="AF24" s="48"/>
      <c r="AG24" s="37" t="s">
        <v>29</v>
      </c>
      <c r="AH24" s="23"/>
      <c r="AI24" s="49"/>
      <c r="AJ24" s="23"/>
      <c r="AK24" s="2"/>
      <c r="AL24" s="46"/>
      <c r="AM24" s="42" t="s">
        <v>28</v>
      </c>
      <c r="AN24" s="47">
        <v>3.0</v>
      </c>
      <c r="AO24" s="35" t="s">
        <v>16</v>
      </c>
      <c r="AP24" s="47">
        <v>8.0</v>
      </c>
      <c r="AQ24" s="48"/>
      <c r="AR24" s="48"/>
      <c r="AS24" s="37" t="s">
        <v>29</v>
      </c>
      <c r="AT24" s="23"/>
      <c r="AU24" s="49"/>
      <c r="AV24" s="23"/>
      <c r="AW24" s="50"/>
      <c r="AX24" s="50"/>
    </row>
    <row r="25" ht="20.25" customHeight="1">
      <c r="A25" s="1"/>
      <c r="B25" s="1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5"/>
      <c r="N25" s="1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"/>
      <c r="Z25" s="1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2"/>
      <c r="AL25" s="1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39"/>
      <c r="AX25" s="39"/>
    </row>
    <row r="26" ht="20.25" customHeight="1">
      <c r="A26" s="1"/>
      <c r="B26" s="46"/>
      <c r="C26" s="51" t="s">
        <v>30</v>
      </c>
      <c r="D26" s="50"/>
      <c r="E26" s="50"/>
      <c r="F26" s="50"/>
      <c r="G26" s="50"/>
      <c r="H26" s="50"/>
      <c r="I26" s="50"/>
      <c r="J26" s="50"/>
      <c r="K26" s="50"/>
      <c r="L26" s="50"/>
      <c r="M26" s="5"/>
      <c r="N26" s="46"/>
      <c r="O26" s="51" t="s">
        <v>30</v>
      </c>
      <c r="P26" s="50"/>
      <c r="Q26" s="50"/>
      <c r="R26" s="50"/>
      <c r="S26" s="50"/>
      <c r="T26" s="50"/>
      <c r="U26" s="50"/>
      <c r="V26" s="50"/>
      <c r="W26" s="50"/>
      <c r="X26" s="50"/>
      <c r="Y26" s="2"/>
      <c r="Z26" s="46"/>
      <c r="AA26" s="51" t="s">
        <v>30</v>
      </c>
      <c r="AB26" s="50"/>
      <c r="AC26" s="50"/>
      <c r="AD26" s="50"/>
      <c r="AE26" s="50"/>
      <c r="AF26" s="50"/>
      <c r="AG26" s="50"/>
      <c r="AH26" s="50"/>
      <c r="AI26" s="50"/>
      <c r="AJ26" s="50"/>
      <c r="AK26" s="2"/>
      <c r="AL26" s="46"/>
      <c r="AM26" s="51" t="s">
        <v>30</v>
      </c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</row>
    <row r="27" ht="20.25" customHeight="1">
      <c r="A27" s="1"/>
      <c r="B27" s="52" t="s">
        <v>31</v>
      </c>
      <c r="C27" s="53" t="s">
        <v>6</v>
      </c>
      <c r="D27" s="53" t="s">
        <v>7</v>
      </c>
      <c r="E27" s="53" t="s">
        <v>8</v>
      </c>
      <c r="F27" s="53" t="s">
        <v>9</v>
      </c>
      <c r="G27" s="53" t="s">
        <v>10</v>
      </c>
      <c r="H27" s="53" t="s">
        <v>11</v>
      </c>
      <c r="I27" s="54" t="s">
        <v>12</v>
      </c>
      <c r="J27" s="23"/>
      <c r="K27" s="54" t="s">
        <v>13</v>
      </c>
      <c r="L27" s="23"/>
      <c r="M27" s="5"/>
      <c r="N27" s="52" t="s">
        <v>31</v>
      </c>
      <c r="O27" s="53" t="s">
        <v>6</v>
      </c>
      <c r="P27" s="53" t="s">
        <v>7</v>
      </c>
      <c r="Q27" s="53" t="s">
        <v>8</v>
      </c>
      <c r="R27" s="53" t="s">
        <v>9</v>
      </c>
      <c r="S27" s="53" t="s">
        <v>10</v>
      </c>
      <c r="T27" s="53" t="s">
        <v>11</v>
      </c>
      <c r="U27" s="54" t="s">
        <v>12</v>
      </c>
      <c r="V27" s="23"/>
      <c r="W27" s="54" t="s">
        <v>13</v>
      </c>
      <c r="X27" s="23"/>
      <c r="Y27" s="2"/>
      <c r="Z27" s="52" t="s">
        <v>31</v>
      </c>
      <c r="AA27" s="53" t="s">
        <v>6</v>
      </c>
      <c r="AB27" s="53" t="s">
        <v>7</v>
      </c>
      <c r="AC27" s="53" t="s">
        <v>8</v>
      </c>
      <c r="AD27" s="53" t="s">
        <v>9</v>
      </c>
      <c r="AE27" s="53" t="s">
        <v>10</v>
      </c>
      <c r="AF27" s="53" t="s">
        <v>11</v>
      </c>
      <c r="AG27" s="54" t="s">
        <v>12</v>
      </c>
      <c r="AH27" s="23"/>
      <c r="AI27" s="54" t="s">
        <v>13</v>
      </c>
      <c r="AJ27" s="23"/>
      <c r="AK27" s="2"/>
      <c r="AL27" s="52" t="s">
        <v>31</v>
      </c>
      <c r="AM27" s="53" t="s">
        <v>6</v>
      </c>
      <c r="AN27" s="53" t="s">
        <v>7</v>
      </c>
      <c r="AO27" s="53" t="s">
        <v>8</v>
      </c>
      <c r="AP27" s="53" t="s">
        <v>9</v>
      </c>
      <c r="AQ27" s="53" t="s">
        <v>10</v>
      </c>
      <c r="AR27" s="53" t="s">
        <v>11</v>
      </c>
      <c r="AS27" s="54" t="s">
        <v>12</v>
      </c>
      <c r="AT27" s="23"/>
      <c r="AU27" s="54" t="s">
        <v>13</v>
      </c>
      <c r="AV27" s="23"/>
      <c r="AW27" s="55"/>
      <c r="AX27" s="55"/>
    </row>
    <row r="28" ht="20.25" customHeight="1">
      <c r="A28" s="1"/>
      <c r="B28" s="56"/>
      <c r="C28" s="42" t="s">
        <v>32</v>
      </c>
      <c r="D28" s="47">
        <v>3.0</v>
      </c>
      <c r="E28" s="35" t="s">
        <v>16</v>
      </c>
      <c r="F28" s="47">
        <v>8.0</v>
      </c>
      <c r="G28" s="48"/>
      <c r="H28" s="48"/>
      <c r="I28" s="49"/>
      <c r="J28" s="23"/>
      <c r="K28" s="49"/>
      <c r="L28" s="23"/>
      <c r="M28" s="5"/>
      <c r="N28" s="56"/>
      <c r="O28" s="42" t="s">
        <v>32</v>
      </c>
      <c r="P28" s="47">
        <v>3.0</v>
      </c>
      <c r="Q28" s="35" t="s">
        <v>16</v>
      </c>
      <c r="R28" s="47">
        <v>8.0</v>
      </c>
      <c r="S28" s="48"/>
      <c r="T28" s="48"/>
      <c r="U28" s="49"/>
      <c r="V28" s="23"/>
      <c r="W28" s="49"/>
      <c r="X28" s="23"/>
      <c r="Y28" s="2"/>
      <c r="Z28" s="56"/>
      <c r="AA28" s="42" t="s">
        <v>32</v>
      </c>
      <c r="AB28" s="47">
        <v>3.0</v>
      </c>
      <c r="AC28" s="35" t="s">
        <v>16</v>
      </c>
      <c r="AD28" s="47">
        <v>8.0</v>
      </c>
      <c r="AE28" s="48"/>
      <c r="AF28" s="48"/>
      <c r="AG28" s="49"/>
      <c r="AH28" s="23"/>
      <c r="AI28" s="49"/>
      <c r="AJ28" s="23"/>
      <c r="AK28" s="2"/>
      <c r="AL28" s="56"/>
      <c r="AM28" s="42" t="s">
        <v>32</v>
      </c>
      <c r="AN28" s="47">
        <v>3.0</v>
      </c>
      <c r="AO28" s="35" t="s">
        <v>16</v>
      </c>
      <c r="AP28" s="47">
        <v>8.0</v>
      </c>
      <c r="AQ28" s="48"/>
      <c r="AR28" s="48"/>
      <c r="AS28" s="49"/>
      <c r="AT28" s="23"/>
      <c r="AU28" s="49"/>
      <c r="AV28" s="23"/>
      <c r="AW28" s="50"/>
      <c r="AX28" s="50"/>
    </row>
    <row r="29" ht="20.25" customHeight="1">
      <c r="A29" s="1"/>
      <c r="B29" s="56"/>
      <c r="C29" s="42" t="s">
        <v>33</v>
      </c>
      <c r="D29" s="47">
        <v>3.0</v>
      </c>
      <c r="E29" s="57">
        <v>8.0</v>
      </c>
      <c r="F29" s="47">
        <v>8.0</v>
      </c>
      <c r="G29" s="48"/>
      <c r="H29" s="48"/>
      <c r="I29" s="49"/>
      <c r="J29" s="23"/>
      <c r="K29" s="49"/>
      <c r="L29" s="23"/>
      <c r="M29" s="5"/>
      <c r="N29" s="56"/>
      <c r="O29" s="42" t="s">
        <v>33</v>
      </c>
      <c r="P29" s="47">
        <v>3.0</v>
      </c>
      <c r="Q29" s="57">
        <v>8.0</v>
      </c>
      <c r="R29" s="47">
        <v>8.0</v>
      </c>
      <c r="S29" s="48"/>
      <c r="T29" s="48"/>
      <c r="U29" s="49"/>
      <c r="V29" s="23"/>
      <c r="W29" s="49"/>
      <c r="X29" s="23"/>
      <c r="Y29" s="2"/>
      <c r="Z29" s="56"/>
      <c r="AA29" s="42" t="s">
        <v>33</v>
      </c>
      <c r="AB29" s="47">
        <v>3.0</v>
      </c>
      <c r="AC29" s="57">
        <v>8.0</v>
      </c>
      <c r="AD29" s="47">
        <v>8.0</v>
      </c>
      <c r="AE29" s="48"/>
      <c r="AF29" s="48"/>
      <c r="AG29" s="49"/>
      <c r="AH29" s="23"/>
      <c r="AI29" s="49"/>
      <c r="AJ29" s="23"/>
      <c r="AK29" s="2"/>
      <c r="AL29" s="56"/>
      <c r="AM29" s="42" t="s">
        <v>33</v>
      </c>
      <c r="AN29" s="47">
        <v>3.0</v>
      </c>
      <c r="AO29" s="57">
        <v>8.0</v>
      </c>
      <c r="AP29" s="47">
        <v>8.0</v>
      </c>
      <c r="AQ29" s="48"/>
      <c r="AR29" s="48"/>
      <c r="AS29" s="49"/>
      <c r="AT29" s="23"/>
      <c r="AU29" s="49"/>
      <c r="AV29" s="23"/>
      <c r="AW29" s="50"/>
      <c r="AX29" s="50"/>
    </row>
    <row r="30" ht="20.25" customHeight="1">
      <c r="A30" s="1"/>
      <c r="B30" s="56"/>
      <c r="C30" s="42" t="s">
        <v>34</v>
      </c>
      <c r="D30" s="47">
        <v>3.0</v>
      </c>
      <c r="E30" s="35" t="s">
        <v>16</v>
      </c>
      <c r="F30" s="47">
        <v>8.0</v>
      </c>
      <c r="G30" s="48"/>
      <c r="H30" s="49"/>
      <c r="I30" s="49"/>
      <c r="J30" s="23"/>
      <c r="K30" s="49"/>
      <c r="L30" s="23"/>
      <c r="M30" s="5"/>
      <c r="N30" s="56"/>
      <c r="O30" s="42" t="s">
        <v>34</v>
      </c>
      <c r="P30" s="47">
        <v>3.0</v>
      </c>
      <c r="Q30" s="35" t="s">
        <v>16</v>
      </c>
      <c r="R30" s="47">
        <v>8.0</v>
      </c>
      <c r="S30" s="48"/>
      <c r="T30" s="49"/>
      <c r="U30" s="49"/>
      <c r="V30" s="23"/>
      <c r="W30" s="49"/>
      <c r="X30" s="23"/>
      <c r="Y30" s="2"/>
      <c r="Z30" s="56"/>
      <c r="AA30" s="42" t="s">
        <v>34</v>
      </c>
      <c r="AB30" s="47">
        <v>3.0</v>
      </c>
      <c r="AC30" s="35" t="s">
        <v>16</v>
      </c>
      <c r="AD30" s="47">
        <v>8.0</v>
      </c>
      <c r="AE30" s="48"/>
      <c r="AF30" s="49"/>
      <c r="AG30" s="49"/>
      <c r="AH30" s="23"/>
      <c r="AI30" s="49"/>
      <c r="AJ30" s="23"/>
      <c r="AK30" s="2"/>
      <c r="AL30" s="56"/>
      <c r="AM30" s="42" t="s">
        <v>34</v>
      </c>
      <c r="AN30" s="47">
        <v>3.0</v>
      </c>
      <c r="AO30" s="35" t="s">
        <v>16</v>
      </c>
      <c r="AP30" s="47">
        <v>8.0</v>
      </c>
      <c r="AQ30" s="48"/>
      <c r="AR30" s="49"/>
      <c r="AS30" s="49"/>
      <c r="AT30" s="23"/>
      <c r="AU30" s="49"/>
      <c r="AV30" s="23"/>
      <c r="AW30" s="50"/>
      <c r="AX30" s="50"/>
    </row>
    <row r="31" ht="20.25" customHeight="1">
      <c r="A31" s="1"/>
      <c r="B31" s="56"/>
      <c r="C31" s="42" t="s">
        <v>35</v>
      </c>
      <c r="D31" s="58">
        <v>3.0</v>
      </c>
      <c r="E31" s="35" t="s">
        <v>16</v>
      </c>
      <c r="F31" s="47">
        <v>8.0</v>
      </c>
      <c r="G31" s="48"/>
      <c r="H31" s="48"/>
      <c r="I31" s="59" t="s">
        <v>36</v>
      </c>
      <c r="J31" s="23"/>
      <c r="K31" s="49"/>
      <c r="L31" s="23"/>
      <c r="M31" s="5"/>
      <c r="N31" s="56"/>
      <c r="O31" s="42" t="s">
        <v>35</v>
      </c>
      <c r="P31" s="58">
        <v>3.0</v>
      </c>
      <c r="Q31" s="35" t="s">
        <v>16</v>
      </c>
      <c r="R31" s="47">
        <v>8.0</v>
      </c>
      <c r="S31" s="48"/>
      <c r="T31" s="48"/>
      <c r="U31" s="59" t="s">
        <v>36</v>
      </c>
      <c r="V31" s="23"/>
      <c r="W31" s="49"/>
      <c r="X31" s="23"/>
      <c r="Y31" s="2"/>
      <c r="Z31" s="56"/>
      <c r="AA31" s="42" t="s">
        <v>35</v>
      </c>
      <c r="AB31" s="58">
        <v>3.0</v>
      </c>
      <c r="AC31" s="35" t="s">
        <v>16</v>
      </c>
      <c r="AD31" s="47">
        <v>8.0</v>
      </c>
      <c r="AE31" s="48"/>
      <c r="AF31" s="48"/>
      <c r="AG31" s="59" t="s">
        <v>36</v>
      </c>
      <c r="AH31" s="23"/>
      <c r="AI31" s="49"/>
      <c r="AJ31" s="23"/>
      <c r="AK31" s="2"/>
      <c r="AL31" s="56"/>
      <c r="AM31" s="42" t="s">
        <v>35</v>
      </c>
      <c r="AN31" s="58">
        <v>3.0</v>
      </c>
      <c r="AO31" s="35" t="s">
        <v>16</v>
      </c>
      <c r="AP31" s="47">
        <v>8.0</v>
      </c>
      <c r="AQ31" s="48"/>
      <c r="AR31" s="48"/>
      <c r="AS31" s="59" t="s">
        <v>36</v>
      </c>
      <c r="AT31" s="23"/>
      <c r="AU31" s="49"/>
      <c r="AV31" s="23"/>
      <c r="AW31" s="50"/>
      <c r="AX31" s="50"/>
    </row>
    <row r="32" ht="20.25" customHeight="1">
      <c r="A32" s="1"/>
      <c r="B32" s="46"/>
      <c r="C32" s="60" t="s">
        <v>37</v>
      </c>
      <c r="D32" s="47">
        <v>3.0</v>
      </c>
      <c r="E32" s="35" t="s">
        <v>16</v>
      </c>
      <c r="F32" s="47">
        <v>8.0</v>
      </c>
      <c r="G32" s="48"/>
      <c r="H32" s="48"/>
      <c r="I32" s="61"/>
      <c r="J32" s="23"/>
      <c r="K32" s="49"/>
      <c r="L32" s="23"/>
      <c r="M32" s="5"/>
      <c r="N32" s="46"/>
      <c r="O32" s="60" t="s">
        <v>37</v>
      </c>
      <c r="P32" s="47">
        <v>3.0</v>
      </c>
      <c r="Q32" s="35" t="s">
        <v>16</v>
      </c>
      <c r="R32" s="47">
        <v>8.0</v>
      </c>
      <c r="S32" s="48"/>
      <c r="T32" s="48"/>
      <c r="U32" s="61"/>
      <c r="V32" s="23"/>
      <c r="W32" s="49"/>
      <c r="X32" s="23"/>
      <c r="Y32" s="2"/>
      <c r="Z32" s="46"/>
      <c r="AA32" s="60" t="s">
        <v>37</v>
      </c>
      <c r="AB32" s="47">
        <v>3.0</v>
      </c>
      <c r="AC32" s="35" t="s">
        <v>16</v>
      </c>
      <c r="AD32" s="47">
        <v>8.0</v>
      </c>
      <c r="AE32" s="48"/>
      <c r="AF32" s="48"/>
      <c r="AG32" s="61"/>
      <c r="AH32" s="23"/>
      <c r="AI32" s="49"/>
      <c r="AJ32" s="23"/>
      <c r="AK32" s="2"/>
      <c r="AL32" s="46"/>
      <c r="AM32" s="60" t="s">
        <v>37</v>
      </c>
      <c r="AN32" s="47">
        <v>3.0</v>
      </c>
      <c r="AO32" s="35" t="s">
        <v>16</v>
      </c>
      <c r="AP32" s="47">
        <v>8.0</v>
      </c>
      <c r="AQ32" s="48"/>
      <c r="AR32" s="48"/>
      <c r="AS32" s="61"/>
      <c r="AT32" s="23"/>
      <c r="AU32" s="49"/>
      <c r="AV32" s="23"/>
      <c r="AW32" s="50"/>
      <c r="AX32" s="50"/>
    </row>
    <row r="33" ht="20.25" customHeight="1">
      <c r="A33" s="1"/>
      <c r="B33" s="1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5"/>
      <c r="N33" s="1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"/>
      <c r="Z33" s="1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2"/>
      <c r="AL33" s="1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39"/>
      <c r="AX33" s="39"/>
    </row>
    <row r="34" ht="20.25" customHeight="1">
      <c r="A34" s="1"/>
      <c r="B34" s="1"/>
      <c r="C34" s="62" t="s">
        <v>38</v>
      </c>
      <c r="D34" s="63"/>
      <c r="E34" s="63"/>
      <c r="F34" s="63"/>
      <c r="G34" s="63"/>
      <c r="H34" s="63"/>
      <c r="I34" s="63"/>
      <c r="J34" s="63"/>
      <c r="K34" s="63"/>
      <c r="L34" s="23"/>
      <c r="M34" s="5"/>
      <c r="N34" s="1"/>
      <c r="O34" s="62" t="s">
        <v>38</v>
      </c>
      <c r="P34" s="63"/>
      <c r="Q34" s="63"/>
      <c r="R34" s="63"/>
      <c r="S34" s="63"/>
      <c r="T34" s="63"/>
      <c r="U34" s="63"/>
      <c r="V34" s="63"/>
      <c r="W34" s="63"/>
      <c r="X34" s="23"/>
      <c r="Y34" s="64"/>
      <c r="Z34" s="1"/>
      <c r="AA34" s="62" t="s">
        <v>38</v>
      </c>
      <c r="AB34" s="63"/>
      <c r="AC34" s="63"/>
      <c r="AD34" s="63"/>
      <c r="AE34" s="63"/>
      <c r="AF34" s="63"/>
      <c r="AG34" s="63"/>
      <c r="AH34" s="63"/>
      <c r="AI34" s="63"/>
      <c r="AJ34" s="23"/>
      <c r="AK34" s="3"/>
      <c r="AL34" s="1"/>
      <c r="AM34" s="62" t="s">
        <v>38</v>
      </c>
      <c r="AN34" s="63"/>
      <c r="AO34" s="63"/>
      <c r="AP34" s="63"/>
      <c r="AQ34" s="63"/>
      <c r="AR34" s="63"/>
      <c r="AS34" s="63"/>
      <c r="AT34" s="63"/>
      <c r="AU34" s="63"/>
      <c r="AV34" s="23"/>
      <c r="AW34" s="65"/>
      <c r="AX34" s="65"/>
    </row>
    <row r="35" ht="27.0" customHeight="1">
      <c r="A35" s="4"/>
      <c r="B35" s="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32"/>
      <c r="N35" s="2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34"/>
      <c r="Z35" s="2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33"/>
      <c r="AL35" s="2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39"/>
      <c r="AX35" s="39"/>
    </row>
    <row r="36">
      <c r="A36" s="1"/>
      <c r="B36" s="16"/>
      <c r="C36" s="12" t="s">
        <v>39</v>
      </c>
      <c r="D36" s="40"/>
      <c r="E36" s="40"/>
      <c r="F36" s="1"/>
      <c r="G36" s="1"/>
      <c r="H36" s="1"/>
      <c r="I36" s="1"/>
      <c r="J36" s="1"/>
      <c r="K36" s="1"/>
      <c r="L36" s="1"/>
      <c r="M36" s="32"/>
      <c r="N36" s="16"/>
      <c r="O36" s="12" t="s">
        <v>39</v>
      </c>
      <c r="P36" s="40"/>
      <c r="Q36" s="40"/>
      <c r="R36" s="1"/>
      <c r="S36" s="1"/>
      <c r="T36" s="1"/>
      <c r="U36" s="1"/>
      <c r="V36" s="1"/>
      <c r="W36" s="1"/>
      <c r="X36" s="1"/>
      <c r="Y36" s="34"/>
      <c r="Z36" s="16"/>
      <c r="AA36" s="12" t="s">
        <v>39</v>
      </c>
      <c r="AB36" s="40"/>
      <c r="AC36" s="40"/>
      <c r="AD36" s="1"/>
      <c r="AE36" s="1"/>
      <c r="AF36" s="1"/>
      <c r="AG36" s="1"/>
      <c r="AH36" s="1"/>
      <c r="AI36" s="1"/>
      <c r="AJ36" s="1"/>
      <c r="AK36" s="33"/>
      <c r="AL36" s="16"/>
      <c r="AM36" s="12" t="s">
        <v>39</v>
      </c>
      <c r="AN36" s="40"/>
      <c r="AO36" s="40"/>
      <c r="AP36" s="1"/>
      <c r="AQ36" s="1"/>
      <c r="AR36" s="1"/>
      <c r="AS36" s="1"/>
      <c r="AT36" s="1"/>
      <c r="AU36" s="1"/>
      <c r="AV36" s="1"/>
      <c r="AW36" s="1"/>
      <c r="AX36" s="1"/>
    </row>
    <row r="37" ht="20.25" customHeight="1">
      <c r="A37" s="7"/>
      <c r="B37" s="66" t="s">
        <v>40</v>
      </c>
      <c r="C37" s="21" t="s">
        <v>6</v>
      </c>
      <c r="D37" s="21" t="s">
        <v>7</v>
      </c>
      <c r="E37" s="21" t="s">
        <v>8</v>
      </c>
      <c r="F37" s="20" t="s">
        <v>9</v>
      </c>
      <c r="G37" s="21" t="s">
        <v>10</v>
      </c>
      <c r="H37" s="21" t="s">
        <v>11</v>
      </c>
      <c r="I37" s="22" t="s">
        <v>12</v>
      </c>
      <c r="J37" s="23"/>
      <c r="K37" s="22" t="s">
        <v>13</v>
      </c>
      <c r="L37" s="23"/>
      <c r="M37" s="5"/>
      <c r="N37" s="66" t="s">
        <v>40</v>
      </c>
      <c r="O37" s="21" t="s">
        <v>6</v>
      </c>
      <c r="P37" s="21" t="s">
        <v>7</v>
      </c>
      <c r="Q37" s="21" t="s">
        <v>8</v>
      </c>
      <c r="R37" s="20" t="s">
        <v>9</v>
      </c>
      <c r="S37" s="21" t="s">
        <v>10</v>
      </c>
      <c r="T37" s="21" t="s">
        <v>11</v>
      </c>
      <c r="U37" s="22" t="s">
        <v>12</v>
      </c>
      <c r="V37" s="23"/>
      <c r="W37" s="22" t="s">
        <v>13</v>
      </c>
      <c r="X37" s="23"/>
      <c r="Y37" s="34"/>
      <c r="Z37" s="66" t="s">
        <v>40</v>
      </c>
      <c r="AA37" s="21" t="s">
        <v>6</v>
      </c>
      <c r="AB37" s="21" t="s">
        <v>7</v>
      </c>
      <c r="AC37" s="21" t="s">
        <v>8</v>
      </c>
      <c r="AD37" s="20" t="s">
        <v>9</v>
      </c>
      <c r="AE37" s="21" t="s">
        <v>10</v>
      </c>
      <c r="AF37" s="21" t="s">
        <v>11</v>
      </c>
      <c r="AG37" s="22" t="s">
        <v>12</v>
      </c>
      <c r="AH37" s="23"/>
      <c r="AI37" s="22" t="s">
        <v>13</v>
      </c>
      <c r="AJ37" s="23"/>
      <c r="AK37" s="67"/>
      <c r="AL37" s="66" t="s">
        <v>40</v>
      </c>
      <c r="AM37" s="21" t="s">
        <v>6</v>
      </c>
      <c r="AN37" s="21" t="s">
        <v>7</v>
      </c>
      <c r="AO37" s="21" t="s">
        <v>8</v>
      </c>
      <c r="AP37" s="20" t="s">
        <v>9</v>
      </c>
      <c r="AQ37" s="21" t="s">
        <v>10</v>
      </c>
      <c r="AR37" s="21" t="s">
        <v>11</v>
      </c>
      <c r="AS37" s="22" t="s">
        <v>12</v>
      </c>
      <c r="AT37" s="23"/>
      <c r="AU37" s="22" t="s">
        <v>13</v>
      </c>
      <c r="AV37" s="23"/>
      <c r="AW37" s="25"/>
      <c r="AX37" s="25"/>
    </row>
    <row r="38" ht="20.25" customHeight="1">
      <c r="A38" s="68"/>
      <c r="B38" s="1"/>
      <c r="C38" s="42" t="s">
        <v>41</v>
      </c>
      <c r="D38" s="35">
        <v>3.0</v>
      </c>
      <c r="E38" s="35">
        <v>8.0</v>
      </c>
      <c r="F38" s="35">
        <v>8.0</v>
      </c>
      <c r="G38" s="43"/>
      <c r="H38" s="30"/>
      <c r="I38" s="31"/>
      <c r="J38" s="23"/>
      <c r="K38" s="31"/>
      <c r="L38" s="23"/>
      <c r="M38" s="5"/>
      <c r="N38" s="1"/>
      <c r="O38" s="42" t="s">
        <v>41</v>
      </c>
      <c r="P38" s="35">
        <v>3.0</v>
      </c>
      <c r="Q38" s="35">
        <v>8.0</v>
      </c>
      <c r="R38" s="35">
        <v>8.0</v>
      </c>
      <c r="S38" s="43"/>
      <c r="T38" s="30"/>
      <c r="U38" s="31"/>
      <c r="V38" s="23"/>
      <c r="W38" s="31"/>
      <c r="X38" s="23"/>
      <c r="Y38" s="24"/>
      <c r="Z38" s="1"/>
      <c r="AA38" s="42" t="s">
        <v>41</v>
      </c>
      <c r="AB38" s="35">
        <v>3.0</v>
      </c>
      <c r="AC38" s="35">
        <v>8.0</v>
      </c>
      <c r="AD38" s="35">
        <v>8.0</v>
      </c>
      <c r="AE38" s="43"/>
      <c r="AF38" s="30"/>
      <c r="AG38" s="31"/>
      <c r="AH38" s="23"/>
      <c r="AI38" s="31"/>
      <c r="AJ38" s="23"/>
      <c r="AK38" s="69"/>
      <c r="AL38" s="1"/>
      <c r="AM38" s="42" t="s">
        <v>41</v>
      </c>
      <c r="AN38" s="35">
        <v>3.0</v>
      </c>
      <c r="AO38" s="35">
        <v>8.0</v>
      </c>
      <c r="AP38" s="35">
        <v>8.0</v>
      </c>
      <c r="AQ38" s="43"/>
      <c r="AR38" s="30"/>
      <c r="AS38" s="31"/>
      <c r="AT38" s="23"/>
      <c r="AU38" s="31"/>
      <c r="AV38" s="23"/>
      <c r="AW38" s="34"/>
      <c r="AX38" s="34"/>
    </row>
    <row r="39" ht="20.25" customHeight="1">
      <c r="A39" s="1"/>
      <c r="B39" s="1"/>
      <c r="C39" s="42" t="s">
        <v>42</v>
      </c>
      <c r="D39" s="35">
        <v>3.0</v>
      </c>
      <c r="E39" s="35" t="s">
        <v>16</v>
      </c>
      <c r="F39" s="35">
        <v>8.0</v>
      </c>
      <c r="G39" s="30"/>
      <c r="H39" s="70"/>
      <c r="I39" s="31" t="s">
        <v>17</v>
      </c>
      <c r="J39" s="23"/>
      <c r="K39" s="31"/>
      <c r="L39" s="23"/>
      <c r="M39" s="32"/>
      <c r="N39" s="1"/>
      <c r="O39" s="42" t="s">
        <v>42</v>
      </c>
      <c r="P39" s="35">
        <v>3.0</v>
      </c>
      <c r="Q39" s="35" t="s">
        <v>16</v>
      </c>
      <c r="R39" s="35">
        <v>8.0</v>
      </c>
      <c r="S39" s="30"/>
      <c r="T39" s="70"/>
      <c r="U39" s="31" t="s">
        <v>17</v>
      </c>
      <c r="V39" s="23"/>
      <c r="W39" s="31"/>
      <c r="X39" s="23"/>
      <c r="Y39" s="1"/>
      <c r="Z39" s="1"/>
      <c r="AA39" s="42" t="s">
        <v>42</v>
      </c>
      <c r="AB39" s="35">
        <v>3.0</v>
      </c>
      <c r="AC39" s="35" t="s">
        <v>16</v>
      </c>
      <c r="AD39" s="35">
        <v>8.0</v>
      </c>
      <c r="AE39" s="30"/>
      <c r="AF39" s="70"/>
      <c r="AG39" s="31" t="s">
        <v>17</v>
      </c>
      <c r="AH39" s="23"/>
      <c r="AI39" s="31"/>
      <c r="AJ39" s="23"/>
      <c r="AK39" s="33"/>
      <c r="AL39" s="1"/>
      <c r="AM39" s="42" t="s">
        <v>42</v>
      </c>
      <c r="AN39" s="35">
        <v>3.0</v>
      </c>
      <c r="AO39" s="35" t="s">
        <v>16</v>
      </c>
      <c r="AP39" s="35">
        <v>8.0</v>
      </c>
      <c r="AQ39" s="30"/>
      <c r="AR39" s="70"/>
      <c r="AS39" s="31" t="s">
        <v>17</v>
      </c>
      <c r="AT39" s="23"/>
      <c r="AU39" s="31"/>
      <c r="AV39" s="23"/>
      <c r="AW39" s="34"/>
      <c r="AX39" s="34"/>
    </row>
    <row r="40" ht="20.25" customHeight="1">
      <c r="A40" s="4"/>
      <c r="B40" s="1"/>
      <c r="C40" s="42" t="s">
        <v>20</v>
      </c>
      <c r="D40" s="45">
        <v>3.0</v>
      </c>
      <c r="E40" s="35" t="s">
        <v>16</v>
      </c>
      <c r="F40" s="35">
        <v>8.0</v>
      </c>
      <c r="G40" s="30"/>
      <c r="H40" s="30"/>
      <c r="I40" s="37" t="s">
        <v>19</v>
      </c>
      <c r="J40" s="23"/>
      <c r="K40" s="31"/>
      <c r="L40" s="23"/>
      <c r="M40" s="32"/>
      <c r="N40" s="1"/>
      <c r="O40" s="42" t="s">
        <v>20</v>
      </c>
      <c r="P40" s="45">
        <v>3.0</v>
      </c>
      <c r="Q40" s="35" t="s">
        <v>16</v>
      </c>
      <c r="R40" s="35">
        <v>8.0</v>
      </c>
      <c r="S40" s="30"/>
      <c r="T40" s="30"/>
      <c r="U40" s="37" t="s">
        <v>19</v>
      </c>
      <c r="V40" s="23"/>
      <c r="W40" s="31"/>
      <c r="X40" s="23"/>
      <c r="Y40" s="34"/>
      <c r="Z40" s="1"/>
      <c r="AA40" s="42" t="s">
        <v>20</v>
      </c>
      <c r="AB40" s="45">
        <v>3.0</v>
      </c>
      <c r="AC40" s="35" t="s">
        <v>16</v>
      </c>
      <c r="AD40" s="35">
        <v>8.0</v>
      </c>
      <c r="AE40" s="30"/>
      <c r="AF40" s="30"/>
      <c r="AG40" s="37" t="s">
        <v>19</v>
      </c>
      <c r="AH40" s="23"/>
      <c r="AI40" s="31"/>
      <c r="AJ40" s="23"/>
      <c r="AK40" s="33"/>
      <c r="AL40" s="1"/>
      <c r="AM40" s="42" t="s">
        <v>20</v>
      </c>
      <c r="AN40" s="45">
        <v>3.0</v>
      </c>
      <c r="AO40" s="35" t="s">
        <v>16</v>
      </c>
      <c r="AP40" s="35">
        <v>8.0</v>
      </c>
      <c r="AQ40" s="30"/>
      <c r="AR40" s="30"/>
      <c r="AS40" s="37" t="s">
        <v>19</v>
      </c>
      <c r="AT40" s="23"/>
      <c r="AU40" s="31"/>
      <c r="AV40" s="23"/>
      <c r="AW40" s="34"/>
      <c r="AX40" s="34"/>
    </row>
    <row r="41" ht="20.25" customHeight="1">
      <c r="A41" s="1"/>
      <c r="B41" s="1"/>
      <c r="C41" s="42" t="s">
        <v>18</v>
      </c>
      <c r="D41" s="35">
        <v>3.0</v>
      </c>
      <c r="E41" s="35" t="s">
        <v>16</v>
      </c>
      <c r="F41" s="35">
        <v>8.0</v>
      </c>
      <c r="G41" s="30"/>
      <c r="H41" s="70"/>
      <c r="I41" s="37" t="s">
        <v>19</v>
      </c>
      <c r="J41" s="23"/>
      <c r="K41" s="31"/>
      <c r="L41" s="23"/>
      <c r="M41" s="32"/>
      <c r="N41" s="1"/>
      <c r="O41" s="42" t="s">
        <v>18</v>
      </c>
      <c r="P41" s="35">
        <v>3.0</v>
      </c>
      <c r="Q41" s="35" t="s">
        <v>16</v>
      </c>
      <c r="R41" s="35">
        <v>8.0</v>
      </c>
      <c r="S41" s="30"/>
      <c r="T41" s="70"/>
      <c r="U41" s="37" t="s">
        <v>19</v>
      </c>
      <c r="V41" s="23"/>
      <c r="W41" s="31"/>
      <c r="X41" s="23"/>
      <c r="Y41" s="1"/>
      <c r="Z41" s="1"/>
      <c r="AA41" s="42" t="s">
        <v>18</v>
      </c>
      <c r="AB41" s="35">
        <v>3.0</v>
      </c>
      <c r="AC41" s="35" t="s">
        <v>16</v>
      </c>
      <c r="AD41" s="35">
        <v>8.0</v>
      </c>
      <c r="AE41" s="30"/>
      <c r="AF41" s="70"/>
      <c r="AG41" s="37" t="s">
        <v>19</v>
      </c>
      <c r="AH41" s="23"/>
      <c r="AI41" s="31"/>
      <c r="AJ41" s="23"/>
      <c r="AK41" s="33"/>
      <c r="AL41" s="1"/>
      <c r="AM41" s="42" t="s">
        <v>18</v>
      </c>
      <c r="AN41" s="35">
        <v>3.0</v>
      </c>
      <c r="AO41" s="35" t="s">
        <v>16</v>
      </c>
      <c r="AP41" s="35">
        <v>8.0</v>
      </c>
      <c r="AQ41" s="30"/>
      <c r="AR41" s="70"/>
      <c r="AS41" s="37" t="s">
        <v>19</v>
      </c>
      <c r="AT41" s="23"/>
      <c r="AU41" s="31"/>
      <c r="AV41" s="23"/>
      <c r="AW41" s="34"/>
      <c r="AX41" s="34"/>
    </row>
    <row r="42" ht="20.25" customHeight="1">
      <c r="A42" s="1"/>
      <c r="B42" s="1"/>
      <c r="C42" s="42" t="s">
        <v>43</v>
      </c>
      <c r="D42" s="71">
        <v>3.0</v>
      </c>
      <c r="E42" s="35" t="s">
        <v>16</v>
      </c>
      <c r="F42" s="35">
        <v>8.0</v>
      </c>
      <c r="G42" s="30"/>
      <c r="H42" s="30"/>
      <c r="I42" s="31"/>
      <c r="J42" s="23"/>
      <c r="K42" s="31"/>
      <c r="L42" s="23"/>
      <c r="M42" s="5"/>
      <c r="N42" s="1"/>
      <c r="O42" s="42" t="s">
        <v>43</v>
      </c>
      <c r="P42" s="71">
        <v>3.0</v>
      </c>
      <c r="Q42" s="35" t="s">
        <v>16</v>
      </c>
      <c r="R42" s="35">
        <v>8.0</v>
      </c>
      <c r="S42" s="30"/>
      <c r="T42" s="30"/>
      <c r="U42" s="31"/>
      <c r="V42" s="23"/>
      <c r="W42" s="31"/>
      <c r="X42" s="23"/>
      <c r="Y42" s="2"/>
      <c r="Z42" s="1"/>
      <c r="AA42" s="42" t="s">
        <v>43</v>
      </c>
      <c r="AB42" s="71">
        <v>3.0</v>
      </c>
      <c r="AC42" s="35" t="s">
        <v>16</v>
      </c>
      <c r="AD42" s="35">
        <v>8.0</v>
      </c>
      <c r="AE42" s="30"/>
      <c r="AF42" s="30"/>
      <c r="AG42" s="31"/>
      <c r="AH42" s="23"/>
      <c r="AI42" s="31"/>
      <c r="AJ42" s="23"/>
      <c r="AK42" s="2"/>
      <c r="AL42" s="1"/>
      <c r="AM42" s="42" t="s">
        <v>43</v>
      </c>
      <c r="AN42" s="71">
        <v>3.0</v>
      </c>
      <c r="AO42" s="35" t="s">
        <v>16</v>
      </c>
      <c r="AP42" s="35">
        <v>8.0</v>
      </c>
      <c r="AQ42" s="30"/>
      <c r="AR42" s="30"/>
      <c r="AS42" s="31"/>
      <c r="AT42" s="23"/>
      <c r="AU42" s="31"/>
      <c r="AV42" s="23"/>
      <c r="AW42" s="34"/>
      <c r="AX42" s="34"/>
    </row>
    <row r="43" ht="20.25" customHeight="1">
      <c r="A43" s="1"/>
      <c r="B43" s="16"/>
      <c r="C43" s="42" t="s">
        <v>44</v>
      </c>
      <c r="D43" s="45">
        <v>3.0</v>
      </c>
      <c r="E43" s="35" t="s">
        <v>16</v>
      </c>
      <c r="F43" s="35">
        <v>8.0</v>
      </c>
      <c r="G43" s="30"/>
      <c r="H43" s="30"/>
      <c r="I43" s="31"/>
      <c r="J43" s="23"/>
      <c r="K43" s="31"/>
      <c r="L43" s="23"/>
      <c r="M43" s="5"/>
      <c r="N43" s="16"/>
      <c r="O43" s="42" t="s">
        <v>44</v>
      </c>
      <c r="P43" s="45">
        <v>3.0</v>
      </c>
      <c r="Q43" s="35" t="s">
        <v>16</v>
      </c>
      <c r="R43" s="35">
        <v>8.0</v>
      </c>
      <c r="S43" s="30"/>
      <c r="T43" s="30"/>
      <c r="U43" s="31"/>
      <c r="V43" s="23"/>
      <c r="W43" s="31"/>
      <c r="X43" s="23"/>
      <c r="Y43" s="64"/>
      <c r="Z43" s="16"/>
      <c r="AA43" s="42" t="s">
        <v>44</v>
      </c>
      <c r="AB43" s="45">
        <v>3.0</v>
      </c>
      <c r="AC43" s="35" t="s">
        <v>16</v>
      </c>
      <c r="AD43" s="35">
        <v>8.0</v>
      </c>
      <c r="AE43" s="30"/>
      <c r="AF43" s="30"/>
      <c r="AG43" s="31"/>
      <c r="AH43" s="23"/>
      <c r="AI43" s="31"/>
      <c r="AJ43" s="23"/>
      <c r="AK43" s="3"/>
      <c r="AL43" s="16"/>
      <c r="AM43" s="42" t="s">
        <v>44</v>
      </c>
      <c r="AN43" s="45">
        <v>3.0</v>
      </c>
      <c r="AO43" s="35" t="s">
        <v>16</v>
      </c>
      <c r="AP43" s="35">
        <v>8.0</v>
      </c>
      <c r="AQ43" s="30"/>
      <c r="AR43" s="30"/>
      <c r="AS43" s="31"/>
      <c r="AT43" s="23"/>
      <c r="AU43" s="31"/>
      <c r="AV43" s="23"/>
      <c r="AW43" s="34"/>
      <c r="AX43" s="34"/>
    </row>
    <row r="44" ht="20.25" customHeight="1">
      <c r="A44" s="1"/>
      <c r="B44" s="2"/>
      <c r="C44" s="2"/>
      <c r="D44" s="3"/>
      <c r="E44" s="3"/>
      <c r="F44" s="2"/>
      <c r="G44" s="4"/>
      <c r="H44" s="1"/>
      <c r="I44" s="1"/>
      <c r="J44" s="1"/>
      <c r="K44" s="1"/>
      <c r="L44" s="1"/>
      <c r="M44" s="5"/>
      <c r="N44" s="2"/>
      <c r="O44" s="2"/>
      <c r="P44" s="3"/>
      <c r="Q44" s="3"/>
      <c r="R44" s="2"/>
      <c r="S44" s="4"/>
      <c r="T44" s="1"/>
      <c r="U44" s="1"/>
      <c r="V44" s="1"/>
      <c r="W44" s="1"/>
      <c r="X44" s="1"/>
      <c r="Y44" s="2"/>
      <c r="Z44" s="2"/>
      <c r="AA44" s="2"/>
      <c r="AB44" s="3"/>
      <c r="AC44" s="3"/>
      <c r="AD44" s="2"/>
      <c r="AE44" s="4"/>
      <c r="AF44" s="1"/>
      <c r="AG44" s="1"/>
      <c r="AH44" s="1"/>
      <c r="AI44" s="1"/>
      <c r="AJ44" s="1"/>
      <c r="AK44" s="2"/>
      <c r="AL44" s="2"/>
      <c r="AM44" s="2"/>
      <c r="AN44" s="3"/>
      <c r="AO44" s="3"/>
      <c r="AP44" s="2"/>
      <c r="AQ44" s="4"/>
      <c r="AR44" s="1"/>
      <c r="AS44" s="1"/>
      <c r="AT44" s="1"/>
      <c r="AU44" s="1"/>
      <c r="AV44" s="1"/>
      <c r="AW44" s="1"/>
      <c r="AX44" s="1"/>
    </row>
    <row r="45" ht="20.25" customHeight="1">
      <c r="A45" s="1"/>
      <c r="B45" s="16"/>
      <c r="C45" s="12" t="s">
        <v>45</v>
      </c>
      <c r="D45" s="40"/>
      <c r="E45" s="40"/>
      <c r="F45" s="1"/>
      <c r="G45" s="1"/>
      <c r="H45" s="1"/>
      <c r="I45" s="1"/>
      <c r="J45" s="1"/>
      <c r="K45" s="1"/>
      <c r="L45" s="1"/>
      <c r="M45" s="5"/>
      <c r="N45" s="16"/>
      <c r="O45" s="12" t="s">
        <v>45</v>
      </c>
      <c r="P45" s="40"/>
      <c r="Q45" s="40"/>
      <c r="R45" s="1"/>
      <c r="S45" s="1"/>
      <c r="T45" s="1"/>
      <c r="U45" s="1"/>
      <c r="V45" s="1"/>
      <c r="W45" s="1"/>
      <c r="X45" s="1"/>
      <c r="Y45" s="2"/>
      <c r="Z45" s="16"/>
      <c r="AA45" s="12" t="s">
        <v>45</v>
      </c>
      <c r="AB45" s="40"/>
      <c r="AC45" s="40"/>
      <c r="AD45" s="1"/>
      <c r="AE45" s="1"/>
      <c r="AF45" s="1"/>
      <c r="AG45" s="1"/>
      <c r="AH45" s="1"/>
      <c r="AI45" s="1"/>
      <c r="AJ45" s="1"/>
      <c r="AK45" s="2"/>
      <c r="AL45" s="16"/>
      <c r="AM45" s="12" t="s">
        <v>45</v>
      </c>
      <c r="AN45" s="40"/>
      <c r="AO45" s="40"/>
      <c r="AP45" s="1"/>
      <c r="AQ45" s="1"/>
      <c r="AR45" s="1"/>
      <c r="AS45" s="1"/>
      <c r="AT45" s="1"/>
      <c r="AU45" s="1"/>
      <c r="AV45" s="1"/>
      <c r="AW45" s="1"/>
      <c r="AX45" s="1"/>
    </row>
    <row r="46" ht="20.25" customHeight="1">
      <c r="A46" s="1"/>
      <c r="B46" s="66" t="s">
        <v>46</v>
      </c>
      <c r="C46" s="21" t="s">
        <v>6</v>
      </c>
      <c r="D46" s="21" t="s">
        <v>7</v>
      </c>
      <c r="E46" s="21" t="s">
        <v>8</v>
      </c>
      <c r="F46" s="20" t="s">
        <v>9</v>
      </c>
      <c r="G46" s="21" t="s">
        <v>10</v>
      </c>
      <c r="H46" s="21" t="s">
        <v>11</v>
      </c>
      <c r="I46" s="22" t="s">
        <v>12</v>
      </c>
      <c r="J46" s="23"/>
      <c r="K46" s="22" t="s">
        <v>13</v>
      </c>
      <c r="L46" s="23"/>
      <c r="M46" s="5"/>
      <c r="N46" s="66" t="s">
        <v>46</v>
      </c>
      <c r="O46" s="21" t="s">
        <v>6</v>
      </c>
      <c r="P46" s="21" t="s">
        <v>7</v>
      </c>
      <c r="Q46" s="21" t="s">
        <v>8</v>
      </c>
      <c r="R46" s="20" t="s">
        <v>9</v>
      </c>
      <c r="S46" s="21" t="s">
        <v>10</v>
      </c>
      <c r="T46" s="21" t="s">
        <v>11</v>
      </c>
      <c r="U46" s="22" t="s">
        <v>12</v>
      </c>
      <c r="V46" s="23"/>
      <c r="W46" s="22" t="s">
        <v>13</v>
      </c>
      <c r="X46" s="23"/>
      <c r="Y46" s="2"/>
      <c r="Z46" s="66" t="s">
        <v>46</v>
      </c>
      <c r="AA46" s="21" t="s">
        <v>6</v>
      </c>
      <c r="AB46" s="21" t="s">
        <v>7</v>
      </c>
      <c r="AC46" s="21" t="s">
        <v>8</v>
      </c>
      <c r="AD46" s="20" t="s">
        <v>9</v>
      </c>
      <c r="AE46" s="21" t="s">
        <v>10</v>
      </c>
      <c r="AF46" s="21" t="s">
        <v>11</v>
      </c>
      <c r="AG46" s="22" t="s">
        <v>12</v>
      </c>
      <c r="AH46" s="23"/>
      <c r="AI46" s="22" t="s">
        <v>13</v>
      </c>
      <c r="AJ46" s="23"/>
      <c r="AK46" s="2"/>
      <c r="AL46" s="66" t="s">
        <v>46</v>
      </c>
      <c r="AM46" s="21" t="s">
        <v>6</v>
      </c>
      <c r="AN46" s="21" t="s">
        <v>7</v>
      </c>
      <c r="AO46" s="21" t="s">
        <v>8</v>
      </c>
      <c r="AP46" s="20" t="s">
        <v>9</v>
      </c>
      <c r="AQ46" s="21" t="s">
        <v>10</v>
      </c>
      <c r="AR46" s="21" t="s">
        <v>11</v>
      </c>
      <c r="AS46" s="22" t="s">
        <v>12</v>
      </c>
      <c r="AT46" s="23"/>
      <c r="AU46" s="22" t="s">
        <v>13</v>
      </c>
      <c r="AV46" s="23"/>
      <c r="AW46" s="25"/>
      <c r="AX46" s="25"/>
    </row>
    <row r="47" ht="20.25" customHeight="1">
      <c r="A47" s="1"/>
      <c r="B47" s="1"/>
      <c r="C47" s="42" t="s">
        <v>47</v>
      </c>
      <c r="D47" s="45">
        <v>3.0</v>
      </c>
      <c r="E47" s="35">
        <v>8.0</v>
      </c>
      <c r="F47" s="35">
        <v>8.0</v>
      </c>
      <c r="G47" s="30"/>
      <c r="H47" s="30"/>
      <c r="I47" s="31"/>
      <c r="J47" s="23"/>
      <c r="K47" s="31"/>
      <c r="L47" s="23"/>
      <c r="M47" s="5"/>
      <c r="N47" s="1"/>
      <c r="O47" s="42" t="s">
        <v>47</v>
      </c>
      <c r="P47" s="45">
        <v>3.0</v>
      </c>
      <c r="Q47" s="35">
        <v>8.0</v>
      </c>
      <c r="R47" s="35">
        <v>8.0</v>
      </c>
      <c r="S47" s="30"/>
      <c r="T47" s="30"/>
      <c r="U47" s="31"/>
      <c r="V47" s="23"/>
      <c r="W47" s="31"/>
      <c r="X47" s="23"/>
      <c r="Y47" s="2"/>
      <c r="Z47" s="1"/>
      <c r="AA47" s="42" t="s">
        <v>47</v>
      </c>
      <c r="AB47" s="45">
        <v>3.0</v>
      </c>
      <c r="AC47" s="35">
        <v>8.0</v>
      </c>
      <c r="AD47" s="35">
        <v>8.0</v>
      </c>
      <c r="AE47" s="30"/>
      <c r="AF47" s="30"/>
      <c r="AG47" s="31"/>
      <c r="AH47" s="23"/>
      <c r="AI47" s="31"/>
      <c r="AJ47" s="23"/>
      <c r="AK47" s="2"/>
      <c r="AL47" s="1"/>
      <c r="AM47" s="42" t="s">
        <v>47</v>
      </c>
      <c r="AN47" s="45">
        <v>3.0</v>
      </c>
      <c r="AO47" s="35">
        <v>8.0</v>
      </c>
      <c r="AP47" s="35">
        <v>8.0</v>
      </c>
      <c r="AQ47" s="30"/>
      <c r="AR47" s="30"/>
      <c r="AS47" s="31"/>
      <c r="AT47" s="23"/>
      <c r="AU47" s="31"/>
      <c r="AV47" s="23"/>
      <c r="AW47" s="34"/>
      <c r="AX47" s="34"/>
    </row>
    <row r="48" ht="20.25" customHeight="1">
      <c r="A48" s="1"/>
      <c r="B48" s="1"/>
      <c r="C48" s="42" t="s">
        <v>48</v>
      </c>
      <c r="D48" s="35">
        <v>3.0</v>
      </c>
      <c r="E48" s="35" t="s">
        <v>16</v>
      </c>
      <c r="F48" s="35">
        <v>8.0</v>
      </c>
      <c r="G48" s="43"/>
      <c r="H48" s="30"/>
      <c r="I48" s="31"/>
      <c r="J48" s="23"/>
      <c r="K48" s="31"/>
      <c r="L48" s="23"/>
      <c r="M48" s="5"/>
      <c r="N48" s="1"/>
      <c r="O48" s="42" t="s">
        <v>48</v>
      </c>
      <c r="P48" s="35">
        <v>3.0</v>
      </c>
      <c r="Q48" s="35" t="s">
        <v>16</v>
      </c>
      <c r="R48" s="35">
        <v>8.0</v>
      </c>
      <c r="S48" s="43"/>
      <c r="T48" s="30"/>
      <c r="U48" s="31"/>
      <c r="V48" s="23"/>
      <c r="W48" s="31"/>
      <c r="X48" s="23"/>
      <c r="Y48" s="2"/>
      <c r="Z48" s="1"/>
      <c r="AA48" s="42" t="s">
        <v>48</v>
      </c>
      <c r="AB48" s="35">
        <v>3.0</v>
      </c>
      <c r="AC48" s="35" t="s">
        <v>16</v>
      </c>
      <c r="AD48" s="35">
        <v>8.0</v>
      </c>
      <c r="AE48" s="43"/>
      <c r="AF48" s="30"/>
      <c r="AG48" s="31"/>
      <c r="AH48" s="23"/>
      <c r="AI48" s="31"/>
      <c r="AJ48" s="23"/>
      <c r="AK48" s="2"/>
      <c r="AL48" s="1"/>
      <c r="AM48" s="42" t="s">
        <v>48</v>
      </c>
      <c r="AN48" s="35">
        <v>3.0</v>
      </c>
      <c r="AO48" s="35" t="s">
        <v>16</v>
      </c>
      <c r="AP48" s="35">
        <v>8.0</v>
      </c>
      <c r="AQ48" s="43"/>
      <c r="AR48" s="30"/>
      <c r="AS48" s="31"/>
      <c r="AT48" s="23"/>
      <c r="AU48" s="31"/>
      <c r="AV48" s="23"/>
      <c r="AW48" s="34"/>
      <c r="AX48" s="34"/>
    </row>
    <row r="49" ht="20.25" customHeight="1">
      <c r="A49" s="1"/>
      <c r="B49" s="1"/>
      <c r="C49" s="42" t="s">
        <v>49</v>
      </c>
      <c r="D49" s="35">
        <v>3.0</v>
      </c>
      <c r="E49" s="35" t="s">
        <v>16</v>
      </c>
      <c r="F49" s="35">
        <v>8.0</v>
      </c>
      <c r="G49" s="30"/>
      <c r="H49" s="70"/>
      <c r="I49" s="37" t="s">
        <v>19</v>
      </c>
      <c r="J49" s="23"/>
      <c r="K49" s="31"/>
      <c r="L49" s="23"/>
      <c r="M49" s="5"/>
      <c r="N49" s="1"/>
      <c r="O49" s="42" t="s">
        <v>49</v>
      </c>
      <c r="P49" s="35">
        <v>3.0</v>
      </c>
      <c r="Q49" s="35" t="s">
        <v>16</v>
      </c>
      <c r="R49" s="35">
        <v>8.0</v>
      </c>
      <c r="S49" s="30"/>
      <c r="T49" s="70"/>
      <c r="U49" s="37" t="s">
        <v>19</v>
      </c>
      <c r="V49" s="23"/>
      <c r="W49" s="31"/>
      <c r="X49" s="23"/>
      <c r="Y49" s="2"/>
      <c r="Z49" s="1"/>
      <c r="AA49" s="42" t="s">
        <v>49</v>
      </c>
      <c r="AB49" s="35">
        <v>3.0</v>
      </c>
      <c r="AC49" s="35" t="s">
        <v>16</v>
      </c>
      <c r="AD49" s="35">
        <v>8.0</v>
      </c>
      <c r="AE49" s="30"/>
      <c r="AF49" s="70"/>
      <c r="AG49" s="37" t="s">
        <v>19</v>
      </c>
      <c r="AH49" s="23"/>
      <c r="AI49" s="31"/>
      <c r="AJ49" s="23"/>
      <c r="AK49" s="2"/>
      <c r="AL49" s="1"/>
      <c r="AM49" s="42" t="s">
        <v>49</v>
      </c>
      <c r="AN49" s="35">
        <v>3.0</v>
      </c>
      <c r="AO49" s="35" t="s">
        <v>16</v>
      </c>
      <c r="AP49" s="35">
        <v>8.0</v>
      </c>
      <c r="AQ49" s="30"/>
      <c r="AR49" s="70"/>
      <c r="AS49" s="37" t="s">
        <v>19</v>
      </c>
      <c r="AT49" s="23"/>
      <c r="AU49" s="31"/>
      <c r="AV49" s="23"/>
      <c r="AW49" s="34"/>
      <c r="AX49" s="34"/>
    </row>
    <row r="50" ht="20.25" customHeight="1">
      <c r="A50" s="1"/>
      <c r="B50" s="1"/>
      <c r="C50" s="42" t="s">
        <v>50</v>
      </c>
      <c r="D50" s="71">
        <v>3.0</v>
      </c>
      <c r="E50" s="35" t="s">
        <v>16</v>
      </c>
      <c r="F50" s="35">
        <v>8.0</v>
      </c>
      <c r="G50" s="30"/>
      <c r="H50" s="30"/>
      <c r="I50" s="37" t="s">
        <v>36</v>
      </c>
      <c r="J50" s="23"/>
      <c r="K50" s="31"/>
      <c r="L50" s="23"/>
      <c r="M50" s="5"/>
      <c r="N50" s="1"/>
      <c r="O50" s="42" t="s">
        <v>50</v>
      </c>
      <c r="P50" s="71">
        <v>3.0</v>
      </c>
      <c r="Q50" s="35" t="s">
        <v>16</v>
      </c>
      <c r="R50" s="35">
        <v>8.0</v>
      </c>
      <c r="S50" s="30"/>
      <c r="T50" s="30"/>
      <c r="U50" s="37" t="s">
        <v>36</v>
      </c>
      <c r="V50" s="23"/>
      <c r="W50" s="31"/>
      <c r="X50" s="23"/>
      <c r="Y50" s="2"/>
      <c r="Z50" s="1"/>
      <c r="AA50" s="42" t="s">
        <v>50</v>
      </c>
      <c r="AB50" s="71">
        <v>3.0</v>
      </c>
      <c r="AC50" s="35" t="s">
        <v>16</v>
      </c>
      <c r="AD50" s="35">
        <v>8.0</v>
      </c>
      <c r="AE50" s="30"/>
      <c r="AF50" s="30"/>
      <c r="AG50" s="37" t="s">
        <v>36</v>
      </c>
      <c r="AH50" s="23"/>
      <c r="AI50" s="31"/>
      <c r="AJ50" s="23"/>
      <c r="AK50" s="2"/>
      <c r="AL50" s="1"/>
      <c r="AM50" s="42" t="s">
        <v>50</v>
      </c>
      <c r="AN50" s="71">
        <v>3.0</v>
      </c>
      <c r="AO50" s="35" t="s">
        <v>16</v>
      </c>
      <c r="AP50" s="35">
        <v>8.0</v>
      </c>
      <c r="AQ50" s="30"/>
      <c r="AR50" s="30"/>
      <c r="AS50" s="37" t="s">
        <v>36</v>
      </c>
      <c r="AT50" s="23"/>
      <c r="AU50" s="31"/>
      <c r="AV50" s="23"/>
      <c r="AW50" s="34"/>
      <c r="AX50" s="34"/>
    </row>
    <row r="51" ht="20.25" customHeight="1">
      <c r="A51" s="1"/>
      <c r="B51" s="16"/>
      <c r="C51" s="42" t="str">
        <f>HYPERLINK("https://youtu.be/h0XtRD5YUmo", "Overhead cable extension ")</f>
        <v>Overhead cable extension </v>
      </c>
      <c r="D51" s="45">
        <v>3.0</v>
      </c>
      <c r="E51" s="35" t="s">
        <v>16</v>
      </c>
      <c r="F51" s="35">
        <v>8.0</v>
      </c>
      <c r="G51" s="30"/>
      <c r="H51" s="30"/>
      <c r="I51" s="31"/>
      <c r="J51" s="23"/>
      <c r="K51" s="31"/>
      <c r="L51" s="23"/>
      <c r="M51" s="5"/>
      <c r="N51" s="16"/>
      <c r="O51" s="42" t="str">
        <f>HYPERLINK("https://youtu.be/h0XtRD5YUmo", "Overhead cable extension ")</f>
        <v>Overhead cable extension </v>
      </c>
      <c r="P51" s="45">
        <v>3.0</v>
      </c>
      <c r="Q51" s="35" t="s">
        <v>16</v>
      </c>
      <c r="R51" s="35">
        <v>8.0</v>
      </c>
      <c r="S51" s="30"/>
      <c r="T51" s="30"/>
      <c r="U51" s="31"/>
      <c r="V51" s="23"/>
      <c r="W51" s="31"/>
      <c r="X51" s="23"/>
      <c r="Y51" s="2"/>
      <c r="Z51" s="16"/>
      <c r="AA51" s="42" t="str">
        <f>HYPERLINK("https://youtu.be/h0XtRD5YUmo", "Overhead cable extension ")</f>
        <v>Overhead cable extension </v>
      </c>
      <c r="AB51" s="45">
        <v>3.0</v>
      </c>
      <c r="AC51" s="35" t="s">
        <v>16</v>
      </c>
      <c r="AD51" s="35">
        <v>8.0</v>
      </c>
      <c r="AE51" s="30"/>
      <c r="AF51" s="30"/>
      <c r="AG51" s="31"/>
      <c r="AH51" s="23"/>
      <c r="AI51" s="31"/>
      <c r="AJ51" s="23"/>
      <c r="AK51" s="2"/>
      <c r="AL51" s="16"/>
      <c r="AM51" s="42" t="str">
        <f>HYPERLINK("https://youtu.be/h0XtRD5YUmo", "Overhead cable extension ")</f>
        <v>Overhead cable extension </v>
      </c>
      <c r="AN51" s="45">
        <v>3.0</v>
      </c>
      <c r="AO51" s="35" t="s">
        <v>16</v>
      </c>
      <c r="AP51" s="35">
        <v>8.0</v>
      </c>
      <c r="AQ51" s="30"/>
      <c r="AR51" s="30"/>
      <c r="AS51" s="31"/>
      <c r="AT51" s="23"/>
      <c r="AU51" s="31"/>
      <c r="AV51" s="23"/>
      <c r="AW51" s="34"/>
      <c r="AX51" s="34"/>
    </row>
    <row r="52" ht="20.25" customHeight="1">
      <c r="A52" s="1"/>
      <c r="B52" s="16"/>
      <c r="C52" s="16"/>
      <c r="D52" s="16"/>
      <c r="E52" s="16"/>
      <c r="F52" s="16"/>
      <c r="G52" s="16"/>
      <c r="H52" s="16"/>
      <c r="I52" s="16"/>
      <c r="K52" s="16"/>
      <c r="M52" s="5"/>
      <c r="N52" s="16"/>
      <c r="O52" s="16"/>
      <c r="P52" s="16"/>
      <c r="Q52" s="16"/>
      <c r="R52" s="16"/>
      <c r="S52" s="16"/>
      <c r="T52" s="16"/>
      <c r="U52" s="16"/>
      <c r="W52" s="16"/>
      <c r="Y52" s="2"/>
      <c r="Z52" s="16"/>
      <c r="AA52" s="16"/>
      <c r="AB52" s="16"/>
      <c r="AC52" s="16"/>
      <c r="AD52" s="16"/>
      <c r="AE52" s="16"/>
      <c r="AF52" s="16"/>
      <c r="AG52" s="16"/>
      <c r="AI52" s="16"/>
      <c r="AK52" s="2"/>
      <c r="AL52" s="16"/>
      <c r="AM52" s="16"/>
      <c r="AN52" s="16"/>
      <c r="AO52" s="16"/>
      <c r="AP52" s="16"/>
      <c r="AQ52" s="16"/>
      <c r="AR52" s="16"/>
      <c r="AS52" s="16"/>
      <c r="AU52" s="16"/>
      <c r="AW52" s="39"/>
      <c r="AX52" s="39"/>
    </row>
    <row r="53" ht="20.25" customHeight="1">
      <c r="A53" s="1"/>
      <c r="B53" s="16"/>
      <c r="C53" s="62" t="s">
        <v>38</v>
      </c>
      <c r="D53" s="63"/>
      <c r="E53" s="63"/>
      <c r="F53" s="63"/>
      <c r="G53" s="63"/>
      <c r="H53" s="63"/>
      <c r="I53" s="63"/>
      <c r="J53" s="63"/>
      <c r="K53" s="63"/>
      <c r="L53" s="23"/>
      <c r="M53" s="5"/>
      <c r="N53" s="16"/>
      <c r="O53" s="62" t="s">
        <v>38</v>
      </c>
      <c r="P53" s="63"/>
      <c r="Q53" s="63"/>
      <c r="R53" s="63"/>
      <c r="S53" s="63"/>
      <c r="T53" s="63"/>
      <c r="U53" s="63"/>
      <c r="V53" s="63"/>
      <c r="W53" s="63"/>
      <c r="X53" s="23"/>
      <c r="Y53" s="2"/>
      <c r="Z53" s="16"/>
      <c r="AA53" s="62" t="s">
        <v>38</v>
      </c>
      <c r="AB53" s="63"/>
      <c r="AC53" s="63"/>
      <c r="AD53" s="63"/>
      <c r="AE53" s="63"/>
      <c r="AF53" s="63"/>
      <c r="AG53" s="63"/>
      <c r="AH53" s="63"/>
      <c r="AI53" s="63"/>
      <c r="AJ53" s="23"/>
      <c r="AK53" s="2"/>
      <c r="AL53" s="16"/>
      <c r="AM53" s="62" t="s">
        <v>38</v>
      </c>
      <c r="AN53" s="63"/>
      <c r="AO53" s="63"/>
      <c r="AP53" s="63"/>
      <c r="AQ53" s="63"/>
      <c r="AR53" s="63"/>
      <c r="AS53" s="63"/>
      <c r="AT53" s="63"/>
      <c r="AU53" s="63"/>
      <c r="AV53" s="23"/>
      <c r="AW53" s="65"/>
      <c r="AX53" s="65"/>
    </row>
    <row r="54" ht="20.25" customHeight="1">
      <c r="A54" s="1"/>
      <c r="B54" s="18"/>
      <c r="C54" s="18"/>
      <c r="D54" s="18"/>
      <c r="E54" s="18"/>
      <c r="F54" s="18"/>
      <c r="G54" s="11"/>
      <c r="H54" s="11"/>
      <c r="I54" s="11"/>
      <c r="J54" s="11"/>
      <c r="K54" s="11"/>
      <c r="L54" s="11"/>
      <c r="M54" s="5"/>
      <c r="N54" s="18"/>
      <c r="O54" s="18"/>
      <c r="P54" s="18"/>
      <c r="Q54" s="18"/>
      <c r="R54" s="18"/>
      <c r="S54" s="11"/>
      <c r="T54" s="11"/>
      <c r="U54" s="11"/>
      <c r="V54" s="11"/>
      <c r="W54" s="11"/>
      <c r="X54" s="11"/>
      <c r="Y54" s="72"/>
      <c r="Z54" s="18"/>
      <c r="AA54" s="18"/>
      <c r="AB54" s="18"/>
      <c r="AC54" s="18"/>
      <c r="AD54" s="18"/>
      <c r="AE54" s="11"/>
      <c r="AF54" s="11"/>
      <c r="AG54" s="11"/>
      <c r="AH54" s="11"/>
      <c r="AI54" s="11"/>
      <c r="AJ54" s="11"/>
      <c r="AK54" s="2"/>
      <c r="AL54" s="18"/>
      <c r="AM54" s="18"/>
      <c r="AN54" s="18"/>
      <c r="AO54" s="18"/>
      <c r="AP54" s="18"/>
      <c r="AQ54" s="11"/>
      <c r="AR54" s="11"/>
      <c r="AS54" s="11"/>
      <c r="AT54" s="11"/>
      <c r="AU54" s="11"/>
      <c r="AV54" s="11"/>
      <c r="AW54" s="11"/>
      <c r="AX54" s="11"/>
    </row>
    <row r="55" ht="20.25" customHeight="1">
      <c r="A55" s="1"/>
      <c r="B55" s="16"/>
      <c r="C55" s="16"/>
      <c r="D55" s="16"/>
      <c r="E55" s="16"/>
      <c r="F55" s="16"/>
      <c r="G55" s="73"/>
      <c r="H55" s="74"/>
      <c r="I55" s="1"/>
      <c r="K55" s="1"/>
      <c r="M55" s="5"/>
      <c r="N55" s="2"/>
      <c r="O55" s="2"/>
      <c r="P55" s="2"/>
      <c r="Q55" s="2"/>
      <c r="R55" s="2"/>
      <c r="S55" s="2"/>
      <c r="T55" s="74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5" t="s">
        <v>51</v>
      </c>
      <c r="C56" s="9"/>
      <c r="D56" s="9"/>
      <c r="E56" s="9"/>
      <c r="F56" s="10"/>
      <c r="G56" s="76"/>
      <c r="H56" s="1"/>
      <c r="I56" s="1"/>
      <c r="K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4"/>
      <c r="E57" s="14"/>
      <c r="F57" s="15"/>
      <c r="G57" s="76"/>
      <c r="H57" s="1"/>
      <c r="I57" s="1"/>
      <c r="K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77" t="s">
        <v>6</v>
      </c>
      <c r="C58" s="9"/>
      <c r="D58" s="10"/>
      <c r="E58" s="78" t="s">
        <v>7</v>
      </c>
      <c r="F58" s="78" t="s">
        <v>52</v>
      </c>
      <c r="G58" s="7"/>
      <c r="H58" s="1"/>
      <c r="I58" s="1"/>
      <c r="K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5"/>
      <c r="E59" s="79"/>
      <c r="F59" s="79"/>
      <c r="G59" s="7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80" t="s">
        <v>53</v>
      </c>
      <c r="C60" s="9"/>
      <c r="D60" s="9"/>
      <c r="E60" s="9"/>
      <c r="F60" s="10"/>
      <c r="G60" s="81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4"/>
      <c r="E61" s="14"/>
      <c r="F61" s="15"/>
      <c r="G61" s="81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6"/>
      <c r="B62" s="82" t="s">
        <v>54</v>
      </c>
      <c r="C62" s="9"/>
      <c r="D62" s="10"/>
      <c r="E62" s="83">
        <v>1.0</v>
      </c>
      <c r="F62" s="84" t="s">
        <v>55</v>
      </c>
      <c r="G62" s="85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79"/>
      <c r="F63" s="79"/>
      <c r="G63" s="85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82" t="s">
        <v>56</v>
      </c>
      <c r="C64" s="9"/>
      <c r="D64" s="10"/>
      <c r="E64" s="83">
        <v>1.0</v>
      </c>
      <c r="F64" s="84" t="s">
        <v>57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5"/>
      <c r="E65" s="79"/>
      <c r="F65" s="79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86" t="s">
        <v>58</v>
      </c>
      <c r="C66" s="9"/>
      <c r="D66" s="10"/>
      <c r="E66" s="87">
        <v>1.0</v>
      </c>
      <c r="F66" s="88" t="s">
        <v>57</v>
      </c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13"/>
      <c r="C67" s="14"/>
      <c r="D67" s="15"/>
      <c r="E67" s="79"/>
      <c r="F67" s="79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2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2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89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89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89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89"/>
      <c r="C74" s="90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89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2"/>
      <c r="C76" s="2"/>
      <c r="D76" s="3"/>
      <c r="E76" s="3"/>
      <c r="F76" s="2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91"/>
      <c r="E78" s="91"/>
      <c r="F78" s="4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4"/>
      <c r="C79" s="4"/>
      <c r="D79" s="91"/>
      <c r="E79" s="91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91"/>
      <c r="E80" s="91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4"/>
      <c r="C81" s="4"/>
      <c r="D81" s="91"/>
      <c r="E81" s="91"/>
      <c r="F81" s="4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4"/>
      <c r="C82" s="4"/>
      <c r="D82" s="91"/>
      <c r="E82" s="91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1"/>
      <c r="O84" s="2"/>
      <c r="P84" s="2"/>
      <c r="Q84" s="2"/>
      <c r="R84" s="2"/>
      <c r="S84" s="2"/>
      <c r="T84" s="1"/>
      <c r="U84" s="1"/>
      <c r="V84" s="1"/>
      <c r="W84" s="1"/>
      <c r="X84" s="1"/>
      <c r="Y84" s="1"/>
      <c r="Z84" s="1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1"/>
      <c r="O85" s="2"/>
      <c r="P85" s="2"/>
      <c r="Q85" s="2"/>
      <c r="R85" s="2"/>
      <c r="S85" s="2"/>
      <c r="T85" s="1"/>
      <c r="U85" s="1"/>
      <c r="V85" s="1"/>
      <c r="W85" s="1"/>
      <c r="X85" s="1"/>
      <c r="Y85" s="1"/>
      <c r="Z85" s="1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1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0"/>
      <c r="E97" s="4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40"/>
      <c r="E98" s="4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0"/>
      <c r="E99" s="4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0"/>
      <c r="E100" s="4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0"/>
      <c r="E101" s="4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0"/>
      <c r="E102" s="4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0"/>
      <c r="E103" s="4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0"/>
      <c r="E104" s="4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0"/>
      <c r="E105" s="4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0"/>
      <c r="E106" s="4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40"/>
      <c r="E107" s="4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20.25" customHeight="1">
      <c r="A108" s="1"/>
      <c r="B108" s="2"/>
      <c r="C108" s="1"/>
      <c r="D108" s="40"/>
      <c r="E108" s="4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20.25" customHeight="1">
      <c r="A109" s="1"/>
      <c r="B109" s="2"/>
      <c r="C109" s="1"/>
      <c r="D109" s="40"/>
      <c r="E109" s="4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0"/>
      <c r="E110" s="4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0"/>
      <c r="E111" s="4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0"/>
      <c r="E112" s="4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0"/>
      <c r="E113" s="4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0"/>
      <c r="E114" s="4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0"/>
      <c r="E115" s="4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0"/>
      <c r="E116" s="4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0"/>
      <c r="E117" s="40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0"/>
      <c r="E118" s="40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0"/>
      <c r="E119" s="40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0"/>
      <c r="E120" s="40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0"/>
      <c r="E121" s="40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0"/>
      <c r="E122" s="40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0"/>
      <c r="E123" s="40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0"/>
      <c r="E124" s="40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0"/>
      <c r="E125" s="4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0"/>
      <c r="E126" s="4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0"/>
      <c r="E127" s="4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0"/>
      <c r="E128" s="4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0"/>
      <c r="E129" s="4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0"/>
      <c r="E130" s="4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0"/>
      <c r="E131" s="4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0"/>
      <c r="E132" s="4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0"/>
      <c r="E133" s="4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0"/>
      <c r="E134" s="4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0"/>
      <c r="E135" s="4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0"/>
      <c r="E136" s="4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0"/>
      <c r="E137" s="4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0"/>
      <c r="E138" s="4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0"/>
      <c r="E139" s="4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0"/>
      <c r="E140" s="4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0"/>
      <c r="E141" s="4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0"/>
      <c r="E142" s="4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0"/>
      <c r="E143" s="4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0"/>
      <c r="E144" s="4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0"/>
      <c r="E145" s="4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0"/>
      <c r="E146" s="4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0"/>
      <c r="E147" s="4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0"/>
      <c r="E148" s="4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0"/>
      <c r="E149" s="4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0"/>
      <c r="E150" s="4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0"/>
      <c r="E151" s="4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0"/>
      <c r="E152" s="4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0"/>
      <c r="E153" s="4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0"/>
      <c r="E154" s="4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0"/>
      <c r="E155" s="4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0"/>
      <c r="E156" s="4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0"/>
      <c r="E157" s="4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0"/>
      <c r="E158" s="4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40"/>
      <c r="E159" s="4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1"/>
      <c r="D160" s="40"/>
      <c r="E160" s="4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1"/>
      <c r="D161" s="40"/>
      <c r="E161" s="4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92"/>
      <c r="D162" s="40"/>
      <c r="E162" s="4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92"/>
      <c r="D163" s="40"/>
      <c r="E163" s="4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92"/>
      <c r="D164" s="40"/>
      <c r="E164" s="4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2"/>
      <c r="D165" s="40"/>
      <c r="E165" s="4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2"/>
      <c r="D166" s="40"/>
      <c r="E166" s="4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2"/>
      <c r="D167" s="40"/>
      <c r="E167" s="4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2"/>
      <c r="D168" s="40"/>
      <c r="E168" s="4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2"/>
      <c r="D169" s="40"/>
      <c r="E169" s="4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2"/>
      <c r="C170" s="92"/>
      <c r="D170" s="40"/>
      <c r="E170" s="4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2"/>
      <c r="C171" s="92"/>
      <c r="D171" s="40"/>
      <c r="E171" s="4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67"/>
      <c r="C172" s="69"/>
      <c r="D172" s="40"/>
      <c r="E172" s="4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67"/>
      <c r="C173" s="69"/>
      <c r="D173" s="40"/>
      <c r="E173" s="4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67"/>
      <c r="C174" s="69"/>
      <c r="D174" s="40"/>
      <c r="E174" s="4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93" t="s">
        <v>59</v>
      </c>
      <c r="C175" s="94" t="s">
        <v>60</v>
      </c>
      <c r="D175" s="40"/>
      <c r="E175" s="4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93" t="s">
        <v>61</v>
      </c>
      <c r="C176" s="94" t="s">
        <v>62</v>
      </c>
      <c r="D176" s="40"/>
      <c r="E176" s="4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93" t="s">
        <v>63</v>
      </c>
      <c r="C177" s="95">
        <v>24.0</v>
      </c>
      <c r="D177" s="40"/>
      <c r="E177" s="40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93" t="s">
        <v>64</v>
      </c>
      <c r="C178" s="95">
        <v>174.5</v>
      </c>
      <c r="D178" s="40"/>
      <c r="E178" s="40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3" t="s">
        <v>65</v>
      </c>
      <c r="C179" s="95">
        <v>78.0</v>
      </c>
      <c r="D179" s="40"/>
      <c r="E179" s="40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3" t="s">
        <v>66</v>
      </c>
      <c r="C180" s="96" t="s">
        <v>67</v>
      </c>
      <c r="D180" s="40"/>
      <c r="E180" s="40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93" t="s">
        <v>68</v>
      </c>
      <c r="C181" s="96" t="s">
        <v>69</v>
      </c>
      <c r="D181" s="40"/>
      <c r="E181" s="40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93" t="s">
        <v>70</v>
      </c>
      <c r="C182" s="96" t="s">
        <v>71</v>
      </c>
      <c r="D182" s="40"/>
      <c r="E182" s="40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93" t="s">
        <v>72</v>
      </c>
      <c r="C183" s="96" t="s">
        <v>73</v>
      </c>
      <c r="D183" s="40"/>
      <c r="E183" s="40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93" t="s">
        <v>74</v>
      </c>
      <c r="C184" s="96" t="s">
        <v>75</v>
      </c>
      <c r="D184" s="40"/>
      <c r="E184" s="40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67"/>
      <c r="B185" s="93" t="s">
        <v>76</v>
      </c>
      <c r="C185" s="95" t="s">
        <v>77</v>
      </c>
      <c r="D185" s="97"/>
      <c r="E185" s="97"/>
      <c r="F185" s="67"/>
      <c r="G185" s="67"/>
      <c r="H185" s="67"/>
      <c r="I185" s="67"/>
      <c r="J185" s="67"/>
      <c r="K185" s="67"/>
      <c r="L185" s="67"/>
      <c r="M185" s="5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</row>
    <row r="186" ht="20.25" customHeight="1">
      <c r="A186" s="67"/>
      <c r="B186" s="93" t="s">
        <v>78</v>
      </c>
      <c r="C186" s="95">
        <v>0.0</v>
      </c>
      <c r="D186" s="97"/>
      <c r="E186" s="97"/>
      <c r="F186" s="67"/>
      <c r="G186" s="67"/>
      <c r="H186" s="67"/>
      <c r="I186" s="67"/>
      <c r="J186" s="67"/>
      <c r="K186" s="67"/>
      <c r="L186" s="67"/>
      <c r="M186" s="5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</row>
    <row r="187" ht="20.25" customHeight="1">
      <c r="A187" s="67"/>
      <c r="B187" s="93" t="s">
        <v>79</v>
      </c>
      <c r="C187" s="96" t="s">
        <v>80</v>
      </c>
      <c r="D187" s="97"/>
      <c r="E187" s="97"/>
      <c r="F187" s="67"/>
      <c r="G187" s="67"/>
      <c r="H187" s="67"/>
      <c r="I187" s="67"/>
      <c r="J187" s="67"/>
      <c r="K187" s="67"/>
      <c r="L187" s="67"/>
      <c r="M187" s="5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</row>
    <row r="188" ht="20.25" customHeight="1">
      <c r="A188" s="67"/>
      <c r="B188" s="93" t="s">
        <v>81</v>
      </c>
      <c r="C188" s="94" t="s">
        <v>82</v>
      </c>
      <c r="D188" s="97"/>
      <c r="E188" s="97"/>
      <c r="F188" s="67"/>
      <c r="G188" s="67"/>
      <c r="H188" s="67"/>
      <c r="I188" s="67"/>
      <c r="J188" s="67"/>
      <c r="K188" s="67"/>
      <c r="L188" s="67"/>
      <c r="M188" s="5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</row>
    <row r="189" ht="20.25" customHeight="1">
      <c r="A189" s="67"/>
      <c r="B189" s="98"/>
      <c r="C189" s="98"/>
      <c r="D189" s="97"/>
      <c r="E189" s="97"/>
      <c r="F189" s="67"/>
      <c r="G189" s="67"/>
      <c r="H189" s="67"/>
      <c r="I189" s="67"/>
      <c r="J189" s="67"/>
      <c r="K189" s="67"/>
      <c r="L189" s="67"/>
      <c r="M189" s="5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</row>
    <row r="190" ht="20.25" customHeight="1">
      <c r="A190" s="67"/>
      <c r="B190" s="98"/>
      <c r="C190" s="98"/>
      <c r="D190" s="97"/>
      <c r="E190" s="97"/>
      <c r="F190" s="67"/>
      <c r="G190" s="67"/>
      <c r="H190" s="67"/>
      <c r="I190" s="67"/>
      <c r="J190" s="67"/>
      <c r="K190" s="67"/>
      <c r="L190" s="67"/>
      <c r="M190" s="5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</row>
    <row r="191" ht="20.25" customHeight="1">
      <c r="A191" s="67"/>
      <c r="B191" s="98"/>
      <c r="C191" s="98"/>
      <c r="D191" s="97"/>
      <c r="E191" s="97"/>
      <c r="F191" s="67"/>
      <c r="G191" s="67"/>
      <c r="H191" s="67"/>
      <c r="I191" s="67"/>
      <c r="J191" s="67"/>
      <c r="K191" s="67"/>
      <c r="L191" s="67"/>
      <c r="M191" s="5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</row>
    <row r="192" ht="20.25" customHeight="1">
      <c r="A192" s="67"/>
      <c r="B192" s="98"/>
      <c r="C192" s="99"/>
      <c r="D192" s="97"/>
      <c r="E192" s="97"/>
      <c r="F192" s="67"/>
      <c r="G192" s="67"/>
      <c r="H192" s="67"/>
      <c r="I192" s="67"/>
      <c r="J192" s="67"/>
      <c r="K192" s="67"/>
      <c r="L192" s="67"/>
      <c r="M192" s="5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</row>
    <row r="193" ht="20.25" customHeight="1">
      <c r="A193" s="67"/>
      <c r="B193" s="67"/>
      <c r="C193" s="67"/>
      <c r="D193" s="97"/>
      <c r="E193" s="97"/>
      <c r="F193" s="67"/>
      <c r="G193" s="67"/>
      <c r="H193" s="67"/>
      <c r="I193" s="67"/>
      <c r="J193" s="67"/>
      <c r="K193" s="67"/>
      <c r="L193" s="67"/>
      <c r="M193" s="5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</row>
    <row r="194" ht="20.25" customHeight="1">
      <c r="A194" s="1"/>
      <c r="B194" s="67"/>
      <c r="C194" s="67"/>
      <c r="D194" s="40"/>
      <c r="E194" s="4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67"/>
      <c r="C195" s="67"/>
      <c r="D195" s="40"/>
      <c r="E195" s="4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92"/>
      <c r="D196" s="40"/>
      <c r="E196" s="4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92"/>
      <c r="D197" s="40"/>
      <c r="E197" s="4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92"/>
      <c r="D198" s="40"/>
      <c r="E198" s="4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2"/>
      <c r="D199" s="40"/>
      <c r="E199" s="4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2"/>
      <c r="D200" s="40"/>
      <c r="E200" s="4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2"/>
      <c r="D201" s="40"/>
      <c r="E201" s="4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2"/>
      <c r="D202" s="40"/>
      <c r="E202" s="4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2"/>
      <c r="D203" s="40"/>
      <c r="E203" s="4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2"/>
      <c r="D204" s="40"/>
      <c r="E204" s="4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2"/>
      <c r="D205" s="40"/>
      <c r="E205" s="4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2"/>
      <c r="D206" s="40"/>
      <c r="E206" s="4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2"/>
      <c r="D207" s="40"/>
      <c r="E207" s="4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2"/>
      <c r="D208" s="40"/>
      <c r="E208" s="4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2"/>
      <c r="D209" s="40"/>
      <c r="E209" s="4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2"/>
      <c r="D210" s="40"/>
      <c r="E210" s="4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2"/>
      <c r="D211" s="40"/>
      <c r="E211" s="4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2"/>
      <c r="D212" s="40"/>
      <c r="E212" s="4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2"/>
      <c r="D213" s="40"/>
      <c r="E213" s="4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2"/>
      <c r="D214" s="40"/>
      <c r="E214" s="4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2"/>
      <c r="D215" s="40"/>
      <c r="E215" s="4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2"/>
      <c r="D216" s="40"/>
      <c r="E216" s="4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2"/>
      <c r="D217" s="40"/>
      <c r="E217" s="4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2"/>
      <c r="D218" s="40"/>
      <c r="E218" s="4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2"/>
      <c r="D219" s="40"/>
      <c r="E219" s="4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2"/>
      <c r="D220" s="40"/>
      <c r="E220" s="4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2"/>
      <c r="D221" s="40"/>
      <c r="E221" s="4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2"/>
      <c r="D222" s="40"/>
      <c r="E222" s="4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2"/>
      <c r="D223" s="40"/>
      <c r="E223" s="4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2"/>
      <c r="D224" s="40"/>
      <c r="E224" s="4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2"/>
      <c r="D225" s="40"/>
      <c r="E225" s="4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2"/>
      <c r="D226" s="40"/>
      <c r="E226" s="4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2"/>
      <c r="D227" s="40"/>
      <c r="E227" s="4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2"/>
      <c r="D228" s="40"/>
      <c r="E228" s="4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2"/>
      <c r="D229" s="40"/>
      <c r="E229" s="4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2"/>
      <c r="D230" s="40"/>
      <c r="E230" s="4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2"/>
      <c r="D231" s="40"/>
      <c r="E231" s="4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2"/>
      <c r="D232" s="40"/>
      <c r="E232" s="4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2"/>
      <c r="D233" s="40"/>
      <c r="E233" s="4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2"/>
      <c r="D234" s="40"/>
      <c r="E234" s="4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2"/>
      <c r="D235" s="40"/>
      <c r="E235" s="4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2"/>
      <c r="D236" s="40"/>
      <c r="E236" s="4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2"/>
      <c r="D237" s="40"/>
      <c r="E237" s="4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2"/>
      <c r="D238" s="40"/>
      <c r="E238" s="4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2"/>
      <c r="D239" s="40"/>
      <c r="E239" s="4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2"/>
      <c r="D240" s="40"/>
      <c r="E240" s="4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2"/>
      <c r="D241" s="40"/>
      <c r="E241" s="4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2"/>
      <c r="D242" s="40"/>
      <c r="E242" s="4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2"/>
      <c r="D243" s="40"/>
      <c r="E243" s="4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2"/>
      <c r="D244" s="40"/>
      <c r="E244" s="4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2"/>
      <c r="D245" s="40"/>
      <c r="E245" s="4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2"/>
      <c r="D246" s="40"/>
      <c r="E246" s="4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2"/>
      <c r="D247" s="40"/>
      <c r="E247" s="4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2"/>
      <c r="D248" s="40"/>
      <c r="E248" s="4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2"/>
      <c r="D249" s="40"/>
      <c r="E249" s="4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2"/>
      <c r="D250" s="40"/>
      <c r="E250" s="4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2"/>
      <c r="D251" s="40"/>
      <c r="E251" s="4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2"/>
      <c r="D252" s="40"/>
      <c r="E252" s="4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2"/>
      <c r="D253" s="40"/>
      <c r="E253" s="4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2"/>
      <c r="D254" s="40"/>
      <c r="E254" s="4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2"/>
      <c r="D255" s="40"/>
      <c r="E255" s="4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2"/>
      <c r="D256" s="40"/>
      <c r="E256" s="4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2"/>
      <c r="D257" s="40"/>
      <c r="E257" s="4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2"/>
      <c r="D258" s="40"/>
      <c r="E258" s="4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2"/>
      <c r="D259" s="40"/>
      <c r="E259" s="4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2"/>
      <c r="D260" s="40"/>
      <c r="E260" s="4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2"/>
      <c r="D261" s="40"/>
      <c r="E261" s="4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2"/>
      <c r="D262" s="40"/>
      <c r="E262" s="4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2"/>
      <c r="D263" s="40"/>
      <c r="E263" s="4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2"/>
      <c r="D264" s="40"/>
      <c r="E264" s="4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2"/>
      <c r="D265" s="40"/>
      <c r="E265" s="4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2"/>
      <c r="D266" s="40"/>
      <c r="E266" s="4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2"/>
      <c r="D267" s="40"/>
      <c r="E267" s="4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2"/>
      <c r="D268" s="40"/>
      <c r="E268" s="4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2"/>
      <c r="D269" s="40"/>
      <c r="E269" s="4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2"/>
      <c r="D270" s="40"/>
      <c r="E270" s="4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2"/>
      <c r="D271" s="40"/>
      <c r="E271" s="4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2"/>
      <c r="D272" s="40"/>
      <c r="E272" s="4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2"/>
      <c r="D273" s="40"/>
      <c r="E273" s="4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2"/>
      <c r="D274" s="40"/>
      <c r="E274" s="4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2"/>
      <c r="D275" s="40"/>
      <c r="E275" s="4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2"/>
      <c r="D276" s="40"/>
      <c r="E276" s="4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2"/>
      <c r="D277" s="40"/>
      <c r="E277" s="4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2"/>
      <c r="D278" s="40"/>
      <c r="E278" s="4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2"/>
      <c r="D279" s="40"/>
      <c r="E279" s="4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2"/>
      <c r="D280" s="40"/>
      <c r="E280" s="4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2"/>
      <c r="D281" s="40"/>
      <c r="E281" s="4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2"/>
      <c r="D282" s="40"/>
      <c r="E282" s="4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2"/>
      <c r="D283" s="40"/>
      <c r="E283" s="4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2"/>
      <c r="D284" s="40"/>
      <c r="E284" s="4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2"/>
      <c r="D285" s="40"/>
      <c r="E285" s="4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2"/>
      <c r="D286" s="40"/>
      <c r="E286" s="4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2"/>
      <c r="D287" s="40"/>
      <c r="E287" s="4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2"/>
      <c r="D288" s="40"/>
      <c r="E288" s="4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2"/>
      <c r="D289" s="40"/>
      <c r="E289" s="4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2"/>
      <c r="D290" s="40"/>
      <c r="E290" s="4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2"/>
      <c r="D291" s="40"/>
      <c r="E291" s="4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2"/>
      <c r="D292" s="40"/>
      <c r="E292" s="4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2"/>
      <c r="D293" s="40"/>
      <c r="E293" s="4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2"/>
      <c r="D294" s="40"/>
      <c r="E294" s="4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2"/>
      <c r="D295" s="40"/>
      <c r="E295" s="4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2"/>
      <c r="D296" s="40"/>
      <c r="E296" s="4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2"/>
      <c r="D297" s="40"/>
      <c r="E297" s="4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2"/>
      <c r="D298" s="40"/>
      <c r="E298" s="4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2"/>
      <c r="D299" s="40"/>
      <c r="E299" s="4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2"/>
      <c r="D300" s="40"/>
      <c r="E300" s="4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2"/>
      <c r="D301" s="40"/>
      <c r="E301" s="4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2"/>
      <c r="D302" s="40"/>
      <c r="E302" s="4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2"/>
      <c r="D303" s="40"/>
      <c r="E303" s="4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2"/>
      <c r="D304" s="40"/>
      <c r="E304" s="4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2"/>
      <c r="D305" s="40"/>
      <c r="E305" s="4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2"/>
      <c r="D306" s="40"/>
      <c r="E306" s="4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2"/>
      <c r="D307" s="40"/>
      <c r="E307" s="4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2"/>
      <c r="D308" s="40"/>
      <c r="E308" s="4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2"/>
      <c r="D309" s="40"/>
      <c r="E309" s="4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2"/>
      <c r="D310" s="40"/>
      <c r="E310" s="4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2"/>
      <c r="D311" s="40"/>
      <c r="E311" s="4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2"/>
      <c r="D312" s="40"/>
      <c r="E312" s="4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2"/>
      <c r="D313" s="40"/>
      <c r="E313" s="4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2"/>
      <c r="D314" s="40"/>
      <c r="E314" s="4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2"/>
      <c r="D315" s="40"/>
      <c r="E315" s="4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2"/>
      <c r="D316" s="40"/>
      <c r="E316" s="4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2"/>
      <c r="D317" s="40"/>
      <c r="E317" s="4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2"/>
      <c r="D318" s="40"/>
      <c r="E318" s="4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2"/>
      <c r="D319" s="40"/>
      <c r="E319" s="4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2"/>
      <c r="D320" s="40"/>
      <c r="E320" s="4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2"/>
      <c r="D321" s="40"/>
      <c r="E321" s="4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2"/>
      <c r="D322" s="40"/>
      <c r="E322" s="4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2"/>
      <c r="D323" s="40"/>
      <c r="E323" s="4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2"/>
      <c r="D324" s="40"/>
      <c r="E324" s="4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2"/>
      <c r="D325" s="40"/>
      <c r="E325" s="4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2"/>
      <c r="D326" s="40"/>
      <c r="E326" s="4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2"/>
      <c r="D327" s="40"/>
      <c r="E327" s="4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2"/>
      <c r="D328" s="40"/>
      <c r="E328" s="4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2"/>
      <c r="D329" s="40"/>
      <c r="E329" s="4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2"/>
      <c r="D330" s="40"/>
      <c r="E330" s="4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2"/>
      <c r="D331" s="40"/>
      <c r="E331" s="4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2"/>
      <c r="D332" s="40"/>
      <c r="E332" s="4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2"/>
      <c r="D333" s="40"/>
      <c r="E333" s="4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2"/>
      <c r="D334" s="40"/>
      <c r="E334" s="4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2"/>
      <c r="D335" s="40"/>
      <c r="E335" s="4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2"/>
      <c r="D336" s="40"/>
      <c r="E336" s="4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2"/>
      <c r="D337" s="40"/>
      <c r="E337" s="4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2"/>
      <c r="D338" s="40"/>
      <c r="E338" s="4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2"/>
      <c r="D339" s="40"/>
      <c r="E339" s="4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2"/>
      <c r="D340" s="40"/>
      <c r="E340" s="4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2"/>
      <c r="D341" s="40"/>
      <c r="E341" s="4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2"/>
      <c r="D342" s="40"/>
      <c r="E342" s="4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2"/>
      <c r="D343" s="40"/>
      <c r="E343" s="4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2"/>
      <c r="D344" s="40"/>
      <c r="E344" s="4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2"/>
      <c r="D345" s="40"/>
      <c r="E345" s="4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2"/>
      <c r="D346" s="40"/>
      <c r="E346" s="4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2"/>
      <c r="D347" s="40"/>
      <c r="E347" s="4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2"/>
      <c r="D348" s="40"/>
      <c r="E348" s="4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2"/>
      <c r="D349" s="40"/>
      <c r="E349" s="4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2"/>
      <c r="D350" s="40"/>
      <c r="E350" s="4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2"/>
      <c r="D351" s="40"/>
      <c r="E351" s="4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2"/>
      <c r="D352" s="40"/>
      <c r="E352" s="4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2"/>
      <c r="D353" s="40"/>
      <c r="E353" s="4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2"/>
      <c r="D354" s="40"/>
      <c r="E354" s="4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2"/>
      <c r="D355" s="40"/>
      <c r="E355" s="4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2"/>
      <c r="D356" s="40"/>
      <c r="E356" s="4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2"/>
      <c r="D357" s="40"/>
      <c r="E357" s="4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2"/>
      <c r="D358" s="40"/>
      <c r="E358" s="4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2"/>
      <c r="D359" s="40"/>
      <c r="E359" s="4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2"/>
      <c r="D360" s="40"/>
      <c r="E360" s="4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2"/>
      <c r="D361" s="40"/>
      <c r="E361" s="4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2"/>
      <c r="D362" s="40"/>
      <c r="E362" s="4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2"/>
      <c r="D363" s="40"/>
      <c r="E363" s="4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2"/>
      <c r="D364" s="40"/>
      <c r="E364" s="4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2"/>
      <c r="D365" s="40"/>
      <c r="E365" s="4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2"/>
      <c r="D366" s="40"/>
      <c r="E366" s="4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2"/>
      <c r="D367" s="40"/>
      <c r="E367" s="4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2"/>
      <c r="D368" s="40"/>
      <c r="E368" s="4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2"/>
      <c r="D369" s="40"/>
      <c r="E369" s="4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2"/>
      <c r="D370" s="40"/>
      <c r="E370" s="4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2"/>
      <c r="D371" s="40"/>
      <c r="E371" s="4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2"/>
      <c r="D372" s="40"/>
      <c r="E372" s="4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2"/>
      <c r="D373" s="40"/>
      <c r="E373" s="4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2"/>
      <c r="D374" s="40"/>
      <c r="E374" s="4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2"/>
      <c r="D375" s="40"/>
      <c r="E375" s="4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2"/>
      <c r="D376" s="40"/>
      <c r="E376" s="4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2"/>
      <c r="D377" s="40"/>
      <c r="E377" s="4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2"/>
      <c r="D378" s="40"/>
      <c r="E378" s="4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2"/>
      <c r="D379" s="40"/>
      <c r="E379" s="4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2"/>
      <c r="D380" s="40"/>
      <c r="E380" s="4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2"/>
      <c r="D381" s="40"/>
      <c r="E381" s="4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2"/>
      <c r="D382" s="40"/>
      <c r="E382" s="4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2"/>
      <c r="D383" s="40"/>
      <c r="E383" s="4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2"/>
      <c r="D384" s="40"/>
      <c r="E384" s="4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2"/>
      <c r="D385" s="40"/>
      <c r="E385" s="4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2"/>
      <c r="D386" s="40"/>
      <c r="E386" s="4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2"/>
      <c r="D387" s="40"/>
      <c r="E387" s="4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2"/>
      <c r="D388" s="40"/>
      <c r="E388" s="4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2"/>
      <c r="D389" s="40"/>
      <c r="E389" s="4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2"/>
      <c r="D390" s="40"/>
      <c r="E390" s="4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2"/>
      <c r="D391" s="40"/>
      <c r="E391" s="4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2"/>
      <c r="D392" s="40"/>
      <c r="E392" s="4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2"/>
      <c r="D393" s="40"/>
      <c r="E393" s="4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2"/>
      <c r="D394" s="40"/>
      <c r="E394" s="4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2"/>
      <c r="D395" s="40"/>
      <c r="E395" s="4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2"/>
      <c r="D396" s="40"/>
      <c r="E396" s="4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2"/>
      <c r="D397" s="40"/>
      <c r="E397" s="4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2"/>
      <c r="D398" s="40"/>
      <c r="E398" s="4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2"/>
      <c r="D399" s="40"/>
      <c r="E399" s="4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2"/>
      <c r="D400" s="40"/>
      <c r="E400" s="4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2"/>
      <c r="D401" s="40"/>
      <c r="E401" s="4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2"/>
      <c r="D402" s="40"/>
      <c r="E402" s="4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2"/>
      <c r="D403" s="40"/>
      <c r="E403" s="4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2"/>
      <c r="D404" s="40"/>
      <c r="E404" s="4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2"/>
      <c r="D405" s="40"/>
      <c r="E405" s="4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2"/>
      <c r="D406" s="40"/>
      <c r="E406" s="4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2"/>
      <c r="D407" s="40"/>
      <c r="E407" s="4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2"/>
      <c r="D408" s="40"/>
      <c r="E408" s="4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2"/>
      <c r="D409" s="40"/>
      <c r="E409" s="4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2"/>
      <c r="D410" s="40"/>
      <c r="E410" s="4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2"/>
      <c r="D411" s="40"/>
      <c r="E411" s="4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2"/>
      <c r="D412" s="40"/>
      <c r="E412" s="4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2"/>
      <c r="D413" s="40"/>
      <c r="E413" s="4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2"/>
      <c r="D414" s="40"/>
      <c r="E414" s="4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2"/>
      <c r="D415" s="40"/>
      <c r="E415" s="4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2"/>
      <c r="D416" s="40"/>
      <c r="E416" s="4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2"/>
      <c r="D417" s="40"/>
      <c r="E417" s="4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2"/>
      <c r="D418" s="40"/>
      <c r="E418" s="4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2"/>
      <c r="D419" s="40"/>
      <c r="E419" s="4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2"/>
      <c r="D420" s="40"/>
      <c r="E420" s="4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2"/>
      <c r="D421" s="40"/>
      <c r="E421" s="4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2"/>
      <c r="D422" s="40"/>
      <c r="E422" s="4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2"/>
      <c r="D423" s="40"/>
      <c r="E423" s="4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2"/>
      <c r="D424" s="40"/>
      <c r="E424" s="4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2"/>
      <c r="D425" s="40"/>
      <c r="E425" s="4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2"/>
      <c r="D426" s="40"/>
      <c r="E426" s="4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2"/>
      <c r="D427" s="40"/>
      <c r="E427" s="4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2"/>
      <c r="D428" s="40"/>
      <c r="E428" s="4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2"/>
      <c r="D429" s="40"/>
      <c r="E429" s="4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2"/>
      <c r="D430" s="40"/>
      <c r="E430" s="4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2"/>
      <c r="D431" s="40"/>
      <c r="E431" s="4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2"/>
      <c r="D432" s="40"/>
      <c r="E432" s="4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2"/>
      <c r="D433" s="40"/>
      <c r="E433" s="4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2"/>
      <c r="D434" s="40"/>
      <c r="E434" s="4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2"/>
      <c r="D435" s="40"/>
      <c r="E435" s="4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2"/>
      <c r="D436" s="40"/>
      <c r="E436" s="4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2"/>
      <c r="D437" s="40"/>
      <c r="E437" s="4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2"/>
      <c r="D438" s="40"/>
      <c r="E438" s="4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2"/>
      <c r="D439" s="40"/>
      <c r="E439" s="4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2"/>
      <c r="D440" s="40"/>
      <c r="E440" s="4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2"/>
      <c r="D441" s="40"/>
      <c r="E441" s="4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2"/>
      <c r="D442" s="40"/>
      <c r="E442" s="4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2"/>
      <c r="D443" s="40"/>
      <c r="E443" s="4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2"/>
      <c r="D444" s="40"/>
      <c r="E444" s="4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2"/>
      <c r="D445" s="40"/>
      <c r="E445" s="4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2"/>
      <c r="D446" s="40"/>
      <c r="E446" s="4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2"/>
      <c r="D447" s="40"/>
      <c r="E447" s="4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2"/>
      <c r="D448" s="40"/>
      <c r="E448" s="4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2"/>
      <c r="D449" s="40"/>
      <c r="E449" s="4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2"/>
      <c r="D450" s="40"/>
      <c r="E450" s="4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2"/>
      <c r="D451" s="40"/>
      <c r="E451" s="4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2"/>
      <c r="D452" s="40"/>
      <c r="E452" s="4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2"/>
      <c r="D453" s="40"/>
      <c r="E453" s="4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2"/>
      <c r="D454" s="40"/>
      <c r="E454" s="4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2"/>
      <c r="D455" s="40"/>
      <c r="E455" s="4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2"/>
      <c r="D456" s="40"/>
      <c r="E456" s="4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2"/>
      <c r="D457" s="40"/>
      <c r="E457" s="4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2"/>
      <c r="D458" s="40"/>
      <c r="E458" s="4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2"/>
      <c r="D459" s="40"/>
      <c r="E459" s="4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2"/>
      <c r="D460" s="40"/>
      <c r="E460" s="4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2"/>
      <c r="D461" s="40"/>
      <c r="E461" s="4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2"/>
      <c r="D462" s="40"/>
      <c r="E462" s="4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2"/>
      <c r="D463" s="40"/>
      <c r="E463" s="4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2"/>
      <c r="D464" s="40"/>
      <c r="E464" s="4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2"/>
      <c r="D465" s="40"/>
      <c r="E465" s="4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2"/>
      <c r="D466" s="40"/>
      <c r="E466" s="4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2"/>
      <c r="D467" s="40"/>
      <c r="E467" s="4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2"/>
      <c r="D468" s="40"/>
      <c r="E468" s="4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2"/>
      <c r="D469" s="40"/>
      <c r="E469" s="4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2"/>
      <c r="D470" s="40"/>
      <c r="E470" s="4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2"/>
      <c r="D471" s="40"/>
      <c r="E471" s="4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2"/>
      <c r="D472" s="40"/>
      <c r="E472" s="4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2"/>
      <c r="D473" s="40"/>
      <c r="E473" s="4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2"/>
      <c r="D474" s="40"/>
      <c r="E474" s="4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2"/>
      <c r="D475" s="40"/>
      <c r="E475" s="4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2"/>
      <c r="D476" s="40"/>
      <c r="E476" s="4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2"/>
      <c r="D477" s="40"/>
      <c r="E477" s="4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2"/>
      <c r="D478" s="40"/>
      <c r="E478" s="4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2"/>
      <c r="D479" s="40"/>
      <c r="E479" s="4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2"/>
      <c r="D480" s="40"/>
      <c r="E480" s="4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2"/>
      <c r="D481" s="40"/>
      <c r="E481" s="4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2"/>
      <c r="D482" s="40"/>
      <c r="E482" s="4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2"/>
      <c r="D483" s="40"/>
      <c r="E483" s="4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2"/>
      <c r="D484" s="40"/>
      <c r="E484" s="4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2"/>
      <c r="D485" s="40"/>
      <c r="E485" s="4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2"/>
      <c r="D486" s="40"/>
      <c r="E486" s="4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2"/>
      <c r="D487" s="40"/>
      <c r="E487" s="4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2"/>
      <c r="D488" s="40"/>
      <c r="E488" s="4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2"/>
      <c r="D489" s="40"/>
      <c r="E489" s="4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2"/>
      <c r="D490" s="40"/>
      <c r="E490" s="4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2"/>
      <c r="D491" s="40"/>
      <c r="E491" s="4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2"/>
      <c r="D492" s="40"/>
      <c r="E492" s="4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2"/>
      <c r="D493" s="40"/>
      <c r="E493" s="4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2"/>
      <c r="D494" s="40"/>
      <c r="E494" s="4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2"/>
      <c r="D495" s="40"/>
      <c r="E495" s="4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2"/>
      <c r="D496" s="40"/>
      <c r="E496" s="4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2"/>
      <c r="D497" s="40"/>
      <c r="E497" s="4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2"/>
      <c r="D498" s="40"/>
      <c r="E498" s="4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2"/>
      <c r="D499" s="40"/>
      <c r="E499" s="4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2"/>
      <c r="D500" s="40"/>
      <c r="E500" s="4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2"/>
      <c r="D501" s="40"/>
      <c r="E501" s="4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2"/>
      <c r="D502" s="40"/>
      <c r="E502" s="4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2"/>
      <c r="D503" s="40"/>
      <c r="E503" s="4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2"/>
      <c r="D504" s="40"/>
      <c r="E504" s="4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2"/>
      <c r="D505" s="40"/>
      <c r="E505" s="4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2"/>
      <c r="D506" s="40"/>
      <c r="E506" s="4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2"/>
      <c r="D507" s="40"/>
      <c r="E507" s="4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2"/>
      <c r="D508" s="40"/>
      <c r="E508" s="4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2"/>
      <c r="D509" s="40"/>
      <c r="E509" s="4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2"/>
      <c r="D510" s="40"/>
      <c r="E510" s="4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2"/>
      <c r="D511" s="40"/>
      <c r="E511" s="4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2"/>
      <c r="D512" s="40"/>
      <c r="E512" s="4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2"/>
      <c r="D513" s="40"/>
      <c r="E513" s="4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2"/>
      <c r="D514" s="40"/>
      <c r="E514" s="4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2"/>
      <c r="D515" s="40"/>
      <c r="E515" s="4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2"/>
      <c r="D516" s="40"/>
      <c r="E516" s="4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2"/>
      <c r="D517" s="40"/>
      <c r="E517" s="4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2"/>
      <c r="D518" s="40"/>
      <c r="E518" s="4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2"/>
      <c r="D519" s="40"/>
      <c r="E519" s="4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2"/>
      <c r="D520" s="40"/>
      <c r="E520" s="4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2"/>
      <c r="D521" s="40"/>
      <c r="E521" s="4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2"/>
      <c r="D522" s="40"/>
      <c r="E522" s="4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2"/>
      <c r="D523" s="40"/>
      <c r="E523" s="4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2"/>
      <c r="D524" s="40"/>
      <c r="E524" s="4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2"/>
      <c r="D525" s="40"/>
      <c r="E525" s="4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2"/>
      <c r="D526" s="40"/>
      <c r="E526" s="4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2"/>
      <c r="D527" s="40"/>
      <c r="E527" s="4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2"/>
      <c r="D528" s="40"/>
      <c r="E528" s="4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2"/>
      <c r="D529" s="40"/>
      <c r="E529" s="4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2"/>
      <c r="D530" s="40"/>
      <c r="E530" s="4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2"/>
      <c r="D531" s="40"/>
      <c r="E531" s="4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2"/>
      <c r="D532" s="40"/>
      <c r="E532" s="4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2"/>
      <c r="D533" s="40"/>
      <c r="E533" s="4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2"/>
      <c r="D534" s="40"/>
      <c r="E534" s="4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2"/>
      <c r="D535" s="40"/>
      <c r="E535" s="4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2"/>
      <c r="D536" s="40"/>
      <c r="E536" s="4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2"/>
      <c r="D537" s="40"/>
      <c r="E537" s="4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2"/>
      <c r="D538" s="40"/>
      <c r="E538" s="4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2"/>
      <c r="D539" s="40"/>
      <c r="E539" s="4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2"/>
      <c r="D540" s="40"/>
      <c r="E540" s="4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2"/>
      <c r="D541" s="40"/>
      <c r="E541" s="4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2"/>
      <c r="D542" s="40"/>
      <c r="E542" s="4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2"/>
      <c r="D543" s="40"/>
      <c r="E543" s="4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2"/>
      <c r="D544" s="40"/>
      <c r="E544" s="4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2"/>
      <c r="D545" s="40"/>
      <c r="E545" s="4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2"/>
      <c r="D546" s="40"/>
      <c r="E546" s="4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2"/>
      <c r="D547" s="40"/>
      <c r="E547" s="4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2"/>
      <c r="D548" s="40"/>
      <c r="E548" s="4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2"/>
      <c r="D549" s="40"/>
      <c r="E549" s="4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2"/>
      <c r="D550" s="40"/>
      <c r="E550" s="4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2"/>
      <c r="D551" s="40"/>
      <c r="E551" s="4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2"/>
      <c r="D552" s="40"/>
      <c r="E552" s="4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2"/>
      <c r="D553" s="40"/>
      <c r="E553" s="4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2"/>
      <c r="D554" s="40"/>
      <c r="E554" s="4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2"/>
      <c r="D555" s="40"/>
      <c r="E555" s="4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2"/>
      <c r="D556" s="40"/>
      <c r="E556" s="4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2"/>
      <c r="D557" s="40"/>
      <c r="E557" s="4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2"/>
      <c r="D558" s="40"/>
      <c r="E558" s="4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2"/>
      <c r="D559" s="40"/>
      <c r="E559" s="4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2"/>
      <c r="D560" s="40"/>
      <c r="E560" s="4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2"/>
      <c r="D561" s="40"/>
      <c r="E561" s="4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2"/>
      <c r="D562" s="40"/>
      <c r="E562" s="4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2"/>
      <c r="D563" s="40"/>
      <c r="E563" s="4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2"/>
      <c r="D564" s="40"/>
      <c r="E564" s="4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2"/>
      <c r="D565" s="40"/>
      <c r="E565" s="4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2"/>
      <c r="D566" s="40"/>
      <c r="E566" s="4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2"/>
      <c r="D567" s="40"/>
      <c r="E567" s="4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2"/>
      <c r="D568" s="40"/>
      <c r="E568" s="4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2"/>
      <c r="D569" s="40"/>
      <c r="E569" s="4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2"/>
      <c r="D570" s="40"/>
      <c r="E570" s="4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2"/>
      <c r="D571" s="40"/>
      <c r="E571" s="4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2"/>
      <c r="D572" s="40"/>
      <c r="E572" s="4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2"/>
      <c r="D573" s="40"/>
      <c r="E573" s="4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2"/>
      <c r="D574" s="40"/>
      <c r="E574" s="4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2"/>
      <c r="D575" s="40"/>
      <c r="E575" s="4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2"/>
      <c r="D576" s="40"/>
      <c r="E576" s="4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2"/>
      <c r="D577" s="40"/>
      <c r="E577" s="4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2"/>
      <c r="D578" s="40"/>
      <c r="E578" s="4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2"/>
      <c r="D579" s="40"/>
      <c r="E579" s="4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2"/>
      <c r="D580" s="40"/>
      <c r="E580" s="4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2"/>
      <c r="D581" s="40"/>
      <c r="E581" s="4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2"/>
      <c r="D582" s="40"/>
      <c r="E582" s="4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2"/>
      <c r="D583" s="40"/>
      <c r="E583" s="4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2"/>
      <c r="D584" s="40"/>
      <c r="E584" s="4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2"/>
      <c r="D585" s="40"/>
      <c r="E585" s="4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2"/>
      <c r="D586" s="40"/>
      <c r="E586" s="4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2"/>
      <c r="D587" s="40"/>
      <c r="E587" s="4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2"/>
      <c r="D588" s="40"/>
      <c r="E588" s="4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2"/>
      <c r="D589" s="40"/>
      <c r="E589" s="4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2"/>
      <c r="D590" s="40"/>
      <c r="E590" s="4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2"/>
      <c r="D591" s="40"/>
      <c r="E591" s="4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2"/>
      <c r="D592" s="40"/>
      <c r="E592" s="4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2"/>
      <c r="D593" s="40"/>
      <c r="E593" s="4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2"/>
      <c r="D594" s="40"/>
      <c r="E594" s="4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2"/>
      <c r="D595" s="40"/>
      <c r="E595" s="4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2"/>
      <c r="D596" s="40"/>
      <c r="E596" s="4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2"/>
      <c r="D597" s="40"/>
      <c r="E597" s="4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2"/>
      <c r="D598" s="40"/>
      <c r="E598" s="4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2"/>
      <c r="D599" s="40"/>
      <c r="E599" s="4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2"/>
      <c r="D600" s="40"/>
      <c r="E600" s="4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2"/>
      <c r="D601" s="40"/>
      <c r="E601" s="4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2"/>
      <c r="D602" s="40"/>
      <c r="E602" s="4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2"/>
      <c r="D603" s="40"/>
      <c r="E603" s="4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2"/>
      <c r="D604" s="40"/>
      <c r="E604" s="4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2"/>
      <c r="D605" s="40"/>
      <c r="E605" s="4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2"/>
      <c r="D606" s="40"/>
      <c r="E606" s="4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2"/>
      <c r="D607" s="40"/>
      <c r="E607" s="4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2"/>
      <c r="D608" s="40"/>
      <c r="E608" s="4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2"/>
      <c r="D609" s="40"/>
      <c r="E609" s="4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2"/>
      <c r="D610" s="40"/>
      <c r="E610" s="4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2"/>
      <c r="D611" s="40"/>
      <c r="E611" s="4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2"/>
      <c r="D612" s="40"/>
      <c r="E612" s="4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2"/>
      <c r="D613" s="40"/>
      <c r="E613" s="4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2"/>
      <c r="D614" s="40"/>
      <c r="E614" s="4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2"/>
      <c r="D615" s="40"/>
      <c r="E615" s="4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2"/>
      <c r="D616" s="40"/>
      <c r="E616" s="4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2"/>
      <c r="D617" s="40"/>
      <c r="E617" s="4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2"/>
      <c r="D618" s="40"/>
      <c r="E618" s="4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2"/>
      <c r="D619" s="40"/>
      <c r="E619" s="4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2"/>
      <c r="D620" s="40"/>
      <c r="E620" s="4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2"/>
      <c r="D621" s="40"/>
      <c r="E621" s="4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2"/>
      <c r="D622" s="40"/>
      <c r="E622" s="4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2"/>
      <c r="D623" s="40"/>
      <c r="E623" s="4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2"/>
      <c r="D624" s="40"/>
      <c r="E624" s="4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2"/>
      <c r="D625" s="40"/>
      <c r="E625" s="4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2"/>
      <c r="D626" s="40"/>
      <c r="E626" s="4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2"/>
      <c r="D627" s="40"/>
      <c r="E627" s="4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2"/>
      <c r="D628" s="40"/>
      <c r="E628" s="4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2"/>
      <c r="D629" s="40"/>
      <c r="E629" s="4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2"/>
      <c r="D630" s="40"/>
      <c r="E630" s="4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2"/>
      <c r="D631" s="40"/>
      <c r="E631" s="4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2"/>
      <c r="D632" s="40"/>
      <c r="E632" s="4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2"/>
      <c r="D633" s="40"/>
      <c r="E633" s="4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2"/>
      <c r="D634" s="40"/>
      <c r="E634" s="4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2"/>
      <c r="D635" s="40"/>
      <c r="E635" s="4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2"/>
      <c r="D636" s="40"/>
      <c r="E636" s="4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2"/>
      <c r="D637" s="40"/>
      <c r="E637" s="4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2"/>
      <c r="D638" s="40"/>
      <c r="E638" s="4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2"/>
      <c r="D639" s="40"/>
      <c r="E639" s="4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2"/>
      <c r="D640" s="40"/>
      <c r="E640" s="4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2"/>
      <c r="D641" s="40"/>
      <c r="E641" s="4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2"/>
      <c r="D642" s="40"/>
      <c r="E642" s="4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2"/>
      <c r="D643" s="40"/>
      <c r="E643" s="4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2"/>
      <c r="D644" s="40"/>
      <c r="E644" s="4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2"/>
      <c r="D645" s="40"/>
      <c r="E645" s="4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2"/>
      <c r="D646" s="40"/>
      <c r="E646" s="4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2"/>
      <c r="D647" s="40"/>
      <c r="E647" s="4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2"/>
      <c r="D648" s="40"/>
      <c r="E648" s="4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2"/>
      <c r="D649" s="40"/>
      <c r="E649" s="4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2"/>
      <c r="D650" s="40"/>
      <c r="E650" s="4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2"/>
      <c r="D651" s="40"/>
      <c r="E651" s="4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2"/>
      <c r="D652" s="40"/>
      <c r="E652" s="4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2"/>
      <c r="D653" s="40"/>
      <c r="E653" s="4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2"/>
      <c r="D654" s="40"/>
      <c r="E654" s="4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2"/>
      <c r="D655" s="40"/>
      <c r="E655" s="4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2"/>
      <c r="D656" s="40"/>
      <c r="E656" s="4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2"/>
      <c r="D657" s="40"/>
      <c r="E657" s="4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2"/>
      <c r="D658" s="40"/>
      <c r="E658" s="4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2"/>
      <c r="D659" s="40"/>
      <c r="E659" s="4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2"/>
      <c r="D660" s="40"/>
      <c r="E660" s="4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2"/>
      <c r="D661" s="40"/>
      <c r="E661" s="4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2"/>
      <c r="D662" s="40"/>
      <c r="E662" s="4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2"/>
      <c r="D663" s="40"/>
      <c r="E663" s="4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2"/>
      <c r="D664" s="40"/>
      <c r="E664" s="4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2"/>
      <c r="D665" s="40"/>
      <c r="E665" s="4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2"/>
      <c r="D666" s="40"/>
      <c r="E666" s="4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2"/>
      <c r="D667" s="40"/>
      <c r="E667" s="4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2"/>
      <c r="D668" s="40"/>
      <c r="E668" s="4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2"/>
      <c r="D669" s="40"/>
      <c r="E669" s="4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2"/>
      <c r="D670" s="40"/>
      <c r="E670" s="4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2"/>
      <c r="D671" s="40"/>
      <c r="E671" s="4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2"/>
      <c r="D672" s="40"/>
      <c r="E672" s="4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2"/>
      <c r="D673" s="40"/>
      <c r="E673" s="4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2"/>
      <c r="D674" s="40"/>
      <c r="E674" s="4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2"/>
      <c r="D675" s="40"/>
      <c r="E675" s="4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2"/>
      <c r="D676" s="40"/>
      <c r="E676" s="4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2"/>
      <c r="D677" s="40"/>
      <c r="E677" s="4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2"/>
      <c r="D678" s="40"/>
      <c r="E678" s="4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2"/>
      <c r="D679" s="40"/>
      <c r="E679" s="4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2"/>
      <c r="D680" s="40"/>
      <c r="E680" s="4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2"/>
      <c r="D681" s="40"/>
      <c r="E681" s="4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2"/>
      <c r="D682" s="40"/>
      <c r="E682" s="4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2"/>
      <c r="D683" s="40"/>
      <c r="E683" s="4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2"/>
      <c r="D684" s="40"/>
      <c r="E684" s="4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2"/>
      <c r="D685" s="40"/>
      <c r="E685" s="4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2"/>
      <c r="D686" s="40"/>
      <c r="E686" s="4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2"/>
      <c r="D687" s="40"/>
      <c r="E687" s="4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2"/>
      <c r="D688" s="40"/>
      <c r="E688" s="4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2"/>
      <c r="D689" s="40"/>
      <c r="E689" s="4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2"/>
      <c r="D690" s="40"/>
      <c r="E690" s="4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2"/>
      <c r="D691" s="40"/>
      <c r="E691" s="4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2"/>
      <c r="D692" s="40"/>
      <c r="E692" s="4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2"/>
      <c r="D693" s="40"/>
      <c r="E693" s="4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2"/>
      <c r="D694" s="40"/>
      <c r="E694" s="4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2"/>
      <c r="D695" s="40"/>
      <c r="E695" s="4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2"/>
      <c r="D696" s="40"/>
      <c r="E696" s="4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2"/>
      <c r="D697" s="40"/>
      <c r="E697" s="4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2"/>
      <c r="D698" s="40"/>
      <c r="E698" s="4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2"/>
      <c r="D699" s="40"/>
      <c r="E699" s="4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2"/>
      <c r="D700" s="40"/>
      <c r="E700" s="4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2"/>
      <c r="D701" s="40"/>
      <c r="E701" s="4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2"/>
      <c r="D702" s="40"/>
      <c r="E702" s="4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2"/>
      <c r="D703" s="40"/>
      <c r="E703" s="4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2"/>
      <c r="D704" s="40"/>
      <c r="E704" s="4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2"/>
      <c r="D705" s="40"/>
      <c r="E705" s="4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2"/>
      <c r="D706" s="40"/>
      <c r="E706" s="4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2"/>
      <c r="D707" s="40"/>
      <c r="E707" s="4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2"/>
      <c r="D708" s="40"/>
      <c r="E708" s="4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2"/>
      <c r="D709" s="40"/>
      <c r="E709" s="4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2"/>
      <c r="D710" s="40"/>
      <c r="E710" s="4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2"/>
      <c r="D711" s="40"/>
      <c r="E711" s="4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2"/>
      <c r="D712" s="40"/>
      <c r="E712" s="4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2"/>
      <c r="D713" s="40"/>
      <c r="E713" s="4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2"/>
      <c r="D714" s="40"/>
      <c r="E714" s="4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2"/>
      <c r="D715" s="40"/>
      <c r="E715" s="4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2"/>
      <c r="D716" s="40"/>
      <c r="E716" s="4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2"/>
      <c r="D717" s="40"/>
      <c r="E717" s="4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2"/>
      <c r="D718" s="40"/>
      <c r="E718" s="4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2"/>
      <c r="D719" s="40"/>
      <c r="E719" s="4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2"/>
      <c r="D720" s="40"/>
      <c r="E720" s="4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2"/>
      <c r="D721" s="40"/>
      <c r="E721" s="4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2"/>
      <c r="D722" s="40"/>
      <c r="E722" s="4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2"/>
      <c r="D723" s="40"/>
      <c r="E723" s="4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2"/>
      <c r="D724" s="40"/>
      <c r="E724" s="4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2"/>
      <c r="D725" s="40"/>
      <c r="E725" s="4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2"/>
      <c r="D726" s="40"/>
      <c r="E726" s="4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2"/>
      <c r="D727" s="40"/>
      <c r="E727" s="4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2"/>
      <c r="D728" s="40"/>
      <c r="E728" s="4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2"/>
      <c r="D729" s="40"/>
      <c r="E729" s="4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2"/>
      <c r="D730" s="40"/>
      <c r="E730" s="4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2"/>
      <c r="D731" s="40"/>
      <c r="E731" s="4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2"/>
      <c r="D732" s="40"/>
      <c r="E732" s="4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2"/>
      <c r="D733" s="40"/>
      <c r="E733" s="4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2"/>
      <c r="D734" s="40"/>
      <c r="E734" s="4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2"/>
      <c r="D735" s="40"/>
      <c r="E735" s="4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2"/>
      <c r="D736" s="40"/>
      <c r="E736" s="4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2"/>
      <c r="D737" s="40"/>
      <c r="E737" s="4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2"/>
      <c r="D738" s="40"/>
      <c r="E738" s="4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2"/>
      <c r="D739" s="40"/>
      <c r="E739" s="4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2"/>
      <c r="D740" s="40"/>
      <c r="E740" s="4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2"/>
      <c r="D741" s="40"/>
      <c r="E741" s="4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2"/>
      <c r="D742" s="40"/>
      <c r="E742" s="4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2"/>
      <c r="D743" s="40"/>
      <c r="E743" s="4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2"/>
      <c r="D744" s="40"/>
      <c r="E744" s="4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2"/>
      <c r="D745" s="40"/>
      <c r="E745" s="4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2"/>
      <c r="D746" s="40"/>
      <c r="E746" s="4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2"/>
      <c r="D747" s="40"/>
      <c r="E747" s="4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2"/>
      <c r="D748" s="40"/>
      <c r="E748" s="4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2"/>
      <c r="D749" s="40"/>
      <c r="E749" s="4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2"/>
      <c r="D750" s="40"/>
      <c r="E750" s="4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2"/>
      <c r="D751" s="40"/>
      <c r="E751" s="4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2"/>
      <c r="D752" s="40"/>
      <c r="E752" s="4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2"/>
      <c r="D753" s="40"/>
      <c r="E753" s="4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2"/>
      <c r="D754" s="40"/>
      <c r="E754" s="4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2"/>
      <c r="D755" s="40"/>
      <c r="E755" s="4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2"/>
      <c r="D756" s="40"/>
      <c r="E756" s="4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2"/>
      <c r="D757" s="40"/>
      <c r="E757" s="4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2"/>
      <c r="D758" s="40"/>
      <c r="E758" s="4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2"/>
      <c r="D759" s="40"/>
      <c r="E759" s="4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2"/>
      <c r="D760" s="40"/>
      <c r="E760" s="4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2"/>
      <c r="D761" s="40"/>
      <c r="E761" s="4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2"/>
      <c r="D762" s="40"/>
      <c r="E762" s="4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2"/>
      <c r="D763" s="40"/>
      <c r="E763" s="4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2"/>
      <c r="D764" s="40"/>
      <c r="E764" s="4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2"/>
      <c r="D765" s="40"/>
      <c r="E765" s="4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2"/>
      <c r="D766" s="40"/>
      <c r="E766" s="4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2"/>
      <c r="D767" s="40"/>
      <c r="E767" s="4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2"/>
      <c r="D768" s="40"/>
      <c r="E768" s="4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2"/>
      <c r="D769" s="40"/>
      <c r="E769" s="4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2"/>
      <c r="D770" s="40"/>
      <c r="E770" s="4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2"/>
      <c r="D771" s="40"/>
      <c r="E771" s="4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2"/>
      <c r="D772" s="40"/>
      <c r="E772" s="4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2"/>
      <c r="D773" s="40"/>
      <c r="E773" s="4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2"/>
      <c r="D774" s="40"/>
      <c r="E774" s="4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2"/>
      <c r="D775" s="40"/>
      <c r="E775" s="4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2"/>
      <c r="D776" s="40"/>
      <c r="E776" s="4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2"/>
      <c r="D777" s="40"/>
      <c r="E777" s="4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2"/>
      <c r="D778" s="40"/>
      <c r="E778" s="4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2"/>
      <c r="D779" s="40"/>
      <c r="E779" s="4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2"/>
      <c r="D780" s="40"/>
      <c r="E780" s="4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2"/>
      <c r="D781" s="40"/>
      <c r="E781" s="4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2"/>
      <c r="D782" s="40"/>
      <c r="E782" s="4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2"/>
      <c r="D783" s="40"/>
      <c r="E783" s="4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2"/>
      <c r="D784" s="40"/>
      <c r="E784" s="4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2"/>
      <c r="D785" s="40"/>
      <c r="E785" s="4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2"/>
      <c r="D786" s="40"/>
      <c r="E786" s="4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2"/>
      <c r="D787" s="40"/>
      <c r="E787" s="4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2"/>
      <c r="D788" s="40"/>
      <c r="E788" s="4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2"/>
      <c r="D789" s="40"/>
      <c r="E789" s="4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2"/>
      <c r="D790" s="40"/>
      <c r="E790" s="4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2"/>
      <c r="D791" s="40"/>
      <c r="E791" s="4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2"/>
      <c r="D792" s="40"/>
      <c r="E792" s="4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2"/>
      <c r="D793" s="40"/>
      <c r="E793" s="4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2"/>
      <c r="D794" s="40"/>
      <c r="E794" s="4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2"/>
      <c r="D795" s="40"/>
      <c r="E795" s="4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2"/>
      <c r="D796" s="40"/>
      <c r="E796" s="4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2"/>
      <c r="D797" s="40"/>
      <c r="E797" s="4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2"/>
      <c r="D798" s="40"/>
      <c r="E798" s="4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2"/>
      <c r="D799" s="40"/>
      <c r="E799" s="4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2"/>
      <c r="D800" s="40"/>
      <c r="E800" s="4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2"/>
      <c r="D801" s="40"/>
      <c r="E801" s="4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2"/>
      <c r="D802" s="40"/>
      <c r="E802" s="4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2"/>
      <c r="D803" s="40"/>
      <c r="E803" s="4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2"/>
      <c r="D804" s="40"/>
      <c r="E804" s="4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2"/>
      <c r="D805" s="40"/>
      <c r="E805" s="4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2"/>
      <c r="D806" s="40"/>
      <c r="E806" s="4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2"/>
      <c r="D807" s="40"/>
      <c r="E807" s="4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2"/>
      <c r="D808" s="40"/>
      <c r="E808" s="4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2"/>
      <c r="D809" s="40"/>
      <c r="E809" s="4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2"/>
      <c r="D810" s="40"/>
      <c r="E810" s="4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2"/>
      <c r="D811" s="40"/>
      <c r="E811" s="4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2"/>
      <c r="D812" s="40"/>
      <c r="E812" s="4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2"/>
      <c r="D813" s="40"/>
      <c r="E813" s="4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2"/>
      <c r="D814" s="40"/>
      <c r="E814" s="4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2"/>
      <c r="D815" s="40"/>
      <c r="E815" s="4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2"/>
      <c r="D816" s="40"/>
      <c r="E816" s="4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2"/>
      <c r="D817" s="40"/>
      <c r="E817" s="4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2"/>
      <c r="D818" s="40"/>
      <c r="E818" s="4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2"/>
      <c r="D819" s="40"/>
      <c r="E819" s="4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2"/>
      <c r="D820" s="40"/>
      <c r="E820" s="4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2"/>
      <c r="D821" s="40"/>
      <c r="E821" s="4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2"/>
      <c r="D822" s="40"/>
      <c r="E822" s="4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2"/>
      <c r="D823" s="40"/>
      <c r="E823" s="4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2"/>
      <c r="D824" s="40"/>
      <c r="E824" s="4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2"/>
      <c r="D825" s="40"/>
      <c r="E825" s="4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2"/>
      <c r="D826" s="40"/>
      <c r="E826" s="4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2"/>
      <c r="D827" s="40"/>
      <c r="E827" s="4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2"/>
      <c r="D828" s="40"/>
      <c r="E828" s="4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2"/>
      <c r="D829" s="40"/>
      <c r="E829" s="4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2"/>
      <c r="D830" s="40"/>
      <c r="E830" s="4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2"/>
      <c r="D831" s="40"/>
      <c r="E831" s="4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2"/>
      <c r="D832" s="40"/>
      <c r="E832" s="4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2"/>
      <c r="D833" s="40"/>
      <c r="E833" s="4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2"/>
      <c r="D834" s="40"/>
      <c r="E834" s="4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2"/>
      <c r="D835" s="40"/>
      <c r="E835" s="4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2"/>
      <c r="D836" s="40"/>
      <c r="E836" s="4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2"/>
      <c r="D837" s="40"/>
      <c r="E837" s="4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2"/>
      <c r="D838" s="40"/>
      <c r="E838" s="4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2"/>
      <c r="D839" s="40"/>
      <c r="E839" s="4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2"/>
      <c r="D840" s="40"/>
      <c r="E840" s="4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2"/>
      <c r="D841" s="40"/>
      <c r="E841" s="4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2"/>
      <c r="D842" s="40"/>
      <c r="E842" s="4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2"/>
      <c r="D843" s="40"/>
      <c r="E843" s="4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2"/>
      <c r="D844" s="40"/>
      <c r="E844" s="4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2"/>
      <c r="D845" s="40"/>
      <c r="E845" s="4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2"/>
      <c r="D846" s="40"/>
      <c r="E846" s="4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2"/>
      <c r="D847" s="40"/>
      <c r="E847" s="4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2"/>
      <c r="D848" s="40"/>
      <c r="E848" s="4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2"/>
      <c r="D849" s="40"/>
      <c r="E849" s="4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2"/>
      <c r="D850" s="40"/>
      <c r="E850" s="4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2"/>
      <c r="D851" s="40"/>
      <c r="E851" s="4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2"/>
      <c r="D852" s="40"/>
      <c r="E852" s="4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2"/>
      <c r="D853" s="40"/>
      <c r="E853" s="4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2"/>
      <c r="D854" s="40"/>
      <c r="E854" s="4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2"/>
      <c r="D855" s="40"/>
      <c r="E855" s="4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2"/>
      <c r="D856" s="40"/>
      <c r="E856" s="4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2"/>
      <c r="D857" s="40"/>
      <c r="E857" s="4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2"/>
      <c r="D858" s="40"/>
      <c r="E858" s="4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2"/>
      <c r="D859" s="40"/>
      <c r="E859" s="4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2"/>
      <c r="D860" s="40"/>
      <c r="E860" s="4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2"/>
      <c r="D861" s="40"/>
      <c r="E861" s="4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2"/>
      <c r="D862" s="40"/>
      <c r="E862" s="4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2"/>
      <c r="D863" s="40"/>
      <c r="E863" s="4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2"/>
      <c r="D864" s="40"/>
      <c r="E864" s="4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2"/>
      <c r="D865" s="40"/>
      <c r="E865" s="4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2"/>
      <c r="D866" s="40"/>
      <c r="E866" s="4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2"/>
      <c r="D867" s="40"/>
      <c r="E867" s="4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2"/>
      <c r="D868" s="40"/>
      <c r="E868" s="4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2"/>
      <c r="D869" s="40"/>
      <c r="E869" s="4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2"/>
      <c r="D870" s="40"/>
      <c r="E870" s="4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2"/>
      <c r="D871" s="40"/>
      <c r="E871" s="4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2"/>
      <c r="D872" s="40"/>
      <c r="E872" s="4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2"/>
      <c r="D873" s="40"/>
      <c r="E873" s="4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2"/>
      <c r="D874" s="40"/>
      <c r="E874" s="4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2"/>
      <c r="D875" s="40"/>
      <c r="E875" s="4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2"/>
      <c r="D876" s="40"/>
      <c r="E876" s="4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2"/>
      <c r="D877" s="40"/>
      <c r="E877" s="4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2"/>
      <c r="D878" s="40"/>
      <c r="E878" s="4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2"/>
      <c r="D879" s="40"/>
      <c r="E879" s="4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2"/>
      <c r="D880" s="40"/>
      <c r="E880" s="4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2"/>
      <c r="D881" s="40"/>
      <c r="E881" s="4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2"/>
      <c r="D882" s="40"/>
      <c r="E882" s="4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2"/>
      <c r="D883" s="40"/>
      <c r="E883" s="4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2"/>
      <c r="D884" s="40"/>
      <c r="E884" s="4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2"/>
      <c r="D885" s="40"/>
      <c r="E885" s="4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2"/>
      <c r="D886" s="40"/>
      <c r="E886" s="4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2"/>
      <c r="D887" s="40"/>
      <c r="E887" s="4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2"/>
      <c r="D888" s="40"/>
      <c r="E888" s="4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2"/>
      <c r="D889" s="40"/>
      <c r="E889" s="4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2"/>
      <c r="D890" s="40"/>
      <c r="E890" s="4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2"/>
      <c r="D891" s="40"/>
      <c r="E891" s="4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2"/>
      <c r="D892" s="40"/>
      <c r="E892" s="4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2"/>
      <c r="D893" s="40"/>
      <c r="E893" s="4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2"/>
      <c r="D894" s="40"/>
      <c r="E894" s="4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2"/>
      <c r="D895" s="40"/>
      <c r="E895" s="4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2"/>
      <c r="D896" s="40"/>
      <c r="E896" s="4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2"/>
      <c r="D897" s="40"/>
      <c r="E897" s="4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2"/>
      <c r="D898" s="40"/>
      <c r="E898" s="4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2"/>
      <c r="D899" s="40"/>
      <c r="E899" s="4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2"/>
      <c r="D900" s="40"/>
      <c r="E900" s="4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2"/>
      <c r="D901" s="40"/>
      <c r="E901" s="4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2"/>
      <c r="D902" s="40"/>
      <c r="E902" s="4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2"/>
      <c r="D903" s="40"/>
      <c r="E903" s="4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2"/>
      <c r="D904" s="40"/>
      <c r="E904" s="4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2"/>
      <c r="D905" s="40"/>
      <c r="E905" s="4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2"/>
      <c r="D906" s="40"/>
      <c r="E906" s="4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2"/>
      <c r="D907" s="40"/>
      <c r="E907" s="4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2"/>
      <c r="D908" s="40"/>
      <c r="E908" s="4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2"/>
      <c r="D909" s="40"/>
      <c r="E909" s="4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2"/>
      <c r="D910" s="40"/>
      <c r="E910" s="4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2"/>
      <c r="D911" s="40"/>
      <c r="E911" s="4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2"/>
      <c r="D912" s="40"/>
      <c r="E912" s="4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2"/>
      <c r="D913" s="40"/>
      <c r="E913" s="4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2"/>
      <c r="D914" s="40"/>
      <c r="E914" s="4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2"/>
      <c r="D915" s="40"/>
      <c r="E915" s="4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2"/>
      <c r="D916" s="40"/>
      <c r="E916" s="4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2"/>
      <c r="D917" s="40"/>
      <c r="E917" s="4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2"/>
      <c r="D918" s="40"/>
      <c r="E918" s="4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2"/>
      <c r="D919" s="40"/>
      <c r="E919" s="4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2"/>
      <c r="D920" s="40"/>
      <c r="E920" s="4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2"/>
      <c r="D921" s="40"/>
      <c r="E921" s="4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2"/>
      <c r="D922" s="40"/>
      <c r="E922" s="4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2"/>
      <c r="D923" s="40"/>
      <c r="E923" s="4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2"/>
      <c r="D924" s="40"/>
      <c r="E924" s="4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2"/>
      <c r="D925" s="40"/>
      <c r="E925" s="4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2"/>
      <c r="D926" s="40"/>
      <c r="E926" s="4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2"/>
      <c r="D927" s="40"/>
      <c r="E927" s="4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2"/>
      <c r="D928" s="40"/>
      <c r="E928" s="4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2"/>
      <c r="D929" s="40"/>
      <c r="E929" s="4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2"/>
      <c r="D930" s="40"/>
      <c r="E930" s="4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2"/>
      <c r="D931" s="40"/>
      <c r="E931" s="4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2"/>
      <c r="D932" s="40"/>
      <c r="E932" s="4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2"/>
      <c r="D933" s="40"/>
      <c r="E933" s="4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2"/>
      <c r="D934" s="40"/>
      <c r="E934" s="4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2"/>
      <c r="D935" s="40"/>
      <c r="E935" s="4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2"/>
      <c r="D936" s="40"/>
      <c r="E936" s="4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2"/>
      <c r="D937" s="40"/>
      <c r="E937" s="4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2"/>
      <c r="D938" s="40"/>
      <c r="E938" s="4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2"/>
      <c r="D939" s="40"/>
      <c r="E939" s="4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2"/>
      <c r="D940" s="40"/>
      <c r="E940" s="4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2"/>
      <c r="D941" s="40"/>
      <c r="E941" s="4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2"/>
      <c r="D942" s="40"/>
      <c r="E942" s="4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2"/>
      <c r="D943" s="40"/>
      <c r="E943" s="4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2"/>
      <c r="D944" s="40"/>
      <c r="E944" s="4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2"/>
      <c r="D945" s="40"/>
      <c r="E945" s="4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2"/>
      <c r="D946" s="40"/>
      <c r="E946" s="4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2"/>
      <c r="D947" s="40"/>
      <c r="E947" s="4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2"/>
      <c r="D948" s="40"/>
      <c r="E948" s="4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2"/>
      <c r="D949" s="40"/>
      <c r="E949" s="4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2"/>
      <c r="D950" s="40"/>
      <c r="E950" s="4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2"/>
      <c r="D951" s="40"/>
      <c r="E951" s="4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2"/>
      <c r="D952" s="40"/>
      <c r="E952" s="4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2"/>
      <c r="D953" s="40"/>
      <c r="E953" s="4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2"/>
      <c r="D954" s="40"/>
      <c r="E954" s="4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2"/>
      <c r="D955" s="40"/>
      <c r="E955" s="4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2"/>
      <c r="D956" s="40"/>
      <c r="E956" s="4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2"/>
      <c r="D957" s="40"/>
      <c r="E957" s="4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2"/>
      <c r="D958" s="40"/>
      <c r="E958" s="4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2"/>
      <c r="D959" s="40"/>
      <c r="E959" s="4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2"/>
      <c r="D960" s="40"/>
      <c r="E960" s="4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2"/>
      <c r="D961" s="40"/>
      <c r="E961" s="4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2"/>
      <c r="D962" s="40"/>
      <c r="E962" s="4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2"/>
      <c r="D963" s="40"/>
      <c r="E963" s="40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2"/>
      <c r="D964" s="40"/>
      <c r="E964" s="40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2"/>
      <c r="D965" s="40"/>
      <c r="E965" s="40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2"/>
      <c r="D966" s="40"/>
      <c r="E966" s="40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2"/>
      <c r="D967" s="40"/>
      <c r="E967" s="40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2"/>
      <c r="C968" s="92"/>
      <c r="D968" s="40"/>
      <c r="E968" s="40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2"/>
      <c r="C969" s="92"/>
      <c r="D969" s="40"/>
      <c r="E969" s="40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4"/>
      <c r="C970" s="4"/>
      <c r="D970" s="40"/>
      <c r="E970" s="40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40"/>
      <c r="E971" s="40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40"/>
      <c r="E972" s="40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40"/>
      <c r="E973" s="40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0"/>
      <c r="E974" s="40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0"/>
      <c r="E975" s="40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0"/>
      <c r="E976" s="40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0"/>
      <c r="E977" s="40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40"/>
      <c r="E978" s="40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  <row r="979" ht="20.25" customHeight="1">
      <c r="A979" s="1"/>
      <c r="B979" s="4"/>
      <c r="C979" s="4"/>
      <c r="D979" s="40"/>
      <c r="E979" s="40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  <c r="AW979" s="4"/>
      <c r="AX979" s="4"/>
    </row>
    <row r="980" ht="20.25" customHeight="1">
      <c r="A980" s="1"/>
      <c r="B980" s="4"/>
      <c r="C980" s="4"/>
      <c r="D980" s="40"/>
      <c r="E980" s="40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  <c r="AW980" s="4"/>
      <c r="AX980" s="4"/>
    </row>
  </sheetData>
  <mergeCells count="291">
    <mergeCell ref="C2:L5"/>
    <mergeCell ref="F9:I10"/>
    <mergeCell ref="R9:U10"/>
    <mergeCell ref="AD9:AG10"/>
    <mergeCell ref="AP9:AS10"/>
    <mergeCell ref="I11:J11"/>
    <mergeCell ref="K11:L11"/>
    <mergeCell ref="AS11:AT11"/>
    <mergeCell ref="U12:V12"/>
    <mergeCell ref="U13:V13"/>
    <mergeCell ref="U14:V14"/>
    <mergeCell ref="W14:X14"/>
    <mergeCell ref="U15:V15"/>
    <mergeCell ref="W15:X15"/>
    <mergeCell ref="U16:V16"/>
    <mergeCell ref="W16:X16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S15:AT15"/>
    <mergeCell ref="AU15:AV15"/>
    <mergeCell ref="AS16:AT16"/>
    <mergeCell ref="AU16:AV16"/>
    <mergeCell ref="AG13:AH13"/>
    <mergeCell ref="AI13:AJ13"/>
    <mergeCell ref="AS13:AT13"/>
    <mergeCell ref="AU13:AV13"/>
    <mergeCell ref="AI14:AJ14"/>
    <mergeCell ref="AS14:AT14"/>
    <mergeCell ref="AU14:AV14"/>
    <mergeCell ref="I19:J19"/>
    <mergeCell ref="K19:L19"/>
    <mergeCell ref="U19:V19"/>
    <mergeCell ref="W19:X19"/>
    <mergeCell ref="AG19:AH19"/>
    <mergeCell ref="AI19:AJ19"/>
    <mergeCell ref="AS19:AT19"/>
    <mergeCell ref="AU19:AV19"/>
    <mergeCell ref="I20:J20"/>
    <mergeCell ref="K20:L20"/>
    <mergeCell ref="U20:V20"/>
    <mergeCell ref="W20:X20"/>
    <mergeCell ref="AG20:AH20"/>
    <mergeCell ref="AI20:AJ20"/>
    <mergeCell ref="AS20:AT20"/>
    <mergeCell ref="AU20:AV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13:J13"/>
    <mergeCell ref="I14:J14"/>
    <mergeCell ref="K14:L14"/>
    <mergeCell ref="I15:J15"/>
    <mergeCell ref="K15:L15"/>
    <mergeCell ref="I16:J16"/>
    <mergeCell ref="K16:L16"/>
    <mergeCell ref="AG29:AH29"/>
    <mergeCell ref="AG30:AH30"/>
    <mergeCell ref="AG31:AH31"/>
    <mergeCell ref="AI31:AJ31"/>
    <mergeCell ref="AG32:AH32"/>
    <mergeCell ref="AI32:AJ32"/>
    <mergeCell ref="AA34:AJ34"/>
    <mergeCell ref="U29:V29"/>
    <mergeCell ref="U30:V30"/>
    <mergeCell ref="U31:V31"/>
    <mergeCell ref="W31:X31"/>
    <mergeCell ref="U32:V32"/>
    <mergeCell ref="W32:X32"/>
    <mergeCell ref="O34:X34"/>
    <mergeCell ref="K27:L27"/>
    <mergeCell ref="U27:V27"/>
    <mergeCell ref="W27:X27"/>
    <mergeCell ref="AG27:AH27"/>
    <mergeCell ref="AI27:AJ27"/>
    <mergeCell ref="AS27:AT27"/>
    <mergeCell ref="AU27:AV27"/>
    <mergeCell ref="I27:J27"/>
    <mergeCell ref="I28:J28"/>
    <mergeCell ref="K28:L28"/>
    <mergeCell ref="U28:V28"/>
    <mergeCell ref="W28:X28"/>
    <mergeCell ref="AG28:AH28"/>
    <mergeCell ref="AI28:AJ28"/>
    <mergeCell ref="I29:J29"/>
    <mergeCell ref="K29:L29"/>
    <mergeCell ref="W29:X29"/>
    <mergeCell ref="AI29:AJ29"/>
    <mergeCell ref="K30:L30"/>
    <mergeCell ref="W30:X30"/>
    <mergeCell ref="AI30:AJ30"/>
    <mergeCell ref="AS31:AT31"/>
    <mergeCell ref="AS32:AT32"/>
    <mergeCell ref="AM34:AV34"/>
    <mergeCell ref="AS28:AT28"/>
    <mergeCell ref="AU28:AV28"/>
    <mergeCell ref="AS29:AT29"/>
    <mergeCell ref="AU29:AV29"/>
    <mergeCell ref="AS30:AT30"/>
    <mergeCell ref="AU30:AV30"/>
    <mergeCell ref="AU31:AV31"/>
    <mergeCell ref="AU32:AV32"/>
    <mergeCell ref="I30:J30"/>
    <mergeCell ref="I31:J31"/>
    <mergeCell ref="K31:L31"/>
    <mergeCell ref="I32:J32"/>
    <mergeCell ref="K32:L32"/>
    <mergeCell ref="C34:L34"/>
    <mergeCell ref="K37:L37"/>
    <mergeCell ref="AS38:AT38"/>
    <mergeCell ref="AU38:AV38"/>
    <mergeCell ref="U37:V37"/>
    <mergeCell ref="W37:X37"/>
    <mergeCell ref="AG37:AH37"/>
    <mergeCell ref="AI37:AJ37"/>
    <mergeCell ref="AS37:AT37"/>
    <mergeCell ref="AU37:AV37"/>
    <mergeCell ref="I37:J37"/>
    <mergeCell ref="I38:J38"/>
    <mergeCell ref="K38:L38"/>
    <mergeCell ref="U38:V38"/>
    <mergeCell ref="W38:X38"/>
    <mergeCell ref="AG38:AH38"/>
    <mergeCell ref="AI38:AJ38"/>
    <mergeCell ref="K39:L39"/>
    <mergeCell ref="U39:V39"/>
    <mergeCell ref="W39:X39"/>
    <mergeCell ref="AG39:AH39"/>
    <mergeCell ref="AI39:AJ39"/>
    <mergeCell ref="AS39:AT39"/>
    <mergeCell ref="AU39:AV39"/>
    <mergeCell ref="AS40:AT40"/>
    <mergeCell ref="AU40:AV40"/>
    <mergeCell ref="AS41:AT41"/>
    <mergeCell ref="AU41:AV41"/>
    <mergeCell ref="AS42:AT42"/>
    <mergeCell ref="AU42:AV42"/>
    <mergeCell ref="AS43:AT43"/>
    <mergeCell ref="AU43:AV43"/>
    <mergeCell ref="I39:J39"/>
    <mergeCell ref="I40:J40"/>
    <mergeCell ref="K40:L40"/>
    <mergeCell ref="U40:V40"/>
    <mergeCell ref="W40:X40"/>
    <mergeCell ref="AG40:AH40"/>
    <mergeCell ref="AI40:AJ40"/>
    <mergeCell ref="U41:V41"/>
    <mergeCell ref="U42:V42"/>
    <mergeCell ref="U43:V43"/>
    <mergeCell ref="W43:X43"/>
    <mergeCell ref="AG43:AH43"/>
    <mergeCell ref="AI43:AJ43"/>
    <mergeCell ref="I42:J42"/>
    <mergeCell ref="I43:J43"/>
    <mergeCell ref="K43:L43"/>
    <mergeCell ref="I50:J50"/>
    <mergeCell ref="K50:L50"/>
    <mergeCell ref="U50:V50"/>
    <mergeCell ref="W50:X50"/>
    <mergeCell ref="AI50:AJ50"/>
    <mergeCell ref="AS50:AT50"/>
    <mergeCell ref="AU50:AV50"/>
    <mergeCell ref="I51:J51"/>
    <mergeCell ref="K51:L51"/>
    <mergeCell ref="U51:V51"/>
    <mergeCell ref="W51:X51"/>
    <mergeCell ref="AI51:AJ51"/>
    <mergeCell ref="AS51:AT51"/>
    <mergeCell ref="AU51:AV51"/>
    <mergeCell ref="I56:J56"/>
    <mergeCell ref="K56:L56"/>
    <mergeCell ref="C53:L53"/>
    <mergeCell ref="O53:X53"/>
    <mergeCell ref="AA53:AJ53"/>
    <mergeCell ref="AM53:AV53"/>
    <mergeCell ref="I55:J55"/>
    <mergeCell ref="K55:L55"/>
    <mergeCell ref="B56:F57"/>
    <mergeCell ref="I57:J57"/>
    <mergeCell ref="K57:L57"/>
    <mergeCell ref="B58:D59"/>
    <mergeCell ref="E58:E59"/>
    <mergeCell ref="F58:F59"/>
    <mergeCell ref="I58:J58"/>
    <mergeCell ref="K58:L58"/>
    <mergeCell ref="B66:D67"/>
    <mergeCell ref="E66:E67"/>
    <mergeCell ref="F66:F67"/>
    <mergeCell ref="B60:F61"/>
    <mergeCell ref="B62:D63"/>
    <mergeCell ref="E62:E63"/>
    <mergeCell ref="F62:F63"/>
    <mergeCell ref="B64:D65"/>
    <mergeCell ref="E64:E65"/>
    <mergeCell ref="F64:F65"/>
    <mergeCell ref="I41:J41"/>
    <mergeCell ref="K41:L41"/>
    <mergeCell ref="W41:X41"/>
    <mergeCell ref="AI41:AJ41"/>
    <mergeCell ref="K42:L42"/>
    <mergeCell ref="W42:X42"/>
    <mergeCell ref="AI42:AJ42"/>
    <mergeCell ref="I46:J46"/>
    <mergeCell ref="K46:L46"/>
    <mergeCell ref="U46:V46"/>
    <mergeCell ref="W46:X46"/>
    <mergeCell ref="AI46:AJ46"/>
    <mergeCell ref="AS46:AT46"/>
    <mergeCell ref="AU46:AV46"/>
    <mergeCell ref="I47:J47"/>
    <mergeCell ref="K47:L47"/>
    <mergeCell ref="U47:V47"/>
    <mergeCell ref="W47:X47"/>
    <mergeCell ref="AI47:AJ47"/>
    <mergeCell ref="AS47:AT47"/>
    <mergeCell ref="AU47:AV47"/>
    <mergeCell ref="I48:J48"/>
    <mergeCell ref="K48:L48"/>
    <mergeCell ref="U48:V48"/>
    <mergeCell ref="W48:X48"/>
    <mergeCell ref="AI48:AJ48"/>
    <mergeCell ref="AS48:AT48"/>
    <mergeCell ref="AU48:AV48"/>
    <mergeCell ref="I49:J49"/>
    <mergeCell ref="K49:L49"/>
    <mergeCell ref="U49:V49"/>
    <mergeCell ref="W49:X49"/>
    <mergeCell ref="AI49:AJ49"/>
    <mergeCell ref="AS49:AT49"/>
    <mergeCell ref="AU49:AV49"/>
    <mergeCell ref="I52:J52"/>
    <mergeCell ref="K52:L52"/>
    <mergeCell ref="U52:V52"/>
    <mergeCell ref="W52:X52"/>
    <mergeCell ref="AG51:AH51"/>
    <mergeCell ref="AG52:AH52"/>
    <mergeCell ref="AI52:AJ52"/>
    <mergeCell ref="AS52:AT52"/>
    <mergeCell ref="AU52:AV52"/>
    <mergeCell ref="AG41:AH41"/>
    <mergeCell ref="AG42:AH42"/>
    <mergeCell ref="AG46:AH46"/>
    <mergeCell ref="AG47:AH47"/>
    <mergeCell ref="AG48:AH48"/>
    <mergeCell ref="AG49:AH49"/>
    <mergeCell ref="AG50:AH50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20"/>
    <hyperlink r:id="rId22" ref="O20"/>
    <hyperlink r:id="rId23" ref="AA20"/>
    <hyperlink r:id="rId24" ref="AM20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8"/>
    <hyperlink r:id="rId42" ref="O28"/>
    <hyperlink r:id="rId43" ref="AA28"/>
    <hyperlink r:id="rId44" ref="AM28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8"/>
    <hyperlink r:id="rId62" ref="O38"/>
    <hyperlink r:id="rId63" ref="AA38"/>
    <hyperlink r:id="rId64" ref="AM38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7"/>
    <hyperlink r:id="rId86" ref="O47"/>
    <hyperlink r:id="rId87" ref="AA47"/>
    <hyperlink r:id="rId88" ref="AM47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B62"/>
    <hyperlink r:id="rId102" ref="B64"/>
    <hyperlink r:id="rId103" ref="B66"/>
  </hyperlinks>
  <printOptions/>
  <pageMargins bottom="0.75" footer="0.0" header="0.0" left="0.7" right="0.7" top="0.75"/>
  <pageSetup orientation="portrait"/>
  <drawing r:id="rId10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00"/>
      <c r="B1" s="100"/>
      <c r="C1" s="100"/>
      <c r="D1" s="100"/>
      <c r="E1" s="100"/>
      <c r="F1" s="101"/>
      <c r="G1" s="101"/>
      <c r="H1" s="101"/>
      <c r="I1" s="102"/>
      <c r="J1" s="102"/>
      <c r="K1" s="101"/>
      <c r="L1" s="16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</row>
    <row r="2">
      <c r="A2" s="100"/>
      <c r="B2" s="100"/>
      <c r="C2" s="100"/>
      <c r="D2" s="100"/>
      <c r="E2" s="100"/>
      <c r="F2" s="101"/>
      <c r="G2" s="101"/>
      <c r="H2" s="101"/>
      <c r="I2" s="102"/>
      <c r="J2" s="102"/>
      <c r="K2" s="101"/>
      <c r="L2" s="16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</row>
    <row r="3" ht="217.5" customHeight="1">
      <c r="A3" s="39"/>
      <c r="B3" s="39"/>
      <c r="C3" s="16"/>
      <c r="D3" s="16"/>
      <c r="E3" s="16"/>
      <c r="F3" s="16"/>
      <c r="G3" s="16"/>
      <c r="H3" s="39"/>
      <c r="I3" s="103"/>
      <c r="J3" s="103"/>
      <c r="K3" s="16"/>
      <c r="L3" s="16"/>
      <c r="M3" s="101"/>
      <c r="N3" s="104"/>
      <c r="O3" s="101"/>
      <c r="P3" s="39"/>
      <c r="Q3" s="39"/>
      <c r="R3" s="39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</row>
    <row r="4" ht="75.0" customHeight="1">
      <c r="A4" s="39"/>
      <c r="B4" s="39"/>
      <c r="C4" s="16"/>
      <c r="D4" s="16"/>
      <c r="E4" s="16"/>
      <c r="F4" s="16"/>
      <c r="G4" s="16"/>
      <c r="H4" s="39"/>
      <c r="I4" s="103"/>
      <c r="J4" s="103"/>
      <c r="K4" s="16"/>
      <c r="L4" s="16"/>
      <c r="M4" s="101"/>
      <c r="N4" s="101"/>
      <c r="O4" s="101"/>
      <c r="P4" s="39"/>
      <c r="Q4" s="16"/>
      <c r="R4" s="16"/>
      <c r="S4" s="16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</row>
    <row r="5">
      <c r="A5" s="90"/>
      <c r="B5" s="90"/>
      <c r="C5" s="105" t="s">
        <v>83</v>
      </c>
      <c r="D5" s="63"/>
      <c r="E5" s="23"/>
      <c r="F5" s="16"/>
      <c r="G5" s="90"/>
      <c r="H5" s="90"/>
      <c r="I5" s="106"/>
      <c r="J5" s="106"/>
      <c r="K5" s="90"/>
      <c r="L5" s="16"/>
      <c r="M5" s="107"/>
      <c r="N5" s="107"/>
      <c r="O5" s="107"/>
      <c r="P5" s="91"/>
      <c r="Q5" s="108"/>
      <c r="R5" s="108"/>
      <c r="S5" s="108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</row>
    <row r="6">
      <c r="A6" s="90"/>
      <c r="B6" s="90"/>
      <c r="C6" s="105" t="s">
        <v>84</v>
      </c>
      <c r="D6" s="63"/>
      <c r="E6" s="23"/>
      <c r="F6" s="16"/>
      <c r="G6" s="90"/>
      <c r="H6" s="90"/>
      <c r="I6" s="106"/>
      <c r="J6" s="106"/>
      <c r="K6" s="16"/>
      <c r="L6" s="16"/>
      <c r="M6" s="107"/>
      <c r="N6" s="107"/>
      <c r="O6" s="107"/>
      <c r="P6" s="91"/>
      <c r="Q6" s="108"/>
      <c r="R6" s="108"/>
      <c r="S6" s="108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</row>
    <row r="7">
      <c r="A7" s="90"/>
      <c r="B7" s="90"/>
      <c r="C7" s="105" t="s">
        <v>85</v>
      </c>
      <c r="D7" s="63"/>
      <c r="E7" s="23"/>
      <c r="F7" s="16"/>
      <c r="G7" s="90"/>
      <c r="H7" s="90"/>
      <c r="I7" s="106"/>
      <c r="J7" s="106"/>
      <c r="K7" s="16"/>
      <c r="L7" s="16"/>
      <c r="M7" s="16"/>
      <c r="N7" s="16"/>
      <c r="O7" s="16"/>
      <c r="P7" s="16"/>
      <c r="Q7" s="16"/>
      <c r="R7" s="16"/>
      <c r="S7" s="16"/>
      <c r="T7" s="109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</row>
    <row r="8">
      <c r="A8" s="90"/>
      <c r="B8" s="90"/>
      <c r="C8" s="110"/>
      <c r="D8" s="110"/>
      <c r="E8" s="110"/>
      <c r="F8" s="16"/>
      <c r="G8" s="90"/>
      <c r="H8" s="90"/>
      <c r="I8" s="106"/>
      <c r="J8" s="106"/>
      <c r="K8" s="16"/>
      <c r="L8" s="16"/>
      <c r="M8" s="16"/>
      <c r="N8" s="16"/>
      <c r="O8" s="16"/>
      <c r="P8" s="16"/>
      <c r="Q8" s="16"/>
      <c r="R8" s="16"/>
      <c r="S8" s="16"/>
      <c r="T8" s="109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</row>
    <row r="9">
      <c r="A9" s="39"/>
      <c r="B9" s="39"/>
      <c r="C9" s="16"/>
      <c r="D9" s="16"/>
      <c r="E9" s="16"/>
      <c r="F9" s="16"/>
      <c r="G9" s="90"/>
      <c r="H9" s="90"/>
      <c r="I9" s="106"/>
      <c r="J9" s="106"/>
      <c r="K9" s="16"/>
      <c r="L9" s="16"/>
      <c r="M9" s="16"/>
      <c r="N9" s="16"/>
      <c r="O9" s="16"/>
      <c r="P9" s="16"/>
      <c r="Q9" s="16"/>
      <c r="R9" s="16"/>
      <c r="S9" s="16"/>
      <c r="T9" s="109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</row>
    <row r="10">
      <c r="A10" s="39"/>
      <c r="B10" s="39"/>
      <c r="C10" s="16"/>
      <c r="D10" s="16"/>
      <c r="E10" s="16"/>
      <c r="F10" s="16"/>
      <c r="G10" s="111"/>
      <c r="H10" s="111"/>
      <c r="I10" s="106"/>
      <c r="J10" s="106"/>
      <c r="K10" s="111"/>
      <c r="L10" s="16"/>
      <c r="M10" s="16"/>
      <c r="N10" s="16"/>
      <c r="O10" s="16"/>
      <c r="P10" s="16"/>
      <c r="Q10" s="16"/>
      <c r="R10" s="16"/>
      <c r="S10" s="16"/>
      <c r="T10" s="109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</row>
    <row r="11" ht="18.0" customHeight="1">
      <c r="A11" s="39"/>
      <c r="B11" s="39"/>
      <c r="C11" s="16"/>
      <c r="D11" s="16"/>
      <c r="E11" s="16"/>
      <c r="F11" s="16"/>
      <c r="G11" s="111"/>
      <c r="H11" s="111"/>
      <c r="I11" s="106"/>
      <c r="J11" s="106"/>
      <c r="K11" s="111"/>
      <c r="L11" s="16"/>
      <c r="M11" s="16"/>
      <c r="N11" s="16"/>
      <c r="O11" s="16"/>
      <c r="P11" s="16"/>
      <c r="Q11" s="16"/>
      <c r="R11" s="16"/>
      <c r="S11" s="16"/>
      <c r="T11" s="112"/>
      <c r="U11" s="16"/>
      <c r="V11" s="16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</row>
    <row r="12" ht="25.5" customHeight="1">
      <c r="A12" s="39"/>
      <c r="B12" s="39"/>
      <c r="C12" s="113" t="s">
        <v>86</v>
      </c>
      <c r="D12" s="63"/>
      <c r="E12" s="23"/>
      <c r="F12" s="16"/>
      <c r="G12" s="111"/>
      <c r="H12" s="39"/>
      <c r="I12" s="103"/>
      <c r="J12" s="103"/>
      <c r="K12" s="111"/>
      <c r="L12" s="16"/>
      <c r="M12" s="16"/>
      <c r="N12" s="16"/>
      <c r="O12" s="16"/>
      <c r="P12" s="16"/>
      <c r="Q12" s="16"/>
      <c r="R12" s="16"/>
      <c r="S12" s="16"/>
      <c r="T12" s="112"/>
      <c r="U12" s="16"/>
      <c r="V12" s="16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</row>
    <row r="13">
      <c r="A13" s="39"/>
      <c r="B13" s="39"/>
      <c r="C13" s="114" t="s">
        <v>87</v>
      </c>
      <c r="D13" s="115"/>
      <c r="E13" s="23"/>
      <c r="F13" s="16"/>
      <c r="G13" s="111"/>
      <c r="H13" s="39"/>
      <c r="I13" s="103"/>
      <c r="J13" s="103"/>
      <c r="K13" s="111"/>
      <c r="L13" s="16"/>
      <c r="M13" s="16"/>
      <c r="N13" s="16"/>
      <c r="O13" s="16"/>
      <c r="P13" s="16"/>
      <c r="Q13" s="16"/>
      <c r="R13" s="16"/>
      <c r="S13" s="16"/>
      <c r="T13" s="112"/>
      <c r="U13" s="16"/>
      <c r="V13" s="16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</row>
    <row r="14">
      <c r="A14" s="39"/>
      <c r="B14" s="39"/>
      <c r="C14" s="114" t="s">
        <v>63</v>
      </c>
      <c r="D14" s="115"/>
      <c r="E14" s="23"/>
      <c r="F14" s="16"/>
      <c r="G14" s="111"/>
      <c r="H14" s="39"/>
      <c r="I14" s="103"/>
      <c r="J14" s="103"/>
      <c r="K14" s="111"/>
      <c r="L14" s="16"/>
      <c r="M14" s="16"/>
      <c r="N14" s="16"/>
      <c r="O14" s="16"/>
      <c r="P14" s="16"/>
      <c r="Q14" s="16"/>
      <c r="R14" s="16"/>
      <c r="S14" s="16"/>
      <c r="T14" s="112"/>
      <c r="U14" s="16"/>
      <c r="V14" s="16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</row>
    <row r="15">
      <c r="A15" s="116"/>
      <c r="B15" s="116"/>
      <c r="C15" s="114" t="s">
        <v>64</v>
      </c>
      <c r="D15" s="115"/>
      <c r="E15" s="23"/>
      <c r="F15" s="108"/>
      <c r="G15" s="111"/>
      <c r="H15" s="39"/>
      <c r="I15" s="103"/>
      <c r="J15" s="103"/>
      <c r="K15" s="111"/>
      <c r="L15" s="16"/>
      <c r="M15" s="16"/>
      <c r="N15" s="16"/>
      <c r="O15" s="16"/>
      <c r="P15" s="16"/>
      <c r="Q15" s="16"/>
      <c r="R15" s="16"/>
      <c r="S15" s="16"/>
      <c r="T15" s="112"/>
      <c r="U15" s="16"/>
      <c r="V15" s="16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</row>
    <row r="16">
      <c r="A16" s="117"/>
      <c r="B16" s="117"/>
      <c r="C16" s="114" t="s">
        <v>88</v>
      </c>
      <c r="D16" s="118"/>
      <c r="E16" s="23"/>
      <c r="F16" s="108"/>
      <c r="G16" s="111"/>
      <c r="H16" s="39"/>
      <c r="I16" s="103"/>
      <c r="J16" s="103"/>
      <c r="K16" s="111"/>
      <c r="L16" s="16"/>
      <c r="M16" s="16"/>
      <c r="N16" s="16"/>
      <c r="O16" s="16"/>
      <c r="P16" s="16"/>
      <c r="Q16" s="16"/>
      <c r="R16" s="16"/>
      <c r="S16" s="16"/>
      <c r="T16" s="112"/>
      <c r="U16" s="16"/>
      <c r="V16" s="16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</row>
    <row r="17">
      <c r="A17" s="117"/>
      <c r="B17" s="117"/>
      <c r="C17" s="16"/>
      <c r="D17" s="16"/>
      <c r="E17" s="16"/>
      <c r="F17" s="108"/>
      <c r="G17" s="107"/>
      <c r="H17" s="107"/>
      <c r="I17" s="102"/>
      <c r="J17" s="102"/>
      <c r="K17" s="107"/>
      <c r="L17" s="16"/>
      <c r="M17" s="16"/>
      <c r="N17" s="16"/>
      <c r="O17" s="16"/>
      <c r="P17" s="16"/>
      <c r="Q17" s="16"/>
      <c r="R17" s="16"/>
      <c r="S17" s="16"/>
      <c r="T17" s="112"/>
      <c r="U17" s="16"/>
      <c r="V17" s="16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</row>
    <row r="18" ht="22.5" customHeight="1">
      <c r="A18" s="117"/>
      <c r="B18" s="117"/>
      <c r="C18" s="16"/>
      <c r="D18" s="16"/>
      <c r="E18" s="16"/>
      <c r="F18" s="107"/>
      <c r="G18" s="107"/>
      <c r="H18" s="107"/>
      <c r="I18" s="102"/>
      <c r="J18" s="102"/>
      <c r="K18" s="107"/>
      <c r="L18" s="16"/>
      <c r="M18" s="16"/>
      <c r="N18" s="16"/>
      <c r="O18" s="16"/>
      <c r="P18" s="16"/>
      <c r="Q18" s="16"/>
      <c r="R18" s="16"/>
      <c r="S18" s="16"/>
      <c r="T18" s="112"/>
      <c r="U18" s="16"/>
      <c r="V18" s="16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</row>
    <row r="19" ht="30.0" customHeight="1">
      <c r="A19" s="117"/>
      <c r="B19" s="117"/>
      <c r="C19" s="108"/>
      <c r="D19" s="119" t="s">
        <v>0</v>
      </c>
      <c r="E19" s="23"/>
      <c r="F19" s="108"/>
      <c r="G19" s="107"/>
      <c r="H19" s="107"/>
      <c r="I19" s="102"/>
      <c r="J19" s="102"/>
      <c r="K19" s="107"/>
      <c r="L19" s="120" t="s">
        <v>89</v>
      </c>
      <c r="M19" s="120" t="s">
        <v>90</v>
      </c>
      <c r="N19" s="120" t="s">
        <v>65</v>
      </c>
      <c r="O19" s="120" t="s">
        <v>91</v>
      </c>
      <c r="P19" s="120" t="s">
        <v>92</v>
      </c>
      <c r="Q19" s="121" t="s">
        <v>93</v>
      </c>
      <c r="R19" s="120" t="s">
        <v>94</v>
      </c>
      <c r="S19" s="120" t="s">
        <v>95</v>
      </c>
      <c r="T19" s="112"/>
      <c r="U19" s="16"/>
      <c r="V19" s="16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</row>
    <row r="20">
      <c r="A20" s="122"/>
      <c r="B20" s="122"/>
      <c r="C20" s="123" t="s">
        <v>96</v>
      </c>
      <c r="D20" s="120" t="s">
        <v>97</v>
      </c>
      <c r="E20" s="120" t="s">
        <v>98</v>
      </c>
      <c r="F20" s="120" t="s">
        <v>99</v>
      </c>
      <c r="G20" s="107"/>
      <c r="H20" s="124"/>
      <c r="I20" s="125" t="s">
        <v>100</v>
      </c>
      <c r="J20" s="23"/>
      <c r="K20" s="107"/>
      <c r="L20" s="126" t="s">
        <v>101</v>
      </c>
      <c r="M20" s="127">
        <v>45479.0</v>
      </c>
      <c r="N20" s="128"/>
      <c r="O20" s="128"/>
      <c r="P20" s="128"/>
      <c r="Q20" s="128"/>
      <c r="R20" s="128"/>
      <c r="S20" s="128"/>
      <c r="T20" s="112"/>
      <c r="U20" s="16"/>
      <c r="V20" s="16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</row>
    <row r="21">
      <c r="A21" s="91"/>
      <c r="B21" s="91"/>
      <c r="C21" s="129" t="s">
        <v>102</v>
      </c>
      <c r="D21" s="130"/>
      <c r="E21" s="130"/>
      <c r="F21" s="130"/>
      <c r="G21" s="107"/>
      <c r="H21" s="131"/>
      <c r="I21" s="132" t="s">
        <v>103</v>
      </c>
      <c r="J21" s="133">
        <v>1530.0</v>
      </c>
      <c r="K21" s="107"/>
      <c r="L21" s="126">
        <v>1.0</v>
      </c>
      <c r="M21" s="134">
        <f t="shared" ref="M21:M32" si="2">M20+7</f>
        <v>45486</v>
      </c>
      <c r="N21" s="135" t="str">
        <f>D28</f>
        <v>#DIV/0!</v>
      </c>
      <c r="O21" s="136" t="str">
        <f t="shared" ref="O21:S21" si="1">C32</f>
        <v/>
      </c>
      <c r="P21" s="136" t="str">
        <f t="shared" si="1"/>
        <v/>
      </c>
      <c r="Q21" s="136" t="str">
        <f t="shared" si="1"/>
        <v/>
      </c>
      <c r="R21" s="136" t="str">
        <f t="shared" si="1"/>
        <v/>
      </c>
      <c r="S21" s="136" t="str">
        <f t="shared" si="1"/>
        <v/>
      </c>
      <c r="T21" s="112"/>
      <c r="U21" s="16"/>
      <c r="V21" s="16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</row>
    <row r="22">
      <c r="A22" s="124"/>
      <c r="B22" s="124"/>
      <c r="C22" s="129" t="s">
        <v>104</v>
      </c>
      <c r="D22" s="130"/>
      <c r="E22" s="130"/>
      <c r="F22" s="130"/>
      <c r="G22" s="107"/>
      <c r="H22" s="131"/>
      <c r="I22" s="132" t="s">
        <v>105</v>
      </c>
      <c r="J22" s="133">
        <v>120.0</v>
      </c>
      <c r="K22" s="107"/>
      <c r="L22" s="126">
        <v>2.0</v>
      </c>
      <c r="M22" s="134">
        <f t="shared" si="2"/>
        <v>45493</v>
      </c>
      <c r="N22" s="137" t="str">
        <f>AVERAGE(D38:D44)</f>
        <v>#DIV/0!</v>
      </c>
      <c r="O22" s="138" t="str">
        <f t="shared" ref="O22:S22" si="3">C49</f>
        <v/>
      </c>
      <c r="P22" s="138" t="str">
        <f t="shared" si="3"/>
        <v/>
      </c>
      <c r="Q22" s="138" t="str">
        <f t="shared" si="3"/>
        <v/>
      </c>
      <c r="R22" s="138" t="str">
        <f t="shared" si="3"/>
        <v/>
      </c>
      <c r="S22" s="138" t="str">
        <f t="shared" si="3"/>
        <v/>
      </c>
      <c r="T22" s="112"/>
      <c r="U22" s="16"/>
      <c r="V22" s="16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</row>
    <row r="23">
      <c r="A23" s="139"/>
      <c r="B23" s="139"/>
      <c r="C23" s="129" t="s">
        <v>106</v>
      </c>
      <c r="D23" s="130"/>
      <c r="E23" s="130"/>
      <c r="F23" s="130"/>
      <c r="G23" s="107"/>
      <c r="H23" s="131"/>
      <c r="I23" s="132" t="s">
        <v>107</v>
      </c>
      <c r="J23" s="133">
        <v>150.0</v>
      </c>
      <c r="K23" s="107"/>
      <c r="L23" s="126">
        <v>3.0</v>
      </c>
      <c r="M23" s="134">
        <f t="shared" si="2"/>
        <v>45500</v>
      </c>
      <c r="N23" s="130" t="str">
        <f>AVERAGE(D55:D61)</f>
        <v>#DIV/0!</v>
      </c>
      <c r="O23" s="140" t="str">
        <f t="shared" ref="O23:S23" si="4">C66</f>
        <v/>
      </c>
      <c r="P23" s="140" t="str">
        <f t="shared" si="4"/>
        <v/>
      </c>
      <c r="Q23" s="140" t="str">
        <f t="shared" si="4"/>
        <v/>
      </c>
      <c r="R23" s="140" t="str">
        <f t="shared" si="4"/>
        <v/>
      </c>
      <c r="S23" s="140" t="str">
        <f t="shared" si="4"/>
        <v/>
      </c>
      <c r="T23" s="112"/>
      <c r="U23" s="16"/>
      <c r="V23" s="16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</row>
    <row r="24">
      <c r="A24" s="107"/>
      <c r="B24" s="107"/>
      <c r="C24" s="129" t="s">
        <v>108</v>
      </c>
      <c r="D24" s="130"/>
      <c r="E24" s="130"/>
      <c r="F24" s="130"/>
      <c r="G24" s="107"/>
      <c r="H24" s="131"/>
      <c r="I24" s="132" t="s">
        <v>109</v>
      </c>
      <c r="J24" s="133">
        <v>50.0</v>
      </c>
      <c r="K24" s="107"/>
      <c r="L24" s="126">
        <v>4.0</v>
      </c>
      <c r="M24" s="134">
        <f t="shared" si="2"/>
        <v>45507</v>
      </c>
      <c r="N24" s="141" t="str">
        <f>AVERAGE(D71:D77)</f>
        <v>#DIV/0!</v>
      </c>
      <c r="O24" s="138" t="str">
        <f t="shared" ref="O24:S24" si="5">C82</f>
        <v/>
      </c>
      <c r="P24" s="138" t="str">
        <f t="shared" si="5"/>
        <v/>
      </c>
      <c r="Q24" s="138" t="str">
        <f t="shared" si="5"/>
        <v/>
      </c>
      <c r="R24" s="138" t="str">
        <f t="shared" si="5"/>
        <v/>
      </c>
      <c r="S24" s="138" t="str">
        <f t="shared" si="5"/>
        <v/>
      </c>
      <c r="T24" s="112"/>
      <c r="U24" s="16"/>
      <c r="V24" s="16"/>
      <c r="W24" s="16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</row>
    <row r="25">
      <c r="A25" s="139"/>
      <c r="B25" s="139"/>
      <c r="C25" s="129" t="s">
        <v>110</v>
      </c>
      <c r="D25" s="130"/>
      <c r="E25" s="130"/>
      <c r="F25" s="130"/>
      <c r="G25" s="107"/>
      <c r="H25" s="107"/>
      <c r="I25" s="102"/>
      <c r="J25" s="102"/>
      <c r="K25" s="107"/>
      <c r="L25" s="126">
        <v>5.0</v>
      </c>
      <c r="M25" s="134">
        <f t="shared" si="2"/>
        <v>45514</v>
      </c>
      <c r="N25" s="130" t="str">
        <f>AVERAGE(D87:D93)</f>
        <v>#DIV/0!</v>
      </c>
      <c r="O25" s="140" t="str">
        <f t="shared" ref="O25:S25" si="6">C98</f>
        <v/>
      </c>
      <c r="P25" s="140" t="str">
        <f t="shared" si="6"/>
        <v/>
      </c>
      <c r="Q25" s="140" t="str">
        <f t="shared" si="6"/>
        <v/>
      </c>
      <c r="R25" s="140" t="str">
        <f t="shared" si="6"/>
        <v/>
      </c>
      <c r="S25" s="140" t="str">
        <f t="shared" si="6"/>
        <v/>
      </c>
      <c r="T25" s="112"/>
      <c r="U25" s="16"/>
      <c r="V25" s="16"/>
      <c r="W25" s="16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</row>
    <row r="26">
      <c r="A26" s="139"/>
      <c r="B26" s="139"/>
      <c r="C26" s="129" t="s">
        <v>111</v>
      </c>
      <c r="D26" s="142"/>
      <c r="E26" s="130"/>
      <c r="F26" s="130"/>
      <c r="G26" s="107"/>
      <c r="H26" s="107"/>
      <c r="I26" s="102"/>
      <c r="J26" s="102"/>
      <c r="K26" s="107"/>
      <c r="L26" s="126">
        <v>6.0</v>
      </c>
      <c r="M26" s="134">
        <f t="shared" si="2"/>
        <v>45521</v>
      </c>
      <c r="N26" s="141" t="str">
        <f>AVERAGE(D103:D109)</f>
        <v>#DIV/0!</v>
      </c>
      <c r="O26" s="138" t="str">
        <f t="shared" ref="O26:S26" si="7">C114</f>
        <v/>
      </c>
      <c r="P26" s="138" t="str">
        <f t="shared" si="7"/>
        <v/>
      </c>
      <c r="Q26" s="138" t="str">
        <f t="shared" si="7"/>
        <v/>
      </c>
      <c r="R26" s="138" t="str">
        <f t="shared" si="7"/>
        <v/>
      </c>
      <c r="S26" s="138" t="str">
        <f t="shared" si="7"/>
        <v/>
      </c>
      <c r="T26" s="112"/>
      <c r="U26" s="16"/>
      <c r="V26" s="16"/>
      <c r="W26" s="16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</row>
    <row r="27">
      <c r="A27" s="107"/>
      <c r="B27" s="107"/>
      <c r="C27" s="129" t="s">
        <v>112</v>
      </c>
      <c r="D27" s="142"/>
      <c r="E27" s="130"/>
      <c r="F27" s="142"/>
      <c r="G27" s="107"/>
      <c r="H27" s="107"/>
      <c r="I27" s="102"/>
      <c r="J27" s="102"/>
      <c r="K27" s="107"/>
      <c r="L27" s="126">
        <v>7.0</v>
      </c>
      <c r="M27" s="134">
        <f t="shared" si="2"/>
        <v>45528</v>
      </c>
      <c r="N27" s="130" t="str">
        <f>AVERAGE(D120:D126)</f>
        <v>#DIV/0!</v>
      </c>
      <c r="O27" s="140" t="str">
        <f t="shared" ref="O27:S27" si="8">C131</f>
        <v/>
      </c>
      <c r="P27" s="140" t="str">
        <f t="shared" si="8"/>
        <v/>
      </c>
      <c r="Q27" s="140" t="str">
        <f t="shared" si="8"/>
        <v/>
      </c>
      <c r="R27" s="140" t="str">
        <f t="shared" si="8"/>
        <v/>
      </c>
      <c r="S27" s="140" t="str">
        <f t="shared" si="8"/>
        <v/>
      </c>
      <c r="T27" s="112"/>
      <c r="U27" s="16"/>
      <c r="V27" s="16"/>
      <c r="W27" s="16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</row>
    <row r="28">
      <c r="A28" s="139"/>
      <c r="B28" s="139"/>
      <c r="C28" s="143" t="s">
        <v>113</v>
      </c>
      <c r="D28" s="144" t="str">
        <f t="shared" ref="D28:F28" si="9">AVERAGE(D21:D27)</f>
        <v>#DIV/0!</v>
      </c>
      <c r="E28" s="144" t="str">
        <f t="shared" si="9"/>
        <v>#DIV/0!</v>
      </c>
      <c r="F28" s="144" t="str">
        <f t="shared" si="9"/>
        <v>#DIV/0!</v>
      </c>
      <c r="G28" s="107"/>
      <c r="H28" s="107"/>
      <c r="I28" s="102"/>
      <c r="J28" s="102"/>
      <c r="K28" s="107"/>
      <c r="L28" s="126">
        <v>8.0</v>
      </c>
      <c r="M28" s="134">
        <f t="shared" si="2"/>
        <v>45535</v>
      </c>
      <c r="N28" s="141" t="str">
        <f>AVERAGE(D137:D143)</f>
        <v>#DIV/0!</v>
      </c>
      <c r="O28" s="138" t="str">
        <f t="shared" ref="O28:S28" si="10">C148</f>
        <v/>
      </c>
      <c r="P28" s="138" t="str">
        <f t="shared" si="10"/>
        <v/>
      </c>
      <c r="Q28" s="138" t="str">
        <f t="shared" si="10"/>
        <v/>
      </c>
      <c r="R28" s="138" t="str">
        <f t="shared" si="10"/>
        <v/>
      </c>
      <c r="S28" s="138" t="str">
        <f t="shared" si="10"/>
        <v/>
      </c>
      <c r="T28" s="112"/>
      <c r="U28" s="16"/>
      <c r="V28" s="16"/>
      <c r="W28" s="16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</row>
    <row r="29">
      <c r="A29" s="139"/>
      <c r="B29" s="139"/>
      <c r="C29" s="108"/>
      <c r="D29" s="108"/>
      <c r="E29" s="108"/>
      <c r="F29" s="108"/>
      <c r="G29" s="107"/>
      <c r="H29" s="107"/>
      <c r="I29" s="102"/>
      <c r="J29" s="102"/>
      <c r="K29" s="107"/>
      <c r="L29" s="126">
        <v>9.0</v>
      </c>
      <c r="M29" s="134">
        <f t="shared" si="2"/>
        <v>45542</v>
      </c>
      <c r="N29" s="130" t="str">
        <f>AVERAGE(D153:D159)</f>
        <v>#DIV/0!</v>
      </c>
      <c r="O29" s="140" t="str">
        <f t="shared" ref="O29:S29" si="11">C164</f>
        <v/>
      </c>
      <c r="P29" s="140" t="str">
        <f t="shared" si="11"/>
        <v/>
      </c>
      <c r="Q29" s="140" t="str">
        <f t="shared" si="11"/>
        <v/>
      </c>
      <c r="R29" s="140" t="str">
        <f t="shared" si="11"/>
        <v/>
      </c>
      <c r="S29" s="140" t="str">
        <f t="shared" si="11"/>
        <v/>
      </c>
      <c r="T29" s="112"/>
      <c r="U29" s="16"/>
      <c r="V29" s="16"/>
      <c r="W29" s="16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</row>
    <row r="30">
      <c r="A30" s="145"/>
      <c r="B30" s="145"/>
      <c r="C30" s="146" t="s">
        <v>114</v>
      </c>
      <c r="D30" s="63"/>
      <c r="E30" s="63"/>
      <c r="F30" s="63"/>
      <c r="G30" s="23"/>
      <c r="H30" s="147"/>
      <c r="I30" s="50"/>
      <c r="J30" s="50"/>
      <c r="K30" s="147"/>
      <c r="L30" s="126">
        <v>10.0</v>
      </c>
      <c r="M30" s="134">
        <f t="shared" si="2"/>
        <v>45549</v>
      </c>
      <c r="N30" s="141" t="str">
        <f>AVERAGE(D169:D175)</f>
        <v>#DIV/0!</v>
      </c>
      <c r="O30" s="138" t="str">
        <f>C164</f>
        <v/>
      </c>
      <c r="P30" s="138" t="str">
        <f t="shared" ref="P30:S30" si="12">D180</f>
        <v/>
      </c>
      <c r="Q30" s="138" t="str">
        <f t="shared" si="12"/>
        <v/>
      </c>
      <c r="R30" s="138" t="str">
        <f t="shared" si="12"/>
        <v/>
      </c>
      <c r="S30" s="138" t="str">
        <f t="shared" si="12"/>
        <v/>
      </c>
      <c r="T30" s="112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</row>
    <row r="31">
      <c r="A31" s="91"/>
      <c r="B31" s="91"/>
      <c r="C31" s="148" t="s">
        <v>91</v>
      </c>
      <c r="D31" s="148" t="s">
        <v>92</v>
      </c>
      <c r="E31" s="132" t="s">
        <v>93</v>
      </c>
      <c r="F31" s="148" t="s">
        <v>94</v>
      </c>
      <c r="G31" s="148" t="s">
        <v>95</v>
      </c>
      <c r="H31" s="147"/>
      <c r="I31" s="50"/>
      <c r="J31" s="50"/>
      <c r="K31" s="147"/>
      <c r="L31" s="126">
        <v>11.0</v>
      </c>
      <c r="M31" s="134">
        <f t="shared" si="2"/>
        <v>45556</v>
      </c>
      <c r="N31" s="130" t="str">
        <f>AVERAGE(D185:D191)</f>
        <v>#DIV/0!</v>
      </c>
      <c r="O31" s="140" t="str">
        <f t="shared" ref="O31:S31" si="13">C196</f>
        <v/>
      </c>
      <c r="P31" s="140" t="str">
        <f t="shared" si="13"/>
        <v/>
      </c>
      <c r="Q31" s="140" t="str">
        <f t="shared" si="13"/>
        <v/>
      </c>
      <c r="R31" s="140" t="str">
        <f t="shared" si="13"/>
        <v/>
      </c>
      <c r="S31" s="140" t="str">
        <f t="shared" si="13"/>
        <v/>
      </c>
      <c r="T31" s="112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</row>
    <row r="32">
      <c r="A32" s="124"/>
      <c r="B32" s="124"/>
      <c r="C32" s="149"/>
      <c r="D32" s="149"/>
      <c r="E32" s="149"/>
      <c r="F32" s="149"/>
      <c r="G32" s="149"/>
      <c r="H32" s="147"/>
      <c r="I32" s="50"/>
      <c r="J32" s="50"/>
      <c r="K32" s="147"/>
      <c r="L32" s="126">
        <v>12.0</v>
      </c>
      <c r="M32" s="134">
        <f t="shared" si="2"/>
        <v>45563</v>
      </c>
      <c r="N32" s="141" t="str">
        <f>AVERAGE(D201:D207)</f>
        <v>#DIV/0!</v>
      </c>
      <c r="O32" s="138" t="str">
        <f t="shared" ref="O32:S32" si="14">C212</f>
        <v/>
      </c>
      <c r="P32" s="138" t="str">
        <f t="shared" si="14"/>
        <v/>
      </c>
      <c r="Q32" s="138" t="str">
        <f t="shared" si="14"/>
        <v/>
      </c>
      <c r="R32" s="138" t="str">
        <f t="shared" si="14"/>
        <v/>
      </c>
      <c r="S32" s="138" t="str">
        <f t="shared" si="14"/>
        <v/>
      </c>
      <c r="T32" s="112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</row>
    <row r="33">
      <c r="A33" s="131"/>
      <c r="B33" s="131"/>
      <c r="C33" s="107"/>
      <c r="D33" s="107"/>
      <c r="E33" s="107"/>
      <c r="F33" s="107"/>
      <c r="G33" s="147"/>
      <c r="H33" s="147"/>
      <c r="I33" s="50"/>
      <c r="J33" s="50"/>
      <c r="K33" s="147"/>
      <c r="L33" s="107"/>
      <c r="M33" s="107"/>
      <c r="N33" s="107"/>
      <c r="O33" s="107"/>
      <c r="P33" s="107"/>
      <c r="Q33" s="107"/>
      <c r="R33" s="107"/>
      <c r="S33" s="107"/>
      <c r="T33" s="112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</row>
    <row r="34">
      <c r="A34" s="107"/>
      <c r="B34" s="107"/>
      <c r="C34" s="16"/>
      <c r="D34" s="16"/>
      <c r="E34" s="16"/>
      <c r="F34" s="16"/>
      <c r="G34" s="147"/>
      <c r="H34" s="147"/>
      <c r="I34" s="50"/>
      <c r="J34" s="50"/>
      <c r="K34" s="147"/>
      <c r="L34" s="16"/>
      <c r="M34" s="107"/>
      <c r="N34" s="90" t="s">
        <v>115</v>
      </c>
      <c r="O34" s="107"/>
      <c r="P34" s="107"/>
      <c r="Q34" s="107"/>
      <c r="R34" s="107"/>
      <c r="S34" s="107"/>
      <c r="T34" s="112"/>
      <c r="U34" s="150" t="s">
        <v>116</v>
      </c>
      <c r="V34" s="23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</row>
    <row r="35">
      <c r="A35" s="107"/>
      <c r="B35" s="107"/>
      <c r="C35" s="16"/>
      <c r="D35" s="16"/>
      <c r="E35" s="16"/>
      <c r="F35" s="16"/>
      <c r="G35" s="147"/>
      <c r="H35" s="147"/>
      <c r="I35" s="50"/>
      <c r="J35" s="50"/>
      <c r="K35" s="147"/>
      <c r="L35" s="107"/>
      <c r="M35" s="107"/>
      <c r="N35" s="107"/>
      <c r="O35" s="107"/>
      <c r="P35" s="107"/>
      <c r="Q35" s="107"/>
      <c r="R35" s="107"/>
      <c r="S35" s="107"/>
      <c r="T35" s="112"/>
      <c r="U35" s="151" t="s">
        <v>117</v>
      </c>
      <c r="V35" s="152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</row>
    <row r="36" ht="31.5" customHeight="1">
      <c r="A36" s="107"/>
      <c r="B36" s="107"/>
      <c r="C36" s="108"/>
      <c r="D36" s="153" t="s">
        <v>1</v>
      </c>
      <c r="E36" s="23"/>
      <c r="F36" s="108"/>
      <c r="G36" s="107"/>
      <c r="H36" s="107"/>
      <c r="I36" s="102"/>
      <c r="J36" s="102"/>
      <c r="K36" s="147"/>
      <c r="L36" s="107"/>
      <c r="M36" s="107"/>
      <c r="N36" s="107"/>
      <c r="O36" s="107"/>
      <c r="P36" s="107"/>
      <c r="Q36" s="107"/>
      <c r="R36" s="107"/>
      <c r="S36" s="107"/>
      <c r="T36" s="112"/>
      <c r="U36" s="151" t="s">
        <v>118</v>
      </c>
      <c r="V36" s="154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</row>
    <row r="37">
      <c r="A37" s="139"/>
      <c r="B37" s="139"/>
      <c r="C37" s="123" t="s">
        <v>96</v>
      </c>
      <c r="D37" s="120" t="s">
        <v>97</v>
      </c>
      <c r="E37" s="120" t="s">
        <v>98</v>
      </c>
      <c r="F37" s="120" t="s">
        <v>99</v>
      </c>
      <c r="G37" s="107"/>
      <c r="H37" s="124"/>
      <c r="I37" s="125" t="s">
        <v>100</v>
      </c>
      <c r="J37" s="23"/>
      <c r="K37" s="147"/>
      <c r="L37" s="107"/>
      <c r="M37" s="107"/>
      <c r="N37" s="107"/>
      <c r="O37" s="107"/>
      <c r="P37" s="107"/>
      <c r="Q37" s="107"/>
      <c r="R37" s="107"/>
      <c r="S37" s="107"/>
      <c r="T37" s="112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</row>
    <row r="38">
      <c r="A38" s="39"/>
      <c r="B38" s="39"/>
      <c r="C38" s="129" t="s">
        <v>102</v>
      </c>
      <c r="D38" s="130"/>
      <c r="E38" s="130"/>
      <c r="F38" s="130"/>
      <c r="G38" s="107"/>
      <c r="H38" s="131"/>
      <c r="I38" s="132" t="s">
        <v>103</v>
      </c>
      <c r="J38" s="133">
        <v>1530.0</v>
      </c>
      <c r="K38" s="147"/>
      <c r="L38" s="107"/>
      <c r="M38" s="107"/>
      <c r="N38" s="107"/>
      <c r="O38" s="107"/>
      <c r="P38" s="107"/>
      <c r="Q38" s="107"/>
      <c r="R38" s="107"/>
      <c r="S38" s="107"/>
      <c r="T38" s="112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</row>
    <row r="39">
      <c r="A39" s="147"/>
      <c r="B39" s="147"/>
      <c r="C39" s="129" t="s">
        <v>104</v>
      </c>
      <c r="D39" s="130"/>
      <c r="E39" s="130"/>
      <c r="F39" s="130"/>
      <c r="G39" s="107"/>
      <c r="H39" s="131"/>
      <c r="I39" s="132" t="s">
        <v>105</v>
      </c>
      <c r="J39" s="133">
        <v>120.0</v>
      </c>
      <c r="K39" s="147"/>
      <c r="L39" s="107"/>
      <c r="M39" s="107"/>
      <c r="N39" s="107"/>
      <c r="O39" s="107"/>
      <c r="P39" s="107"/>
      <c r="Q39" s="107"/>
      <c r="R39" s="107"/>
      <c r="S39" s="107"/>
      <c r="T39" s="112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</row>
    <row r="40">
      <c r="A40" s="147"/>
      <c r="B40" s="147"/>
      <c r="C40" s="129" t="s">
        <v>106</v>
      </c>
      <c r="D40" s="130"/>
      <c r="E40" s="130"/>
      <c r="F40" s="130"/>
      <c r="G40" s="107"/>
      <c r="H40" s="131"/>
      <c r="I40" s="132" t="s">
        <v>107</v>
      </c>
      <c r="J40" s="133">
        <v>150.0</v>
      </c>
      <c r="K40" s="147"/>
      <c r="L40" s="107"/>
      <c r="M40" s="107"/>
      <c r="N40" s="107"/>
      <c r="O40" s="107"/>
      <c r="P40" s="107"/>
      <c r="Q40" s="107"/>
      <c r="R40" s="107"/>
      <c r="S40" s="107"/>
      <c r="T40" s="112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</row>
    <row r="41">
      <c r="A41" s="147"/>
      <c r="B41" s="147"/>
      <c r="C41" s="129" t="s">
        <v>108</v>
      </c>
      <c r="D41" s="130"/>
      <c r="E41" s="130"/>
      <c r="F41" s="130"/>
      <c r="G41" s="107"/>
      <c r="H41" s="131"/>
      <c r="I41" s="132" t="s">
        <v>109</v>
      </c>
      <c r="J41" s="133">
        <v>50.0</v>
      </c>
      <c r="K41" s="147"/>
      <c r="L41" s="107"/>
      <c r="M41" s="107"/>
      <c r="N41" s="107"/>
      <c r="O41" s="107"/>
      <c r="P41" s="107"/>
      <c r="Q41" s="107"/>
      <c r="R41" s="107"/>
      <c r="S41" s="107"/>
      <c r="T41" s="112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</row>
    <row r="42">
      <c r="A42" s="147"/>
      <c r="B42" s="147"/>
      <c r="C42" s="129" t="s">
        <v>110</v>
      </c>
      <c r="D42" s="130"/>
      <c r="E42" s="130"/>
      <c r="F42" s="130"/>
      <c r="G42" s="107"/>
      <c r="H42" s="107"/>
      <c r="I42" s="102"/>
      <c r="J42" s="102"/>
      <c r="K42" s="147"/>
      <c r="L42" s="107"/>
      <c r="M42" s="107"/>
      <c r="N42" s="107"/>
      <c r="O42" s="107"/>
      <c r="P42" s="107"/>
      <c r="Q42" s="107"/>
      <c r="R42" s="107"/>
      <c r="S42" s="107"/>
      <c r="T42" s="112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</row>
    <row r="43">
      <c r="A43" s="100"/>
      <c r="B43" s="100"/>
      <c r="C43" s="129" t="s">
        <v>111</v>
      </c>
      <c r="D43" s="142"/>
      <c r="E43" s="130"/>
      <c r="F43" s="130"/>
      <c r="G43" s="107"/>
      <c r="H43" s="107"/>
      <c r="I43" s="102"/>
      <c r="J43" s="102"/>
      <c r="K43" s="100"/>
      <c r="L43" s="107"/>
      <c r="M43" s="107"/>
      <c r="N43" s="107"/>
      <c r="O43" s="107"/>
      <c r="P43" s="107"/>
      <c r="Q43" s="107"/>
      <c r="R43" s="107"/>
      <c r="S43" s="107"/>
      <c r="T43" s="112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</row>
    <row r="44">
      <c r="A44" s="100"/>
      <c r="B44" s="100"/>
      <c r="C44" s="129" t="s">
        <v>112</v>
      </c>
      <c r="D44" s="142"/>
      <c r="E44" s="130"/>
      <c r="F44" s="142"/>
      <c r="G44" s="107"/>
      <c r="H44" s="107"/>
      <c r="I44" s="102"/>
      <c r="J44" s="102"/>
      <c r="K44" s="100"/>
      <c r="L44" s="107"/>
      <c r="M44" s="107"/>
      <c r="N44" s="107"/>
      <c r="O44" s="107"/>
      <c r="P44" s="107"/>
      <c r="Q44" s="107"/>
      <c r="R44" s="107"/>
      <c r="S44" s="107"/>
      <c r="T44" s="112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</row>
    <row r="45">
      <c r="A45" s="100"/>
      <c r="B45" s="100"/>
      <c r="C45" s="143" t="s">
        <v>113</v>
      </c>
      <c r="D45" s="144" t="str">
        <f t="shared" ref="D45:F45" si="15">AVERAGE(D38:D44)</f>
        <v>#DIV/0!</v>
      </c>
      <c r="E45" s="144" t="str">
        <f t="shared" si="15"/>
        <v>#DIV/0!</v>
      </c>
      <c r="F45" s="144" t="str">
        <f t="shared" si="15"/>
        <v>#DIV/0!</v>
      </c>
      <c r="G45" s="107"/>
      <c r="H45" s="107"/>
      <c r="I45" s="102"/>
      <c r="J45" s="102"/>
      <c r="K45" s="100"/>
      <c r="L45" s="107"/>
      <c r="M45" s="107"/>
      <c r="N45" s="107"/>
      <c r="O45" s="107"/>
      <c r="P45" s="107"/>
      <c r="Q45" s="107"/>
      <c r="R45" s="107"/>
      <c r="S45" s="107"/>
      <c r="T45" s="112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</row>
    <row r="46">
      <c r="A46" s="100"/>
      <c r="B46" s="100"/>
      <c r="C46" s="108"/>
      <c r="D46" s="108"/>
      <c r="E46" s="108"/>
      <c r="F46" s="108"/>
      <c r="G46" s="107"/>
      <c r="H46" s="107"/>
      <c r="I46" s="102"/>
      <c r="J46" s="102"/>
      <c r="K46" s="100"/>
      <c r="L46" s="107"/>
      <c r="M46" s="107"/>
      <c r="N46" s="107"/>
      <c r="O46" s="107"/>
      <c r="P46" s="107"/>
      <c r="Q46" s="107"/>
      <c r="R46" s="107"/>
      <c r="S46" s="107"/>
      <c r="T46" s="112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</row>
    <row r="47">
      <c r="A47" s="100"/>
      <c r="B47" s="100"/>
      <c r="C47" s="146" t="s">
        <v>114</v>
      </c>
      <c r="D47" s="63"/>
      <c r="E47" s="63"/>
      <c r="F47" s="63"/>
      <c r="G47" s="23"/>
      <c r="H47" s="147"/>
      <c r="I47" s="50"/>
      <c r="J47" s="50"/>
      <c r="K47" s="100"/>
      <c r="L47" s="107"/>
      <c r="M47" s="107"/>
      <c r="N47" s="107"/>
      <c r="O47" s="107"/>
      <c r="P47" s="107"/>
      <c r="Q47" s="107"/>
      <c r="R47" s="107"/>
      <c r="S47" s="107"/>
      <c r="T47" s="112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</row>
    <row r="48">
      <c r="A48" s="100"/>
      <c r="B48" s="100"/>
      <c r="C48" s="148" t="s">
        <v>91</v>
      </c>
      <c r="D48" s="148" t="s">
        <v>92</v>
      </c>
      <c r="E48" s="132" t="s">
        <v>93</v>
      </c>
      <c r="F48" s="148" t="s">
        <v>94</v>
      </c>
      <c r="G48" s="148" t="s">
        <v>95</v>
      </c>
      <c r="H48" s="147"/>
      <c r="I48" s="50"/>
      <c r="J48" s="50"/>
      <c r="K48" s="100"/>
      <c r="L48" s="112"/>
      <c r="M48" s="112"/>
      <c r="N48" s="112"/>
      <c r="O48" s="112"/>
      <c r="P48" s="112"/>
      <c r="Q48" s="112"/>
      <c r="R48" s="112"/>
      <c r="S48" s="112"/>
      <c r="T48" s="112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</row>
    <row r="49">
      <c r="A49" s="100"/>
      <c r="B49" s="100"/>
      <c r="C49" s="149"/>
      <c r="D49" s="149"/>
      <c r="E49" s="149"/>
      <c r="F49" s="149"/>
      <c r="G49" s="149"/>
      <c r="H49" s="147"/>
      <c r="I49" s="50"/>
      <c r="J49" s="50"/>
      <c r="K49" s="100"/>
      <c r="L49" s="112"/>
      <c r="M49" s="112"/>
      <c r="N49" s="112"/>
      <c r="O49" s="112"/>
      <c r="P49" s="112"/>
      <c r="Q49" s="112"/>
      <c r="R49" s="112"/>
      <c r="S49" s="112"/>
      <c r="T49" s="112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</row>
    <row r="50">
      <c r="A50" s="100"/>
      <c r="B50" s="100"/>
      <c r="C50" s="100"/>
      <c r="D50" s="100"/>
      <c r="E50" s="100"/>
      <c r="F50" s="100"/>
      <c r="G50" s="100"/>
      <c r="H50" s="100"/>
      <c r="I50" s="50"/>
      <c r="J50" s="50"/>
      <c r="K50" s="100"/>
      <c r="L50" s="16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</row>
    <row r="51">
      <c r="A51" s="100"/>
      <c r="B51" s="100"/>
      <c r="C51" s="100"/>
      <c r="D51" s="100"/>
      <c r="E51" s="100"/>
      <c r="F51" s="100"/>
      <c r="G51" s="100"/>
      <c r="H51" s="100"/>
      <c r="I51" s="50"/>
      <c r="J51" s="50"/>
      <c r="K51" s="100"/>
      <c r="L51" s="16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</row>
    <row r="52">
      <c r="A52" s="100"/>
      <c r="B52" s="100"/>
      <c r="C52" s="100"/>
      <c r="D52" s="100"/>
      <c r="E52" s="100"/>
      <c r="F52" s="100"/>
      <c r="G52" s="100"/>
      <c r="H52" s="100"/>
      <c r="I52" s="50"/>
      <c r="J52" s="50"/>
      <c r="K52" s="100"/>
      <c r="L52" s="16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</row>
    <row r="53" ht="30.0" customHeight="1">
      <c r="A53" s="100"/>
      <c r="B53" s="100"/>
      <c r="C53" s="108"/>
      <c r="D53" s="153" t="s">
        <v>2</v>
      </c>
      <c r="E53" s="23"/>
      <c r="F53" s="108"/>
      <c r="G53" s="107"/>
      <c r="H53" s="107"/>
      <c r="I53" s="102"/>
      <c r="J53" s="102"/>
      <c r="K53" s="100"/>
      <c r="L53" s="16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</row>
    <row r="54">
      <c r="A54" s="100"/>
      <c r="B54" s="100"/>
      <c r="C54" s="123" t="s">
        <v>96</v>
      </c>
      <c r="D54" s="120" t="s">
        <v>97</v>
      </c>
      <c r="E54" s="120" t="s">
        <v>98</v>
      </c>
      <c r="F54" s="120" t="s">
        <v>99</v>
      </c>
      <c r="G54" s="107"/>
      <c r="H54" s="124"/>
      <c r="I54" s="125" t="s">
        <v>100</v>
      </c>
      <c r="J54" s="23"/>
      <c r="K54" s="100"/>
      <c r="L54" s="16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</row>
    <row r="55">
      <c r="A55" s="100"/>
      <c r="B55" s="100"/>
      <c r="C55" s="129" t="s">
        <v>102</v>
      </c>
      <c r="D55" s="130"/>
      <c r="E55" s="130"/>
      <c r="F55" s="130"/>
      <c r="G55" s="107"/>
      <c r="H55" s="131"/>
      <c r="I55" s="132" t="s">
        <v>103</v>
      </c>
      <c r="J55" s="133">
        <v>1530.0</v>
      </c>
      <c r="K55" s="100"/>
      <c r="L55" s="16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</row>
    <row r="56">
      <c r="A56" s="100"/>
      <c r="B56" s="100"/>
      <c r="C56" s="129" t="s">
        <v>104</v>
      </c>
      <c r="D56" s="130"/>
      <c r="E56" s="130"/>
      <c r="F56" s="130"/>
      <c r="G56" s="107"/>
      <c r="H56" s="131"/>
      <c r="I56" s="132" t="s">
        <v>105</v>
      </c>
      <c r="J56" s="133">
        <v>120.0</v>
      </c>
      <c r="K56" s="100"/>
      <c r="L56" s="16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</row>
    <row r="57">
      <c r="A57" s="100"/>
      <c r="B57" s="100"/>
      <c r="C57" s="129" t="s">
        <v>106</v>
      </c>
      <c r="D57" s="130"/>
      <c r="E57" s="130"/>
      <c r="F57" s="130"/>
      <c r="G57" s="107"/>
      <c r="H57" s="131"/>
      <c r="I57" s="132" t="s">
        <v>107</v>
      </c>
      <c r="J57" s="133">
        <v>150.0</v>
      </c>
      <c r="K57" s="100"/>
      <c r="L57" s="16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</row>
    <row r="58">
      <c r="A58" s="100"/>
      <c r="B58" s="100"/>
      <c r="C58" s="129" t="s">
        <v>108</v>
      </c>
      <c r="D58" s="130"/>
      <c r="E58" s="130"/>
      <c r="F58" s="130"/>
      <c r="G58" s="107"/>
      <c r="H58" s="131"/>
      <c r="I58" s="132" t="s">
        <v>109</v>
      </c>
      <c r="J58" s="133">
        <v>50.0</v>
      </c>
      <c r="K58" s="100"/>
      <c r="L58" s="16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</row>
    <row r="59">
      <c r="A59" s="100"/>
      <c r="B59" s="100"/>
      <c r="C59" s="129" t="s">
        <v>110</v>
      </c>
      <c r="D59" s="130"/>
      <c r="E59" s="130"/>
      <c r="F59" s="130"/>
      <c r="G59" s="107"/>
      <c r="H59" s="107"/>
      <c r="I59" s="102"/>
      <c r="J59" s="102"/>
      <c r="K59" s="100"/>
      <c r="L59" s="16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</row>
    <row r="60">
      <c r="A60" s="100"/>
      <c r="B60" s="100"/>
      <c r="C60" s="129" t="s">
        <v>111</v>
      </c>
      <c r="D60" s="142"/>
      <c r="E60" s="130"/>
      <c r="F60" s="130"/>
      <c r="G60" s="107"/>
      <c r="H60" s="107"/>
      <c r="I60" s="102"/>
      <c r="J60" s="102"/>
      <c r="K60" s="100"/>
      <c r="L60" s="16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</row>
    <row r="61">
      <c r="A61" s="100"/>
      <c r="B61" s="100"/>
      <c r="C61" s="129" t="s">
        <v>112</v>
      </c>
      <c r="D61" s="142"/>
      <c r="E61" s="130"/>
      <c r="F61" s="142"/>
      <c r="G61" s="107"/>
      <c r="H61" s="107"/>
      <c r="I61" s="102"/>
      <c r="J61" s="102"/>
      <c r="K61" s="100"/>
      <c r="L61" s="16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</row>
    <row r="62">
      <c r="A62" s="100"/>
      <c r="B62" s="100"/>
      <c r="C62" s="143" t="s">
        <v>113</v>
      </c>
      <c r="D62" s="144" t="str">
        <f t="shared" ref="D62:F62" si="16">AVERAGE(D55:D61)</f>
        <v>#DIV/0!</v>
      </c>
      <c r="E62" s="144" t="str">
        <f t="shared" si="16"/>
        <v>#DIV/0!</v>
      </c>
      <c r="F62" s="144" t="str">
        <f t="shared" si="16"/>
        <v>#DIV/0!</v>
      </c>
      <c r="G62" s="107"/>
      <c r="H62" s="107"/>
      <c r="I62" s="102"/>
      <c r="J62" s="102"/>
      <c r="K62" s="100"/>
      <c r="L62" s="16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</row>
    <row r="63">
      <c r="A63" s="100"/>
      <c r="B63" s="100"/>
      <c r="C63" s="108"/>
      <c r="D63" s="108"/>
      <c r="E63" s="108"/>
      <c r="F63" s="108"/>
      <c r="G63" s="107"/>
      <c r="H63" s="107"/>
      <c r="I63" s="102"/>
      <c r="J63" s="102"/>
      <c r="K63" s="100"/>
      <c r="L63" s="16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</row>
    <row r="64">
      <c r="A64" s="100"/>
      <c r="B64" s="100"/>
      <c r="C64" s="146" t="s">
        <v>114</v>
      </c>
      <c r="D64" s="63"/>
      <c r="E64" s="63"/>
      <c r="F64" s="63"/>
      <c r="G64" s="23"/>
      <c r="H64" s="147"/>
      <c r="I64" s="50"/>
      <c r="J64" s="50"/>
      <c r="K64" s="100"/>
      <c r="L64" s="16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</row>
    <row r="65">
      <c r="A65" s="100"/>
      <c r="B65" s="100"/>
      <c r="C65" s="148" t="s">
        <v>91</v>
      </c>
      <c r="D65" s="148" t="s">
        <v>92</v>
      </c>
      <c r="E65" s="132" t="s">
        <v>93</v>
      </c>
      <c r="F65" s="148" t="s">
        <v>94</v>
      </c>
      <c r="G65" s="148" t="s">
        <v>95</v>
      </c>
      <c r="H65" s="147"/>
      <c r="I65" s="50"/>
      <c r="J65" s="50"/>
      <c r="K65" s="100"/>
      <c r="L65" s="16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</row>
    <row r="66">
      <c r="A66" s="100"/>
      <c r="B66" s="100"/>
      <c r="C66" s="149"/>
      <c r="D66" s="149"/>
      <c r="E66" s="149"/>
      <c r="F66" s="149"/>
      <c r="G66" s="149"/>
      <c r="H66" s="147"/>
      <c r="I66" s="50"/>
      <c r="J66" s="50"/>
      <c r="K66" s="100"/>
      <c r="L66" s="16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</row>
    <row r="67" ht="21.0" customHeight="1">
      <c r="A67" s="100"/>
      <c r="B67" s="100"/>
      <c r="C67" s="100"/>
      <c r="D67" s="100"/>
      <c r="E67" s="100"/>
      <c r="F67" s="100"/>
      <c r="G67" s="100"/>
      <c r="H67" s="147"/>
      <c r="I67" s="50"/>
      <c r="J67" s="50"/>
      <c r="K67" s="100"/>
      <c r="L67" s="16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</row>
    <row r="68" ht="31.5" customHeight="1">
      <c r="A68" s="100"/>
      <c r="B68" s="100"/>
      <c r="C68" s="100"/>
      <c r="D68" s="100"/>
      <c r="E68" s="100"/>
      <c r="F68" s="100"/>
      <c r="G68" s="100"/>
      <c r="H68" s="147"/>
      <c r="I68" s="50"/>
      <c r="J68" s="50"/>
      <c r="K68" s="100"/>
      <c r="L68" s="16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</row>
    <row r="69" ht="30.0" customHeight="1">
      <c r="A69" s="100"/>
      <c r="B69" s="100"/>
      <c r="C69" s="108"/>
      <c r="D69" s="153" t="s">
        <v>3</v>
      </c>
      <c r="E69" s="23"/>
      <c r="F69" s="108"/>
      <c r="G69" s="107"/>
      <c r="H69" s="107"/>
      <c r="I69" s="102"/>
      <c r="J69" s="102"/>
      <c r="K69" s="100"/>
      <c r="L69" s="16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</row>
    <row r="70">
      <c r="A70" s="100"/>
      <c r="B70" s="100"/>
      <c r="C70" s="123" t="s">
        <v>96</v>
      </c>
      <c r="D70" s="120" t="s">
        <v>97</v>
      </c>
      <c r="E70" s="120" t="s">
        <v>98</v>
      </c>
      <c r="F70" s="120" t="s">
        <v>99</v>
      </c>
      <c r="G70" s="107"/>
      <c r="H70" s="124"/>
      <c r="I70" s="125" t="s">
        <v>100</v>
      </c>
      <c r="J70" s="23"/>
      <c r="K70" s="100"/>
      <c r="L70" s="16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</row>
    <row r="71">
      <c r="A71" s="100"/>
      <c r="B71" s="100"/>
      <c r="C71" s="129" t="s">
        <v>102</v>
      </c>
      <c r="D71" s="130"/>
      <c r="E71" s="130"/>
      <c r="F71" s="130"/>
      <c r="G71" s="107"/>
      <c r="H71" s="131"/>
      <c r="I71" s="132" t="s">
        <v>103</v>
      </c>
      <c r="J71" s="133">
        <v>1530.0</v>
      </c>
      <c r="K71" s="100"/>
      <c r="L71" s="16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</row>
    <row r="72">
      <c r="A72" s="100"/>
      <c r="B72" s="100"/>
      <c r="C72" s="129" t="s">
        <v>104</v>
      </c>
      <c r="D72" s="130"/>
      <c r="E72" s="130"/>
      <c r="F72" s="130"/>
      <c r="G72" s="107"/>
      <c r="H72" s="131"/>
      <c r="I72" s="132" t="s">
        <v>105</v>
      </c>
      <c r="J72" s="133">
        <v>120.0</v>
      </c>
      <c r="K72" s="100"/>
      <c r="L72" s="16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</row>
    <row r="73">
      <c r="A73" s="100"/>
      <c r="B73" s="100"/>
      <c r="C73" s="129" t="s">
        <v>106</v>
      </c>
      <c r="D73" s="130"/>
      <c r="E73" s="130"/>
      <c r="F73" s="130"/>
      <c r="G73" s="107"/>
      <c r="H73" s="131"/>
      <c r="I73" s="132" t="s">
        <v>107</v>
      </c>
      <c r="J73" s="133">
        <v>150.0</v>
      </c>
      <c r="K73" s="100"/>
      <c r="L73" s="16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</row>
    <row r="74">
      <c r="A74" s="100"/>
      <c r="B74" s="100"/>
      <c r="C74" s="129" t="s">
        <v>108</v>
      </c>
      <c r="D74" s="130"/>
      <c r="E74" s="130"/>
      <c r="F74" s="130"/>
      <c r="G74" s="107"/>
      <c r="H74" s="131"/>
      <c r="I74" s="132" t="s">
        <v>109</v>
      </c>
      <c r="J74" s="133">
        <v>50.0</v>
      </c>
      <c r="K74" s="100"/>
      <c r="L74" s="16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</row>
    <row r="75">
      <c r="A75" s="100"/>
      <c r="B75" s="100"/>
      <c r="C75" s="129" t="s">
        <v>110</v>
      </c>
      <c r="D75" s="130"/>
      <c r="E75" s="130"/>
      <c r="F75" s="130"/>
      <c r="G75" s="107"/>
      <c r="H75" s="107"/>
      <c r="I75" s="102"/>
      <c r="J75" s="102"/>
      <c r="K75" s="100"/>
      <c r="L75" s="16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</row>
    <row r="76">
      <c r="A76" s="100"/>
      <c r="B76" s="100"/>
      <c r="C76" s="129" t="s">
        <v>111</v>
      </c>
      <c r="D76" s="142"/>
      <c r="E76" s="130"/>
      <c r="F76" s="130"/>
      <c r="G76" s="107"/>
      <c r="H76" s="107"/>
      <c r="I76" s="102"/>
      <c r="J76" s="102"/>
      <c r="K76" s="100"/>
      <c r="L76" s="16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</row>
    <row r="77">
      <c r="A77" s="100"/>
      <c r="B77" s="100"/>
      <c r="C77" s="129" t="s">
        <v>112</v>
      </c>
      <c r="D77" s="142"/>
      <c r="E77" s="130"/>
      <c r="F77" s="142"/>
      <c r="G77" s="107"/>
      <c r="H77" s="107"/>
      <c r="I77" s="102"/>
      <c r="J77" s="102"/>
      <c r="K77" s="100"/>
      <c r="L77" s="16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</row>
    <row r="78">
      <c r="A78" s="100"/>
      <c r="B78" s="100"/>
      <c r="C78" s="143" t="s">
        <v>113</v>
      </c>
      <c r="D78" s="144" t="str">
        <f t="shared" ref="D78:F78" si="17">AVERAGE(D71:D77)</f>
        <v>#DIV/0!</v>
      </c>
      <c r="E78" s="144" t="str">
        <f t="shared" si="17"/>
        <v>#DIV/0!</v>
      </c>
      <c r="F78" s="144" t="str">
        <f t="shared" si="17"/>
        <v>#DIV/0!</v>
      </c>
      <c r="G78" s="107"/>
      <c r="H78" s="107"/>
      <c r="I78" s="102"/>
      <c r="J78" s="102"/>
      <c r="K78" s="100"/>
      <c r="L78" s="16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</row>
    <row r="79">
      <c r="A79" s="100"/>
      <c r="B79" s="100"/>
      <c r="C79" s="108"/>
      <c r="D79" s="108"/>
      <c r="E79" s="108"/>
      <c r="F79" s="108"/>
      <c r="G79" s="107"/>
      <c r="H79" s="107"/>
      <c r="I79" s="102"/>
      <c r="J79" s="102"/>
      <c r="K79" s="100"/>
      <c r="L79" s="16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</row>
    <row r="80">
      <c r="A80" s="100"/>
      <c r="B80" s="100"/>
      <c r="C80" s="146" t="s">
        <v>114</v>
      </c>
      <c r="D80" s="63"/>
      <c r="E80" s="63"/>
      <c r="F80" s="63"/>
      <c r="G80" s="23"/>
      <c r="H80" s="147"/>
      <c r="I80" s="50"/>
      <c r="J80" s="50"/>
      <c r="K80" s="100"/>
      <c r="L80" s="16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</row>
    <row r="81">
      <c r="A81" s="100"/>
      <c r="B81" s="100"/>
      <c r="C81" s="148" t="s">
        <v>91</v>
      </c>
      <c r="D81" s="148" t="s">
        <v>92</v>
      </c>
      <c r="E81" s="132" t="s">
        <v>93</v>
      </c>
      <c r="F81" s="148" t="s">
        <v>94</v>
      </c>
      <c r="G81" s="148" t="s">
        <v>95</v>
      </c>
      <c r="H81" s="147"/>
      <c r="I81" s="50"/>
      <c r="J81" s="50"/>
      <c r="K81" s="100"/>
      <c r="L81" s="16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</row>
    <row r="82">
      <c r="A82" s="100"/>
      <c r="B82" s="100"/>
      <c r="C82" s="149"/>
      <c r="D82" s="149"/>
      <c r="E82" s="149"/>
      <c r="F82" s="149"/>
      <c r="G82" s="149"/>
      <c r="H82" s="147"/>
      <c r="I82" s="50"/>
      <c r="J82" s="50"/>
      <c r="K82" s="100"/>
      <c r="L82" s="16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</row>
    <row r="83">
      <c r="A83" s="100"/>
      <c r="B83" s="100"/>
      <c r="C83" s="100"/>
      <c r="D83" s="100"/>
      <c r="E83" s="100"/>
      <c r="F83" s="100"/>
      <c r="G83" s="100"/>
      <c r="H83" s="147"/>
      <c r="I83" s="50"/>
      <c r="J83" s="50"/>
      <c r="K83" s="100"/>
      <c r="L83" s="16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</row>
    <row r="84">
      <c r="A84" s="100"/>
      <c r="B84" s="100"/>
      <c r="C84" s="100"/>
      <c r="D84" s="100"/>
      <c r="E84" s="100"/>
      <c r="F84" s="100"/>
      <c r="G84" s="100"/>
      <c r="H84" s="147"/>
      <c r="I84" s="50"/>
      <c r="J84" s="50"/>
      <c r="K84" s="100"/>
      <c r="L84" s="16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</row>
    <row r="85" ht="30.0" customHeight="1">
      <c r="A85" s="100"/>
      <c r="B85" s="100"/>
      <c r="C85" s="108"/>
      <c r="D85" s="153" t="s">
        <v>119</v>
      </c>
      <c r="E85" s="23"/>
      <c r="F85" s="108"/>
      <c r="G85" s="107"/>
      <c r="H85" s="107"/>
      <c r="I85" s="102"/>
      <c r="J85" s="102"/>
      <c r="K85" s="100"/>
      <c r="L85" s="16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</row>
    <row r="86">
      <c r="A86" s="100"/>
      <c r="B86" s="100"/>
      <c r="C86" s="123" t="s">
        <v>96</v>
      </c>
      <c r="D86" s="120" t="s">
        <v>97</v>
      </c>
      <c r="E86" s="120" t="s">
        <v>98</v>
      </c>
      <c r="F86" s="120" t="s">
        <v>99</v>
      </c>
      <c r="G86" s="107"/>
      <c r="H86" s="124"/>
      <c r="I86" s="125" t="s">
        <v>100</v>
      </c>
      <c r="J86" s="23"/>
      <c r="K86" s="100"/>
      <c r="L86" s="16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</row>
    <row r="87">
      <c r="A87" s="100"/>
      <c r="B87" s="100"/>
      <c r="C87" s="129" t="s">
        <v>102</v>
      </c>
      <c r="D87" s="130"/>
      <c r="E87" s="130"/>
      <c r="F87" s="130"/>
      <c r="G87" s="107"/>
      <c r="H87" s="131"/>
      <c r="I87" s="132" t="s">
        <v>103</v>
      </c>
      <c r="J87" s="133">
        <v>1530.0</v>
      </c>
      <c r="K87" s="100"/>
      <c r="L87" s="16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</row>
    <row r="88">
      <c r="A88" s="100"/>
      <c r="B88" s="100"/>
      <c r="C88" s="129" t="s">
        <v>104</v>
      </c>
      <c r="D88" s="130"/>
      <c r="E88" s="130"/>
      <c r="F88" s="130"/>
      <c r="G88" s="107"/>
      <c r="H88" s="131"/>
      <c r="I88" s="132" t="s">
        <v>105</v>
      </c>
      <c r="J88" s="133">
        <v>120.0</v>
      </c>
      <c r="K88" s="100"/>
      <c r="L88" s="16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</row>
    <row r="89">
      <c r="A89" s="100"/>
      <c r="B89" s="100"/>
      <c r="C89" s="129" t="s">
        <v>106</v>
      </c>
      <c r="D89" s="130"/>
      <c r="E89" s="130"/>
      <c r="F89" s="130"/>
      <c r="G89" s="107"/>
      <c r="H89" s="131"/>
      <c r="I89" s="132" t="s">
        <v>107</v>
      </c>
      <c r="J89" s="133">
        <v>150.0</v>
      </c>
      <c r="K89" s="100"/>
      <c r="L89" s="16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</row>
    <row r="90">
      <c r="A90" s="100"/>
      <c r="B90" s="100"/>
      <c r="C90" s="129" t="s">
        <v>108</v>
      </c>
      <c r="D90" s="130"/>
      <c r="E90" s="130"/>
      <c r="F90" s="130"/>
      <c r="G90" s="107"/>
      <c r="H90" s="131"/>
      <c r="I90" s="132" t="s">
        <v>109</v>
      </c>
      <c r="J90" s="133">
        <v>50.0</v>
      </c>
      <c r="K90" s="100"/>
      <c r="L90" s="16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</row>
    <row r="91">
      <c r="A91" s="100"/>
      <c r="B91" s="100"/>
      <c r="C91" s="129" t="s">
        <v>110</v>
      </c>
      <c r="D91" s="130"/>
      <c r="E91" s="130"/>
      <c r="F91" s="130"/>
      <c r="G91" s="107"/>
      <c r="H91" s="107"/>
      <c r="I91" s="102"/>
      <c r="J91" s="102"/>
      <c r="K91" s="100"/>
      <c r="L91" s="16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</row>
    <row r="92">
      <c r="A92" s="100"/>
      <c r="B92" s="100"/>
      <c r="C92" s="129" t="s">
        <v>111</v>
      </c>
      <c r="D92" s="142"/>
      <c r="E92" s="130"/>
      <c r="F92" s="130"/>
      <c r="G92" s="107"/>
      <c r="H92" s="107"/>
      <c r="I92" s="102"/>
      <c r="J92" s="102"/>
      <c r="K92" s="100"/>
      <c r="L92" s="16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</row>
    <row r="93">
      <c r="A93" s="100"/>
      <c r="B93" s="100"/>
      <c r="C93" s="129" t="s">
        <v>112</v>
      </c>
      <c r="D93" s="142"/>
      <c r="E93" s="130"/>
      <c r="F93" s="142"/>
      <c r="G93" s="107"/>
      <c r="H93" s="107"/>
      <c r="I93" s="102"/>
      <c r="J93" s="102"/>
      <c r="K93" s="100"/>
      <c r="L93" s="16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</row>
    <row r="94">
      <c r="A94" s="100"/>
      <c r="B94" s="100"/>
      <c r="C94" s="143" t="s">
        <v>113</v>
      </c>
      <c r="D94" s="144" t="str">
        <f t="shared" ref="D94:F94" si="18">AVERAGE(D87:D93)</f>
        <v>#DIV/0!</v>
      </c>
      <c r="E94" s="144" t="str">
        <f t="shared" si="18"/>
        <v>#DIV/0!</v>
      </c>
      <c r="F94" s="144" t="str">
        <f t="shared" si="18"/>
        <v>#DIV/0!</v>
      </c>
      <c r="G94" s="107"/>
      <c r="H94" s="107"/>
      <c r="I94" s="102"/>
      <c r="J94" s="102"/>
      <c r="K94" s="100"/>
      <c r="L94" s="16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</row>
    <row r="95">
      <c r="A95" s="100"/>
      <c r="B95" s="100"/>
      <c r="C95" s="108"/>
      <c r="D95" s="108"/>
      <c r="E95" s="108"/>
      <c r="F95" s="108"/>
      <c r="G95" s="107"/>
      <c r="H95" s="107"/>
      <c r="I95" s="102"/>
      <c r="J95" s="102"/>
      <c r="K95" s="100"/>
      <c r="L95" s="16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</row>
    <row r="96">
      <c r="A96" s="100"/>
      <c r="B96" s="100"/>
      <c r="C96" s="146" t="s">
        <v>114</v>
      </c>
      <c r="D96" s="63"/>
      <c r="E96" s="63"/>
      <c r="F96" s="63"/>
      <c r="G96" s="23"/>
      <c r="H96" s="147"/>
      <c r="I96" s="50"/>
      <c r="J96" s="50"/>
      <c r="K96" s="100"/>
      <c r="L96" s="16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</row>
    <row r="97">
      <c r="A97" s="100"/>
      <c r="B97" s="100"/>
      <c r="C97" s="148" t="s">
        <v>91</v>
      </c>
      <c r="D97" s="148" t="s">
        <v>92</v>
      </c>
      <c r="E97" s="132" t="s">
        <v>93</v>
      </c>
      <c r="F97" s="148" t="s">
        <v>94</v>
      </c>
      <c r="G97" s="148" t="s">
        <v>95</v>
      </c>
      <c r="H97" s="147"/>
      <c r="I97" s="50"/>
      <c r="J97" s="50"/>
      <c r="K97" s="100"/>
      <c r="L97" s="16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</row>
    <row r="98">
      <c r="A98" s="100"/>
      <c r="B98" s="100"/>
      <c r="C98" s="149"/>
      <c r="D98" s="149"/>
      <c r="E98" s="149"/>
      <c r="F98" s="149"/>
      <c r="G98" s="149"/>
      <c r="H98" s="147"/>
      <c r="I98" s="50"/>
      <c r="J98" s="50"/>
      <c r="K98" s="100"/>
      <c r="L98" s="16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</row>
    <row r="99">
      <c r="A99" s="100"/>
      <c r="B99" s="100"/>
      <c r="C99" s="100"/>
      <c r="D99" s="100"/>
      <c r="E99" s="100"/>
      <c r="F99" s="100"/>
      <c r="G99" s="100"/>
      <c r="H99" s="147"/>
      <c r="I99" s="50"/>
      <c r="J99" s="50"/>
      <c r="K99" s="100"/>
      <c r="L99" s="16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</row>
    <row r="100">
      <c r="A100" s="100"/>
      <c r="B100" s="100"/>
      <c r="C100" s="100"/>
      <c r="D100" s="100"/>
      <c r="E100" s="100"/>
      <c r="F100" s="100"/>
      <c r="G100" s="100"/>
      <c r="H100" s="147"/>
      <c r="I100" s="50"/>
      <c r="J100" s="50"/>
      <c r="K100" s="100"/>
      <c r="L100" s="16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</row>
    <row r="101" ht="27.0" customHeight="1">
      <c r="A101" s="100"/>
      <c r="B101" s="100"/>
      <c r="C101" s="108"/>
      <c r="D101" s="153" t="s">
        <v>120</v>
      </c>
      <c r="E101" s="23"/>
      <c r="F101" s="108"/>
      <c r="G101" s="107"/>
      <c r="H101" s="107"/>
      <c r="I101" s="102"/>
      <c r="J101" s="102"/>
      <c r="K101" s="100"/>
      <c r="L101" s="16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</row>
    <row r="102">
      <c r="A102" s="100"/>
      <c r="B102" s="100"/>
      <c r="C102" s="123" t="s">
        <v>96</v>
      </c>
      <c r="D102" s="120" t="s">
        <v>97</v>
      </c>
      <c r="E102" s="120" t="s">
        <v>98</v>
      </c>
      <c r="F102" s="120" t="s">
        <v>99</v>
      </c>
      <c r="G102" s="107"/>
      <c r="H102" s="124"/>
      <c r="I102" s="125" t="s">
        <v>100</v>
      </c>
      <c r="J102" s="23"/>
      <c r="K102" s="100"/>
      <c r="L102" s="16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</row>
    <row r="103">
      <c r="A103" s="100"/>
      <c r="B103" s="100"/>
      <c r="C103" s="129" t="s">
        <v>102</v>
      </c>
      <c r="D103" s="130"/>
      <c r="E103" s="130"/>
      <c r="F103" s="130"/>
      <c r="G103" s="107"/>
      <c r="H103" s="131"/>
      <c r="I103" s="132" t="s">
        <v>103</v>
      </c>
      <c r="J103" s="133">
        <v>1530.0</v>
      </c>
      <c r="K103" s="100"/>
      <c r="L103" s="16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</row>
    <row r="104">
      <c r="A104" s="100"/>
      <c r="B104" s="100"/>
      <c r="C104" s="129" t="s">
        <v>104</v>
      </c>
      <c r="D104" s="130"/>
      <c r="E104" s="130"/>
      <c r="F104" s="130"/>
      <c r="G104" s="107"/>
      <c r="H104" s="131"/>
      <c r="I104" s="132" t="s">
        <v>105</v>
      </c>
      <c r="J104" s="133">
        <v>120.0</v>
      </c>
      <c r="K104" s="100"/>
      <c r="L104" s="16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</row>
    <row r="105">
      <c r="A105" s="100"/>
      <c r="B105" s="100"/>
      <c r="C105" s="129" t="s">
        <v>106</v>
      </c>
      <c r="D105" s="130"/>
      <c r="E105" s="130"/>
      <c r="F105" s="130"/>
      <c r="G105" s="107"/>
      <c r="H105" s="131"/>
      <c r="I105" s="132" t="s">
        <v>107</v>
      </c>
      <c r="J105" s="133">
        <v>150.0</v>
      </c>
      <c r="K105" s="100"/>
      <c r="L105" s="16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</row>
    <row r="106">
      <c r="A106" s="100"/>
      <c r="B106" s="100"/>
      <c r="C106" s="129" t="s">
        <v>108</v>
      </c>
      <c r="D106" s="130"/>
      <c r="E106" s="130"/>
      <c r="F106" s="130"/>
      <c r="G106" s="107"/>
      <c r="H106" s="131"/>
      <c r="I106" s="132" t="s">
        <v>109</v>
      </c>
      <c r="J106" s="133">
        <v>50.0</v>
      </c>
      <c r="K106" s="100"/>
      <c r="L106" s="16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</row>
    <row r="107">
      <c r="A107" s="100"/>
      <c r="B107" s="100"/>
      <c r="C107" s="129" t="s">
        <v>110</v>
      </c>
      <c r="D107" s="130"/>
      <c r="E107" s="130"/>
      <c r="F107" s="130"/>
      <c r="G107" s="107"/>
      <c r="H107" s="107"/>
      <c r="I107" s="102"/>
      <c r="J107" s="102"/>
      <c r="K107" s="100"/>
      <c r="L107" s="16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</row>
    <row r="108">
      <c r="A108" s="100"/>
      <c r="B108" s="100"/>
      <c r="C108" s="129" t="s">
        <v>111</v>
      </c>
      <c r="D108" s="142"/>
      <c r="E108" s="130"/>
      <c r="F108" s="130"/>
      <c r="G108" s="107"/>
      <c r="H108" s="107"/>
      <c r="I108" s="102"/>
      <c r="J108" s="102"/>
      <c r="K108" s="100"/>
      <c r="L108" s="16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</row>
    <row r="109">
      <c r="A109" s="100"/>
      <c r="B109" s="100"/>
      <c r="C109" s="129" t="s">
        <v>112</v>
      </c>
      <c r="D109" s="142"/>
      <c r="E109" s="130"/>
      <c r="F109" s="142"/>
      <c r="G109" s="107"/>
      <c r="H109" s="107"/>
      <c r="I109" s="102"/>
      <c r="J109" s="102"/>
      <c r="K109" s="100"/>
      <c r="L109" s="16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</row>
    <row r="110">
      <c r="A110" s="100"/>
      <c r="B110" s="100"/>
      <c r="C110" s="143" t="s">
        <v>113</v>
      </c>
      <c r="D110" s="144" t="str">
        <f t="shared" ref="D110:F110" si="19">AVERAGE(D103:D109)</f>
        <v>#DIV/0!</v>
      </c>
      <c r="E110" s="144" t="str">
        <f t="shared" si="19"/>
        <v>#DIV/0!</v>
      </c>
      <c r="F110" s="144" t="str">
        <f t="shared" si="19"/>
        <v>#DIV/0!</v>
      </c>
      <c r="G110" s="107"/>
      <c r="H110" s="107"/>
      <c r="I110" s="102"/>
      <c r="J110" s="102"/>
      <c r="K110" s="100"/>
      <c r="L110" s="16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</row>
    <row r="111">
      <c r="A111" s="100"/>
      <c r="B111" s="100"/>
      <c r="C111" s="108"/>
      <c r="D111" s="108"/>
      <c r="E111" s="108"/>
      <c r="F111" s="108"/>
      <c r="G111" s="107"/>
      <c r="H111" s="107"/>
      <c r="I111" s="102"/>
      <c r="J111" s="102"/>
      <c r="K111" s="100"/>
      <c r="L111" s="16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</row>
    <row r="112">
      <c r="A112" s="100"/>
      <c r="B112" s="100"/>
      <c r="C112" s="146" t="s">
        <v>114</v>
      </c>
      <c r="D112" s="63"/>
      <c r="E112" s="63"/>
      <c r="F112" s="63"/>
      <c r="G112" s="23"/>
      <c r="H112" s="147"/>
      <c r="I112" s="50"/>
      <c r="J112" s="50"/>
      <c r="K112" s="100"/>
      <c r="L112" s="16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</row>
    <row r="113">
      <c r="A113" s="100"/>
      <c r="B113" s="100"/>
      <c r="C113" s="148" t="s">
        <v>91</v>
      </c>
      <c r="D113" s="148" t="s">
        <v>92</v>
      </c>
      <c r="E113" s="132" t="s">
        <v>93</v>
      </c>
      <c r="F113" s="148" t="s">
        <v>94</v>
      </c>
      <c r="G113" s="148" t="s">
        <v>95</v>
      </c>
      <c r="H113" s="147"/>
      <c r="I113" s="50"/>
      <c r="J113" s="50"/>
      <c r="K113" s="100"/>
      <c r="L113" s="16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</row>
    <row r="114">
      <c r="A114" s="100"/>
      <c r="B114" s="100"/>
      <c r="C114" s="149"/>
      <c r="D114" s="149"/>
      <c r="E114" s="149"/>
      <c r="F114" s="149"/>
      <c r="G114" s="149"/>
      <c r="H114" s="147"/>
      <c r="I114" s="50"/>
      <c r="J114" s="50"/>
      <c r="K114" s="100"/>
      <c r="L114" s="16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</row>
    <row r="115">
      <c r="A115" s="100"/>
      <c r="B115" s="100"/>
      <c r="C115" s="107"/>
      <c r="D115" s="107"/>
      <c r="E115" s="107"/>
      <c r="F115" s="107"/>
      <c r="G115" s="100"/>
      <c r="H115" s="100"/>
      <c r="I115" s="50"/>
      <c r="J115" s="50"/>
      <c r="K115" s="100"/>
      <c r="L115" s="16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</row>
    <row r="116">
      <c r="A116" s="100"/>
      <c r="B116" s="100"/>
      <c r="C116" s="16"/>
      <c r="D116" s="16"/>
      <c r="E116" s="16"/>
      <c r="F116" s="16"/>
      <c r="G116" s="100"/>
      <c r="H116" s="100"/>
      <c r="I116" s="50"/>
      <c r="J116" s="50"/>
      <c r="K116" s="100"/>
      <c r="L116" s="16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</row>
    <row r="117">
      <c r="A117" s="100"/>
      <c r="B117" s="100"/>
      <c r="C117" s="16"/>
      <c r="D117" s="16"/>
      <c r="E117" s="16"/>
      <c r="F117" s="16"/>
      <c r="G117" s="100"/>
      <c r="H117" s="100"/>
      <c r="I117" s="50"/>
      <c r="J117" s="50"/>
      <c r="K117" s="100"/>
      <c r="L117" s="16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</row>
    <row r="118" ht="30.0" customHeight="1">
      <c r="A118" s="100"/>
      <c r="B118" s="100"/>
      <c r="C118" s="108"/>
      <c r="D118" s="153" t="s">
        <v>121</v>
      </c>
      <c r="E118" s="23"/>
      <c r="F118" s="108"/>
      <c r="G118" s="107"/>
      <c r="H118" s="107"/>
      <c r="I118" s="102"/>
      <c r="J118" s="102"/>
      <c r="K118" s="100"/>
      <c r="L118" s="16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</row>
    <row r="119">
      <c r="A119" s="100"/>
      <c r="B119" s="100"/>
      <c r="C119" s="123" t="s">
        <v>96</v>
      </c>
      <c r="D119" s="120" t="s">
        <v>97</v>
      </c>
      <c r="E119" s="120" t="s">
        <v>98</v>
      </c>
      <c r="F119" s="120" t="s">
        <v>99</v>
      </c>
      <c r="G119" s="107"/>
      <c r="H119" s="124"/>
      <c r="I119" s="125" t="s">
        <v>100</v>
      </c>
      <c r="J119" s="23"/>
      <c r="K119" s="100"/>
      <c r="L119" s="16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</row>
    <row r="120">
      <c r="A120" s="100"/>
      <c r="B120" s="100"/>
      <c r="C120" s="129" t="s">
        <v>102</v>
      </c>
      <c r="D120" s="130"/>
      <c r="E120" s="130"/>
      <c r="F120" s="130"/>
      <c r="G120" s="107"/>
      <c r="H120" s="131"/>
      <c r="I120" s="132" t="s">
        <v>103</v>
      </c>
      <c r="J120" s="133">
        <v>1530.0</v>
      </c>
      <c r="K120" s="100"/>
      <c r="L120" s="16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</row>
    <row r="121">
      <c r="A121" s="100"/>
      <c r="B121" s="100"/>
      <c r="C121" s="129" t="s">
        <v>104</v>
      </c>
      <c r="D121" s="130"/>
      <c r="E121" s="130"/>
      <c r="F121" s="130"/>
      <c r="G121" s="107"/>
      <c r="H121" s="131"/>
      <c r="I121" s="132" t="s">
        <v>105</v>
      </c>
      <c r="J121" s="133">
        <v>120.0</v>
      </c>
      <c r="K121" s="100"/>
      <c r="L121" s="16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</row>
    <row r="122">
      <c r="A122" s="100"/>
      <c r="B122" s="100"/>
      <c r="C122" s="129" t="s">
        <v>106</v>
      </c>
      <c r="D122" s="130"/>
      <c r="E122" s="130"/>
      <c r="F122" s="130"/>
      <c r="G122" s="107"/>
      <c r="H122" s="131"/>
      <c r="I122" s="132" t="s">
        <v>107</v>
      </c>
      <c r="J122" s="133">
        <v>150.0</v>
      </c>
      <c r="K122" s="100"/>
      <c r="L122" s="16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</row>
    <row r="123">
      <c r="A123" s="100"/>
      <c r="B123" s="100"/>
      <c r="C123" s="129" t="s">
        <v>108</v>
      </c>
      <c r="D123" s="130"/>
      <c r="E123" s="130"/>
      <c r="F123" s="130"/>
      <c r="G123" s="107"/>
      <c r="H123" s="131"/>
      <c r="I123" s="132" t="s">
        <v>109</v>
      </c>
      <c r="J123" s="133">
        <v>50.0</v>
      </c>
      <c r="K123" s="100"/>
      <c r="L123" s="16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</row>
    <row r="124">
      <c r="A124" s="100"/>
      <c r="B124" s="100"/>
      <c r="C124" s="129" t="s">
        <v>110</v>
      </c>
      <c r="D124" s="130"/>
      <c r="E124" s="130"/>
      <c r="F124" s="130"/>
      <c r="G124" s="107"/>
      <c r="H124" s="107"/>
      <c r="I124" s="102"/>
      <c r="J124" s="102"/>
      <c r="K124" s="100"/>
      <c r="L124" s="16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</row>
    <row r="125">
      <c r="A125" s="100"/>
      <c r="B125" s="100"/>
      <c r="C125" s="129" t="s">
        <v>111</v>
      </c>
      <c r="D125" s="142"/>
      <c r="E125" s="130"/>
      <c r="F125" s="130"/>
      <c r="G125" s="107"/>
      <c r="H125" s="107"/>
      <c r="I125" s="102"/>
      <c r="J125" s="102"/>
      <c r="K125" s="100"/>
      <c r="L125" s="16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</row>
    <row r="126">
      <c r="A126" s="100"/>
      <c r="B126" s="100"/>
      <c r="C126" s="129" t="s">
        <v>112</v>
      </c>
      <c r="D126" s="142"/>
      <c r="E126" s="130"/>
      <c r="F126" s="142"/>
      <c r="G126" s="107"/>
      <c r="H126" s="107"/>
      <c r="I126" s="102"/>
      <c r="J126" s="102"/>
      <c r="K126" s="100"/>
      <c r="L126" s="16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</row>
    <row r="127">
      <c r="A127" s="100"/>
      <c r="B127" s="100"/>
      <c r="C127" s="143" t="s">
        <v>113</v>
      </c>
      <c r="D127" s="144" t="str">
        <f t="shared" ref="D127:F127" si="20">AVERAGE(D120:D126)</f>
        <v>#DIV/0!</v>
      </c>
      <c r="E127" s="144" t="str">
        <f t="shared" si="20"/>
        <v>#DIV/0!</v>
      </c>
      <c r="F127" s="144" t="str">
        <f t="shared" si="20"/>
        <v>#DIV/0!</v>
      </c>
      <c r="G127" s="107"/>
      <c r="H127" s="107"/>
      <c r="I127" s="102"/>
      <c r="J127" s="102"/>
      <c r="K127" s="100"/>
      <c r="L127" s="16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</row>
    <row r="128">
      <c r="A128" s="100"/>
      <c r="B128" s="100"/>
      <c r="C128" s="108"/>
      <c r="D128" s="108"/>
      <c r="E128" s="108"/>
      <c r="F128" s="108"/>
      <c r="G128" s="107"/>
      <c r="H128" s="107"/>
      <c r="I128" s="102"/>
      <c r="J128" s="102"/>
      <c r="K128" s="100"/>
      <c r="L128" s="16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</row>
    <row r="129">
      <c r="A129" s="100"/>
      <c r="B129" s="100"/>
      <c r="C129" s="146" t="s">
        <v>114</v>
      </c>
      <c r="D129" s="63"/>
      <c r="E129" s="63"/>
      <c r="F129" s="63"/>
      <c r="G129" s="23"/>
      <c r="H129" s="147"/>
      <c r="I129" s="50"/>
      <c r="J129" s="50"/>
      <c r="K129" s="100"/>
      <c r="L129" s="16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</row>
    <row r="130">
      <c r="A130" s="100"/>
      <c r="B130" s="100"/>
      <c r="C130" s="148" t="s">
        <v>91</v>
      </c>
      <c r="D130" s="148" t="s">
        <v>92</v>
      </c>
      <c r="E130" s="132" t="s">
        <v>93</v>
      </c>
      <c r="F130" s="148" t="s">
        <v>94</v>
      </c>
      <c r="G130" s="148" t="s">
        <v>95</v>
      </c>
      <c r="H130" s="147"/>
      <c r="I130" s="50"/>
      <c r="J130" s="50"/>
      <c r="K130" s="100"/>
      <c r="L130" s="16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</row>
    <row r="131">
      <c r="A131" s="100"/>
      <c r="B131" s="100"/>
      <c r="C131" s="149"/>
      <c r="D131" s="149"/>
      <c r="E131" s="149"/>
      <c r="F131" s="149"/>
      <c r="G131" s="149"/>
      <c r="H131" s="147"/>
      <c r="I131" s="50"/>
      <c r="J131" s="50"/>
      <c r="K131" s="100"/>
      <c r="L131" s="16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</row>
    <row r="132">
      <c r="A132" s="100"/>
      <c r="B132" s="100"/>
      <c r="C132" s="100"/>
      <c r="D132" s="100"/>
      <c r="E132" s="100"/>
      <c r="F132" s="100"/>
      <c r="G132" s="100"/>
      <c r="H132" s="147"/>
      <c r="I132" s="50"/>
      <c r="J132" s="50"/>
      <c r="K132" s="100"/>
      <c r="L132" s="16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</row>
    <row r="133">
      <c r="A133" s="100"/>
      <c r="B133" s="100"/>
      <c r="C133" s="100"/>
      <c r="D133" s="100"/>
      <c r="E133" s="100"/>
      <c r="F133" s="100"/>
      <c r="G133" s="100"/>
      <c r="H133" s="147"/>
      <c r="I133" s="50"/>
      <c r="J133" s="50"/>
      <c r="K133" s="100"/>
      <c r="L133" s="16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</row>
    <row r="134">
      <c r="A134" s="100"/>
      <c r="B134" s="100"/>
      <c r="C134" s="100"/>
      <c r="D134" s="100"/>
      <c r="E134" s="100"/>
      <c r="F134" s="100"/>
      <c r="G134" s="100"/>
      <c r="H134" s="147"/>
      <c r="I134" s="50"/>
      <c r="J134" s="50"/>
      <c r="K134" s="100"/>
      <c r="L134" s="16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</row>
    <row r="135" ht="31.5" customHeight="1">
      <c r="A135" s="100"/>
      <c r="B135" s="100"/>
      <c r="C135" s="108"/>
      <c r="D135" s="153" t="s">
        <v>122</v>
      </c>
      <c r="E135" s="23"/>
      <c r="F135" s="108"/>
      <c r="G135" s="107"/>
      <c r="H135" s="107"/>
      <c r="I135" s="102"/>
      <c r="J135" s="102"/>
      <c r="K135" s="100"/>
      <c r="L135" s="16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</row>
    <row r="136">
      <c r="A136" s="100"/>
      <c r="B136" s="100"/>
      <c r="C136" s="123" t="s">
        <v>96</v>
      </c>
      <c r="D136" s="120" t="s">
        <v>97</v>
      </c>
      <c r="E136" s="120" t="s">
        <v>98</v>
      </c>
      <c r="F136" s="120" t="s">
        <v>99</v>
      </c>
      <c r="G136" s="107"/>
      <c r="H136" s="124"/>
      <c r="I136" s="125" t="s">
        <v>100</v>
      </c>
      <c r="J136" s="23"/>
      <c r="K136" s="100"/>
      <c r="L136" s="16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</row>
    <row r="137">
      <c r="A137" s="100"/>
      <c r="B137" s="100"/>
      <c r="C137" s="129" t="s">
        <v>102</v>
      </c>
      <c r="D137" s="130"/>
      <c r="E137" s="130"/>
      <c r="F137" s="130"/>
      <c r="G137" s="107"/>
      <c r="H137" s="131"/>
      <c r="I137" s="132" t="s">
        <v>103</v>
      </c>
      <c r="J137" s="133">
        <v>1530.0</v>
      </c>
      <c r="K137" s="100"/>
      <c r="L137" s="16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</row>
    <row r="138">
      <c r="A138" s="100"/>
      <c r="B138" s="100"/>
      <c r="C138" s="129" t="s">
        <v>104</v>
      </c>
      <c r="D138" s="130"/>
      <c r="E138" s="130"/>
      <c r="F138" s="130"/>
      <c r="G138" s="107"/>
      <c r="H138" s="131"/>
      <c r="I138" s="132" t="s">
        <v>105</v>
      </c>
      <c r="J138" s="133">
        <v>120.0</v>
      </c>
      <c r="K138" s="100"/>
      <c r="L138" s="16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</row>
    <row r="139">
      <c r="A139" s="100"/>
      <c r="B139" s="100"/>
      <c r="C139" s="129" t="s">
        <v>106</v>
      </c>
      <c r="D139" s="130"/>
      <c r="E139" s="130"/>
      <c r="F139" s="130"/>
      <c r="G139" s="107"/>
      <c r="H139" s="131"/>
      <c r="I139" s="132" t="s">
        <v>107</v>
      </c>
      <c r="J139" s="133">
        <v>150.0</v>
      </c>
      <c r="K139" s="100"/>
      <c r="L139" s="16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</row>
    <row r="140">
      <c r="A140" s="100"/>
      <c r="B140" s="100"/>
      <c r="C140" s="129" t="s">
        <v>108</v>
      </c>
      <c r="D140" s="130"/>
      <c r="E140" s="130"/>
      <c r="F140" s="130"/>
      <c r="G140" s="107"/>
      <c r="H140" s="131"/>
      <c r="I140" s="132" t="s">
        <v>109</v>
      </c>
      <c r="J140" s="133">
        <v>50.0</v>
      </c>
      <c r="K140" s="100"/>
      <c r="L140" s="16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</row>
    <row r="141">
      <c r="A141" s="100"/>
      <c r="B141" s="100"/>
      <c r="C141" s="129" t="s">
        <v>110</v>
      </c>
      <c r="D141" s="130"/>
      <c r="E141" s="130"/>
      <c r="F141" s="130"/>
      <c r="G141" s="107"/>
      <c r="H141" s="107"/>
      <c r="I141" s="102"/>
      <c r="J141" s="102"/>
      <c r="K141" s="100"/>
      <c r="L141" s="16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</row>
    <row r="142">
      <c r="A142" s="100"/>
      <c r="B142" s="100"/>
      <c r="C142" s="129" t="s">
        <v>111</v>
      </c>
      <c r="D142" s="142"/>
      <c r="E142" s="130"/>
      <c r="F142" s="130"/>
      <c r="G142" s="107"/>
      <c r="H142" s="107"/>
      <c r="I142" s="102"/>
      <c r="J142" s="102"/>
      <c r="K142" s="100"/>
      <c r="L142" s="16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</row>
    <row r="143">
      <c r="A143" s="100"/>
      <c r="B143" s="100"/>
      <c r="C143" s="129" t="s">
        <v>112</v>
      </c>
      <c r="D143" s="142"/>
      <c r="E143" s="130"/>
      <c r="F143" s="142"/>
      <c r="G143" s="107"/>
      <c r="H143" s="107"/>
      <c r="I143" s="102"/>
      <c r="J143" s="102"/>
      <c r="K143" s="100"/>
      <c r="L143" s="16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</row>
    <row r="144">
      <c r="A144" s="100"/>
      <c r="B144" s="100"/>
      <c r="C144" s="143" t="s">
        <v>113</v>
      </c>
      <c r="D144" s="144" t="str">
        <f t="shared" ref="D144:F144" si="21">AVERAGE(D137:D143)</f>
        <v>#DIV/0!</v>
      </c>
      <c r="E144" s="144" t="str">
        <f t="shared" si="21"/>
        <v>#DIV/0!</v>
      </c>
      <c r="F144" s="144" t="str">
        <f t="shared" si="21"/>
        <v>#DIV/0!</v>
      </c>
      <c r="G144" s="107"/>
      <c r="H144" s="107"/>
      <c r="I144" s="102"/>
      <c r="J144" s="102"/>
      <c r="K144" s="100"/>
      <c r="L144" s="16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</row>
    <row r="145">
      <c r="A145" s="100"/>
      <c r="B145" s="100"/>
      <c r="C145" s="108"/>
      <c r="D145" s="108"/>
      <c r="E145" s="108"/>
      <c r="F145" s="108"/>
      <c r="G145" s="107"/>
      <c r="H145" s="107"/>
      <c r="I145" s="102"/>
      <c r="J145" s="102"/>
      <c r="K145" s="100"/>
      <c r="L145" s="16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</row>
    <row r="146">
      <c r="A146" s="100"/>
      <c r="B146" s="100"/>
      <c r="C146" s="146" t="s">
        <v>114</v>
      </c>
      <c r="D146" s="63"/>
      <c r="E146" s="63"/>
      <c r="F146" s="63"/>
      <c r="G146" s="23"/>
      <c r="H146" s="147"/>
      <c r="I146" s="50"/>
      <c r="J146" s="50"/>
      <c r="K146" s="100"/>
      <c r="L146" s="16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</row>
    <row r="147">
      <c r="A147" s="100"/>
      <c r="B147" s="100"/>
      <c r="C147" s="148" t="s">
        <v>91</v>
      </c>
      <c r="D147" s="148" t="s">
        <v>92</v>
      </c>
      <c r="E147" s="132" t="s">
        <v>93</v>
      </c>
      <c r="F147" s="148" t="s">
        <v>94</v>
      </c>
      <c r="G147" s="148" t="s">
        <v>95</v>
      </c>
      <c r="H147" s="147"/>
      <c r="I147" s="50"/>
      <c r="J147" s="50"/>
      <c r="K147" s="100"/>
      <c r="L147" s="16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</row>
    <row r="148">
      <c r="A148" s="100"/>
      <c r="B148" s="100"/>
      <c r="C148" s="149"/>
      <c r="D148" s="149"/>
      <c r="E148" s="149"/>
      <c r="F148" s="149"/>
      <c r="G148" s="149"/>
      <c r="H148" s="147"/>
      <c r="I148" s="50"/>
      <c r="J148" s="50"/>
      <c r="K148" s="100"/>
      <c r="L148" s="16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50"/>
      <c r="J149" s="50"/>
      <c r="K149" s="100"/>
      <c r="L149" s="16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50"/>
      <c r="J150" s="50"/>
      <c r="K150" s="100"/>
      <c r="L150" s="16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</row>
    <row r="151" ht="28.5" customHeight="1">
      <c r="A151" s="100"/>
      <c r="B151" s="100"/>
      <c r="C151" s="108"/>
      <c r="D151" s="153" t="s">
        <v>123</v>
      </c>
      <c r="E151" s="23"/>
      <c r="F151" s="108"/>
      <c r="G151" s="107"/>
      <c r="H151" s="107"/>
      <c r="I151" s="102"/>
      <c r="J151" s="102"/>
      <c r="K151" s="100"/>
      <c r="L151" s="16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</row>
    <row r="152">
      <c r="A152" s="100"/>
      <c r="B152" s="100"/>
      <c r="C152" s="123" t="s">
        <v>96</v>
      </c>
      <c r="D152" s="120" t="s">
        <v>97</v>
      </c>
      <c r="E152" s="120" t="s">
        <v>98</v>
      </c>
      <c r="F152" s="120" t="s">
        <v>99</v>
      </c>
      <c r="G152" s="107"/>
      <c r="H152" s="124"/>
      <c r="I152" s="125" t="s">
        <v>100</v>
      </c>
      <c r="J152" s="23"/>
      <c r="K152" s="100"/>
      <c r="L152" s="16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</row>
    <row r="153">
      <c r="A153" s="100"/>
      <c r="B153" s="100"/>
      <c r="C153" s="129" t="s">
        <v>102</v>
      </c>
      <c r="D153" s="130"/>
      <c r="E153" s="130"/>
      <c r="F153" s="130"/>
      <c r="G153" s="107"/>
      <c r="H153" s="131"/>
      <c r="I153" s="132" t="s">
        <v>103</v>
      </c>
      <c r="J153" s="133">
        <v>1530.0</v>
      </c>
      <c r="K153" s="100"/>
      <c r="L153" s="16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</row>
    <row r="154">
      <c r="A154" s="100"/>
      <c r="B154" s="100"/>
      <c r="C154" s="129" t="s">
        <v>104</v>
      </c>
      <c r="D154" s="130"/>
      <c r="E154" s="130"/>
      <c r="F154" s="130"/>
      <c r="G154" s="107"/>
      <c r="H154" s="131"/>
      <c r="I154" s="132" t="s">
        <v>105</v>
      </c>
      <c r="J154" s="133">
        <v>120.0</v>
      </c>
      <c r="K154" s="100"/>
      <c r="L154" s="16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</row>
    <row r="155">
      <c r="A155" s="100"/>
      <c r="B155" s="100"/>
      <c r="C155" s="129" t="s">
        <v>106</v>
      </c>
      <c r="D155" s="130"/>
      <c r="E155" s="130"/>
      <c r="F155" s="130"/>
      <c r="G155" s="107"/>
      <c r="H155" s="131"/>
      <c r="I155" s="132" t="s">
        <v>107</v>
      </c>
      <c r="J155" s="133">
        <v>150.0</v>
      </c>
      <c r="K155" s="100"/>
      <c r="L155" s="16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</row>
    <row r="156">
      <c r="A156" s="100"/>
      <c r="B156" s="100"/>
      <c r="C156" s="129" t="s">
        <v>108</v>
      </c>
      <c r="D156" s="130"/>
      <c r="E156" s="130"/>
      <c r="F156" s="130"/>
      <c r="G156" s="107"/>
      <c r="H156" s="131"/>
      <c r="I156" s="132" t="s">
        <v>109</v>
      </c>
      <c r="J156" s="133">
        <v>50.0</v>
      </c>
      <c r="K156" s="100"/>
      <c r="L156" s="16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</row>
    <row r="157">
      <c r="A157" s="100"/>
      <c r="B157" s="100"/>
      <c r="C157" s="129" t="s">
        <v>110</v>
      </c>
      <c r="D157" s="130"/>
      <c r="E157" s="130"/>
      <c r="F157" s="130"/>
      <c r="G157" s="107"/>
      <c r="H157" s="107"/>
      <c r="I157" s="102"/>
      <c r="J157" s="102"/>
      <c r="K157" s="100"/>
      <c r="L157" s="16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</row>
    <row r="158">
      <c r="A158" s="100"/>
      <c r="B158" s="100"/>
      <c r="C158" s="129" t="s">
        <v>111</v>
      </c>
      <c r="D158" s="142"/>
      <c r="E158" s="130"/>
      <c r="F158" s="130"/>
      <c r="G158" s="107"/>
      <c r="H158" s="107"/>
      <c r="I158" s="102"/>
      <c r="J158" s="102"/>
      <c r="K158" s="100"/>
      <c r="L158" s="16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</row>
    <row r="159">
      <c r="A159" s="100"/>
      <c r="B159" s="100"/>
      <c r="C159" s="129" t="s">
        <v>112</v>
      </c>
      <c r="D159" s="142"/>
      <c r="E159" s="130"/>
      <c r="F159" s="142"/>
      <c r="G159" s="107"/>
      <c r="H159" s="107"/>
      <c r="I159" s="102"/>
      <c r="J159" s="102"/>
      <c r="K159" s="100"/>
      <c r="L159" s="16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</row>
    <row r="160">
      <c r="A160" s="100"/>
      <c r="B160" s="100"/>
      <c r="C160" s="143" t="s">
        <v>113</v>
      </c>
      <c r="D160" s="144" t="str">
        <f t="shared" ref="D160:F160" si="22">AVERAGE(D153:D159)</f>
        <v>#DIV/0!</v>
      </c>
      <c r="E160" s="144" t="str">
        <f t="shared" si="22"/>
        <v>#DIV/0!</v>
      </c>
      <c r="F160" s="144" t="str">
        <f t="shared" si="22"/>
        <v>#DIV/0!</v>
      </c>
      <c r="G160" s="107"/>
      <c r="H160" s="107"/>
      <c r="I160" s="102"/>
      <c r="J160" s="102"/>
      <c r="K160" s="100"/>
      <c r="L160" s="16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</row>
    <row r="161">
      <c r="A161" s="100"/>
      <c r="B161" s="100"/>
      <c r="C161" s="108"/>
      <c r="D161" s="108"/>
      <c r="E161" s="108"/>
      <c r="F161" s="108"/>
      <c r="G161" s="107"/>
      <c r="H161" s="107"/>
      <c r="I161" s="102"/>
      <c r="J161" s="102"/>
      <c r="K161" s="100"/>
      <c r="L161" s="16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</row>
    <row r="162">
      <c r="A162" s="100"/>
      <c r="B162" s="100"/>
      <c r="C162" s="146" t="s">
        <v>114</v>
      </c>
      <c r="D162" s="63"/>
      <c r="E162" s="63"/>
      <c r="F162" s="63"/>
      <c r="G162" s="23"/>
      <c r="H162" s="147"/>
      <c r="I162" s="50"/>
      <c r="J162" s="50"/>
      <c r="K162" s="100"/>
      <c r="L162" s="16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</row>
    <row r="163">
      <c r="A163" s="100"/>
      <c r="B163" s="100"/>
      <c r="C163" s="148" t="s">
        <v>91</v>
      </c>
      <c r="D163" s="148" t="s">
        <v>92</v>
      </c>
      <c r="E163" s="132" t="s">
        <v>93</v>
      </c>
      <c r="F163" s="148" t="s">
        <v>94</v>
      </c>
      <c r="G163" s="148" t="s">
        <v>95</v>
      </c>
      <c r="H163" s="147"/>
      <c r="I163" s="50"/>
      <c r="J163" s="50"/>
      <c r="K163" s="100"/>
      <c r="L163" s="16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</row>
    <row r="164">
      <c r="A164" s="100"/>
      <c r="B164" s="100"/>
      <c r="C164" s="149"/>
      <c r="D164" s="149"/>
      <c r="E164" s="149"/>
      <c r="F164" s="149"/>
      <c r="G164" s="149"/>
      <c r="H164" s="147"/>
      <c r="I164" s="50"/>
      <c r="J164" s="50"/>
      <c r="K164" s="100"/>
      <c r="L164" s="16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</row>
    <row r="165">
      <c r="A165" s="100"/>
      <c r="B165" s="100"/>
      <c r="C165" s="100"/>
      <c r="D165" s="100"/>
      <c r="E165" s="100"/>
      <c r="F165" s="100"/>
      <c r="G165" s="100"/>
      <c r="H165" s="147"/>
      <c r="I165" s="50"/>
      <c r="J165" s="50"/>
      <c r="K165" s="100"/>
      <c r="L165" s="16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</row>
    <row r="166">
      <c r="A166" s="100"/>
      <c r="B166" s="100"/>
      <c r="C166" s="100"/>
      <c r="D166" s="100"/>
      <c r="E166" s="100"/>
      <c r="F166" s="100"/>
      <c r="G166" s="100"/>
      <c r="H166" s="147"/>
      <c r="I166" s="50"/>
      <c r="J166" s="50"/>
      <c r="K166" s="100"/>
      <c r="L166" s="16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</row>
    <row r="167" ht="31.5" customHeight="1">
      <c r="A167" s="100"/>
      <c r="B167" s="100"/>
      <c r="C167" s="108"/>
      <c r="D167" s="153" t="s">
        <v>124</v>
      </c>
      <c r="E167" s="23"/>
      <c r="F167" s="108"/>
      <c r="G167" s="107"/>
      <c r="H167" s="107"/>
      <c r="I167" s="102"/>
      <c r="J167" s="102"/>
      <c r="K167" s="100"/>
      <c r="L167" s="16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</row>
    <row r="168">
      <c r="A168" s="100"/>
      <c r="B168" s="100"/>
      <c r="C168" s="123" t="s">
        <v>96</v>
      </c>
      <c r="D168" s="120" t="s">
        <v>97</v>
      </c>
      <c r="E168" s="120" t="s">
        <v>98</v>
      </c>
      <c r="F168" s="120" t="s">
        <v>99</v>
      </c>
      <c r="G168" s="107"/>
      <c r="H168" s="124"/>
      <c r="I168" s="125" t="s">
        <v>100</v>
      </c>
      <c r="J168" s="23"/>
      <c r="K168" s="100"/>
      <c r="L168" s="16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</row>
    <row r="169">
      <c r="A169" s="100"/>
      <c r="B169" s="100"/>
      <c r="C169" s="129" t="s">
        <v>102</v>
      </c>
      <c r="D169" s="130"/>
      <c r="E169" s="130"/>
      <c r="F169" s="130"/>
      <c r="G169" s="107"/>
      <c r="H169" s="131"/>
      <c r="I169" s="132" t="s">
        <v>103</v>
      </c>
      <c r="J169" s="133">
        <v>1530.0</v>
      </c>
      <c r="K169" s="100"/>
      <c r="L169" s="16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</row>
    <row r="170">
      <c r="A170" s="100"/>
      <c r="B170" s="100"/>
      <c r="C170" s="129" t="s">
        <v>104</v>
      </c>
      <c r="D170" s="130"/>
      <c r="E170" s="130"/>
      <c r="F170" s="130"/>
      <c r="G170" s="107"/>
      <c r="H170" s="131"/>
      <c r="I170" s="132" t="s">
        <v>105</v>
      </c>
      <c r="J170" s="133">
        <v>120.0</v>
      </c>
      <c r="K170" s="100"/>
      <c r="L170" s="16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</row>
    <row r="171">
      <c r="A171" s="100"/>
      <c r="B171" s="100"/>
      <c r="C171" s="129" t="s">
        <v>106</v>
      </c>
      <c r="D171" s="130"/>
      <c r="E171" s="130"/>
      <c r="F171" s="130"/>
      <c r="G171" s="107"/>
      <c r="H171" s="131"/>
      <c r="I171" s="132" t="s">
        <v>107</v>
      </c>
      <c r="J171" s="133">
        <v>150.0</v>
      </c>
      <c r="K171" s="100"/>
      <c r="L171" s="16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</row>
    <row r="172">
      <c r="A172" s="100"/>
      <c r="B172" s="100"/>
      <c r="C172" s="129" t="s">
        <v>108</v>
      </c>
      <c r="D172" s="130"/>
      <c r="E172" s="130"/>
      <c r="F172" s="130"/>
      <c r="G172" s="107"/>
      <c r="H172" s="131"/>
      <c r="I172" s="132" t="s">
        <v>109</v>
      </c>
      <c r="J172" s="133">
        <v>50.0</v>
      </c>
      <c r="K172" s="100"/>
      <c r="L172" s="16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</row>
    <row r="173">
      <c r="A173" s="100"/>
      <c r="B173" s="100"/>
      <c r="C173" s="129" t="s">
        <v>110</v>
      </c>
      <c r="D173" s="130"/>
      <c r="E173" s="130"/>
      <c r="F173" s="130"/>
      <c r="G173" s="107"/>
      <c r="H173" s="107"/>
      <c r="I173" s="102"/>
      <c r="J173" s="102"/>
      <c r="K173" s="100"/>
      <c r="L173" s="16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</row>
    <row r="174">
      <c r="A174" s="100"/>
      <c r="B174" s="100"/>
      <c r="C174" s="129" t="s">
        <v>111</v>
      </c>
      <c r="D174" s="142"/>
      <c r="E174" s="130"/>
      <c r="F174" s="130"/>
      <c r="G174" s="107"/>
      <c r="H174" s="107"/>
      <c r="I174" s="102"/>
      <c r="J174" s="102"/>
      <c r="K174" s="100"/>
      <c r="L174" s="16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</row>
    <row r="175">
      <c r="A175" s="100"/>
      <c r="B175" s="100"/>
      <c r="C175" s="129" t="s">
        <v>112</v>
      </c>
      <c r="D175" s="142"/>
      <c r="E175" s="130"/>
      <c r="F175" s="142"/>
      <c r="G175" s="107"/>
      <c r="H175" s="107"/>
      <c r="I175" s="102"/>
      <c r="J175" s="102"/>
      <c r="K175" s="100"/>
      <c r="L175" s="16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</row>
    <row r="176">
      <c r="A176" s="100"/>
      <c r="B176" s="100"/>
      <c r="C176" s="143" t="s">
        <v>113</v>
      </c>
      <c r="D176" s="144" t="str">
        <f t="shared" ref="D176:F176" si="23">AVERAGE(D169:D175)</f>
        <v>#DIV/0!</v>
      </c>
      <c r="E176" s="144" t="str">
        <f t="shared" si="23"/>
        <v>#DIV/0!</v>
      </c>
      <c r="F176" s="144" t="str">
        <f t="shared" si="23"/>
        <v>#DIV/0!</v>
      </c>
      <c r="G176" s="107"/>
      <c r="H176" s="107"/>
      <c r="I176" s="102"/>
      <c r="J176" s="102"/>
      <c r="K176" s="100"/>
      <c r="L176" s="16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</row>
    <row r="177">
      <c r="A177" s="100"/>
      <c r="B177" s="100"/>
      <c r="C177" s="108"/>
      <c r="D177" s="108"/>
      <c r="E177" s="108"/>
      <c r="F177" s="108"/>
      <c r="G177" s="107"/>
      <c r="H177" s="107"/>
      <c r="I177" s="102"/>
      <c r="J177" s="102"/>
      <c r="K177" s="100"/>
      <c r="L177" s="16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</row>
    <row r="178">
      <c r="A178" s="100"/>
      <c r="B178" s="100"/>
      <c r="C178" s="146" t="s">
        <v>114</v>
      </c>
      <c r="D178" s="63"/>
      <c r="E178" s="63"/>
      <c r="F178" s="63"/>
      <c r="G178" s="23"/>
      <c r="H178" s="147"/>
      <c r="I178" s="50"/>
      <c r="J178" s="50"/>
      <c r="K178" s="100"/>
      <c r="L178" s="16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</row>
    <row r="179">
      <c r="A179" s="100"/>
      <c r="B179" s="100"/>
      <c r="C179" s="148" t="s">
        <v>91</v>
      </c>
      <c r="D179" s="148" t="s">
        <v>92</v>
      </c>
      <c r="E179" s="132" t="s">
        <v>93</v>
      </c>
      <c r="F179" s="148" t="s">
        <v>94</v>
      </c>
      <c r="G179" s="148" t="s">
        <v>95</v>
      </c>
      <c r="H179" s="147"/>
      <c r="I179" s="50"/>
      <c r="J179" s="50"/>
      <c r="K179" s="100"/>
      <c r="L179" s="16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</row>
    <row r="180">
      <c r="A180" s="100"/>
      <c r="B180" s="100"/>
      <c r="C180" s="149"/>
      <c r="D180" s="149"/>
      <c r="E180" s="149"/>
      <c r="F180" s="149"/>
      <c r="G180" s="149"/>
      <c r="H180" s="147"/>
      <c r="I180" s="50"/>
      <c r="J180" s="50"/>
      <c r="K180" s="100"/>
      <c r="L180" s="16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</row>
    <row r="181">
      <c r="A181" s="100"/>
      <c r="B181" s="100"/>
      <c r="C181" s="100"/>
      <c r="D181" s="100"/>
      <c r="E181" s="100"/>
      <c r="F181" s="100"/>
      <c r="G181" s="100"/>
      <c r="H181" s="147"/>
      <c r="I181" s="50"/>
      <c r="J181" s="50"/>
      <c r="K181" s="100"/>
      <c r="L181" s="16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</row>
    <row r="182">
      <c r="A182" s="100"/>
      <c r="B182" s="100"/>
      <c r="C182" s="100"/>
      <c r="D182" s="100"/>
      <c r="E182" s="100"/>
      <c r="F182" s="100"/>
      <c r="G182" s="100"/>
      <c r="H182" s="147"/>
      <c r="I182" s="50"/>
      <c r="J182" s="50"/>
      <c r="K182" s="100"/>
      <c r="L182" s="16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</row>
    <row r="183" ht="30.0" customHeight="1">
      <c r="A183" s="100"/>
      <c r="B183" s="100"/>
      <c r="C183" s="108"/>
      <c r="D183" s="153" t="s">
        <v>125</v>
      </c>
      <c r="E183" s="23"/>
      <c r="F183" s="108"/>
      <c r="G183" s="107"/>
      <c r="H183" s="107"/>
      <c r="I183" s="102"/>
      <c r="J183" s="102"/>
      <c r="K183" s="100"/>
      <c r="L183" s="16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</row>
    <row r="184">
      <c r="A184" s="100"/>
      <c r="B184" s="100"/>
      <c r="C184" s="123" t="s">
        <v>96</v>
      </c>
      <c r="D184" s="120" t="s">
        <v>97</v>
      </c>
      <c r="E184" s="120" t="s">
        <v>98</v>
      </c>
      <c r="F184" s="120" t="s">
        <v>99</v>
      </c>
      <c r="G184" s="107"/>
      <c r="H184" s="124"/>
      <c r="I184" s="125" t="s">
        <v>100</v>
      </c>
      <c r="J184" s="23"/>
      <c r="K184" s="100"/>
      <c r="L184" s="16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</row>
    <row r="185">
      <c r="A185" s="100"/>
      <c r="B185" s="100"/>
      <c r="C185" s="129" t="s">
        <v>102</v>
      </c>
      <c r="D185" s="130"/>
      <c r="E185" s="130"/>
      <c r="F185" s="130"/>
      <c r="G185" s="107"/>
      <c r="H185" s="131"/>
      <c r="I185" s="132" t="s">
        <v>103</v>
      </c>
      <c r="J185" s="133">
        <v>1530.0</v>
      </c>
      <c r="K185" s="100"/>
      <c r="L185" s="16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</row>
    <row r="186">
      <c r="A186" s="100"/>
      <c r="B186" s="100"/>
      <c r="C186" s="129" t="s">
        <v>104</v>
      </c>
      <c r="D186" s="130"/>
      <c r="E186" s="130"/>
      <c r="F186" s="130"/>
      <c r="G186" s="107"/>
      <c r="H186" s="131"/>
      <c r="I186" s="132" t="s">
        <v>105</v>
      </c>
      <c r="J186" s="133">
        <v>120.0</v>
      </c>
      <c r="K186" s="100"/>
      <c r="L186" s="16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</row>
    <row r="187">
      <c r="A187" s="100"/>
      <c r="B187" s="100"/>
      <c r="C187" s="129" t="s">
        <v>106</v>
      </c>
      <c r="D187" s="130"/>
      <c r="E187" s="130"/>
      <c r="F187" s="130"/>
      <c r="G187" s="107"/>
      <c r="H187" s="131"/>
      <c r="I187" s="132" t="s">
        <v>107</v>
      </c>
      <c r="J187" s="133">
        <v>150.0</v>
      </c>
      <c r="K187" s="100"/>
      <c r="L187" s="16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</row>
    <row r="188">
      <c r="A188" s="100"/>
      <c r="B188" s="100"/>
      <c r="C188" s="129" t="s">
        <v>108</v>
      </c>
      <c r="D188" s="130"/>
      <c r="E188" s="130"/>
      <c r="F188" s="130"/>
      <c r="G188" s="107"/>
      <c r="H188" s="131"/>
      <c r="I188" s="132" t="s">
        <v>109</v>
      </c>
      <c r="J188" s="133">
        <v>50.0</v>
      </c>
      <c r="K188" s="100"/>
      <c r="L188" s="16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</row>
    <row r="189">
      <c r="A189" s="100"/>
      <c r="B189" s="100"/>
      <c r="C189" s="129" t="s">
        <v>110</v>
      </c>
      <c r="D189" s="130"/>
      <c r="E189" s="130"/>
      <c r="F189" s="130"/>
      <c r="G189" s="107"/>
      <c r="H189" s="107"/>
      <c r="I189" s="102"/>
      <c r="J189" s="102"/>
      <c r="K189" s="100"/>
      <c r="L189" s="16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</row>
    <row r="190">
      <c r="A190" s="100"/>
      <c r="B190" s="100"/>
      <c r="C190" s="129" t="s">
        <v>111</v>
      </c>
      <c r="D190" s="142"/>
      <c r="E190" s="130"/>
      <c r="F190" s="130"/>
      <c r="G190" s="107"/>
      <c r="H190" s="107"/>
      <c r="I190" s="102"/>
      <c r="J190" s="102"/>
      <c r="K190" s="100"/>
      <c r="L190" s="16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</row>
    <row r="191">
      <c r="A191" s="100"/>
      <c r="B191" s="100"/>
      <c r="C191" s="129" t="s">
        <v>112</v>
      </c>
      <c r="D191" s="142"/>
      <c r="E191" s="130"/>
      <c r="F191" s="142"/>
      <c r="G191" s="107"/>
      <c r="H191" s="107"/>
      <c r="I191" s="102"/>
      <c r="J191" s="102"/>
      <c r="K191" s="100"/>
      <c r="L191" s="16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</row>
    <row r="192">
      <c r="A192" s="100"/>
      <c r="B192" s="100"/>
      <c r="C192" s="143" t="s">
        <v>113</v>
      </c>
      <c r="D192" s="144" t="str">
        <f t="shared" ref="D192:F192" si="24">AVERAGE(D185:D191)</f>
        <v>#DIV/0!</v>
      </c>
      <c r="E192" s="144" t="str">
        <f t="shared" si="24"/>
        <v>#DIV/0!</v>
      </c>
      <c r="F192" s="144" t="str">
        <f t="shared" si="24"/>
        <v>#DIV/0!</v>
      </c>
      <c r="G192" s="107"/>
      <c r="H192" s="107"/>
      <c r="I192" s="102"/>
      <c r="J192" s="102"/>
      <c r="K192" s="100"/>
      <c r="L192" s="16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</row>
    <row r="193">
      <c r="A193" s="100"/>
      <c r="B193" s="100"/>
      <c r="C193" s="108"/>
      <c r="D193" s="108"/>
      <c r="E193" s="108"/>
      <c r="F193" s="108"/>
      <c r="G193" s="107"/>
      <c r="H193" s="107"/>
      <c r="I193" s="102"/>
      <c r="J193" s="102"/>
      <c r="K193" s="100"/>
      <c r="L193" s="16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</row>
    <row r="194">
      <c r="A194" s="100"/>
      <c r="B194" s="100"/>
      <c r="C194" s="146" t="s">
        <v>114</v>
      </c>
      <c r="D194" s="63"/>
      <c r="E194" s="63"/>
      <c r="F194" s="63"/>
      <c r="G194" s="23"/>
      <c r="H194" s="147"/>
      <c r="I194" s="50"/>
      <c r="J194" s="50"/>
      <c r="K194" s="100"/>
      <c r="L194" s="16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</row>
    <row r="195">
      <c r="A195" s="100"/>
      <c r="B195" s="100"/>
      <c r="C195" s="148" t="s">
        <v>91</v>
      </c>
      <c r="D195" s="148" t="s">
        <v>92</v>
      </c>
      <c r="E195" s="132" t="s">
        <v>93</v>
      </c>
      <c r="F195" s="148" t="s">
        <v>94</v>
      </c>
      <c r="G195" s="148" t="s">
        <v>95</v>
      </c>
      <c r="H195" s="147"/>
      <c r="I195" s="50"/>
      <c r="J195" s="50"/>
      <c r="K195" s="100"/>
      <c r="L195" s="16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</row>
    <row r="196">
      <c r="A196" s="100"/>
      <c r="B196" s="100"/>
      <c r="C196" s="149"/>
      <c r="D196" s="149"/>
      <c r="E196" s="149"/>
      <c r="F196" s="149"/>
      <c r="G196" s="149"/>
      <c r="H196" s="147"/>
      <c r="I196" s="50"/>
      <c r="J196" s="50"/>
      <c r="K196" s="100"/>
      <c r="L196" s="16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</row>
    <row r="197">
      <c r="A197" s="100"/>
      <c r="B197" s="100"/>
      <c r="C197" s="100"/>
      <c r="D197" s="100"/>
      <c r="E197" s="100"/>
      <c r="F197" s="100"/>
      <c r="G197" s="100"/>
      <c r="H197" s="147"/>
      <c r="I197" s="50"/>
      <c r="J197" s="50"/>
      <c r="K197" s="100"/>
      <c r="L197" s="16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</row>
    <row r="198">
      <c r="A198" s="100"/>
      <c r="B198" s="100"/>
      <c r="C198" s="100"/>
      <c r="D198" s="100"/>
      <c r="E198" s="100"/>
      <c r="F198" s="100"/>
      <c r="G198" s="100"/>
      <c r="H198" s="147"/>
      <c r="I198" s="50"/>
      <c r="J198" s="50"/>
      <c r="K198" s="100"/>
      <c r="L198" s="16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</row>
    <row r="199" ht="25.5" customHeight="1">
      <c r="A199" s="100"/>
      <c r="B199" s="100"/>
      <c r="C199" s="108"/>
      <c r="D199" s="153" t="s">
        <v>126</v>
      </c>
      <c r="E199" s="23"/>
      <c r="F199" s="108"/>
      <c r="G199" s="107"/>
      <c r="H199" s="107"/>
      <c r="I199" s="102"/>
      <c r="J199" s="102"/>
      <c r="K199" s="100"/>
      <c r="L199" s="16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</row>
    <row r="200">
      <c r="A200" s="100"/>
      <c r="B200" s="100"/>
      <c r="C200" s="123" t="s">
        <v>96</v>
      </c>
      <c r="D200" s="120" t="s">
        <v>97</v>
      </c>
      <c r="E200" s="120" t="s">
        <v>98</v>
      </c>
      <c r="F200" s="120" t="s">
        <v>99</v>
      </c>
      <c r="G200" s="107"/>
      <c r="H200" s="124"/>
      <c r="I200" s="125" t="s">
        <v>100</v>
      </c>
      <c r="J200" s="23"/>
      <c r="K200" s="100"/>
      <c r="L200" s="16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</row>
    <row r="201">
      <c r="A201" s="100"/>
      <c r="B201" s="100"/>
      <c r="C201" s="129" t="s">
        <v>102</v>
      </c>
      <c r="D201" s="130"/>
      <c r="E201" s="130"/>
      <c r="F201" s="130"/>
      <c r="G201" s="107"/>
      <c r="H201" s="131"/>
      <c r="I201" s="132" t="s">
        <v>103</v>
      </c>
      <c r="J201" s="133">
        <v>1530.0</v>
      </c>
      <c r="K201" s="100"/>
      <c r="L201" s="16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</row>
    <row r="202">
      <c r="A202" s="100"/>
      <c r="B202" s="100"/>
      <c r="C202" s="129" t="s">
        <v>104</v>
      </c>
      <c r="D202" s="130"/>
      <c r="E202" s="130"/>
      <c r="F202" s="130"/>
      <c r="G202" s="107"/>
      <c r="H202" s="131"/>
      <c r="I202" s="132" t="s">
        <v>105</v>
      </c>
      <c r="J202" s="133">
        <v>120.0</v>
      </c>
      <c r="K202" s="100"/>
      <c r="L202" s="16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</row>
    <row r="203">
      <c r="A203" s="100"/>
      <c r="B203" s="100"/>
      <c r="C203" s="129" t="s">
        <v>106</v>
      </c>
      <c r="D203" s="130"/>
      <c r="E203" s="130"/>
      <c r="F203" s="130"/>
      <c r="G203" s="107"/>
      <c r="H203" s="131"/>
      <c r="I203" s="132" t="s">
        <v>107</v>
      </c>
      <c r="J203" s="133">
        <v>150.0</v>
      </c>
      <c r="K203" s="100"/>
      <c r="L203" s="16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</row>
    <row r="204">
      <c r="A204" s="100"/>
      <c r="B204" s="100"/>
      <c r="C204" s="129" t="s">
        <v>108</v>
      </c>
      <c r="D204" s="130"/>
      <c r="E204" s="130"/>
      <c r="F204" s="130"/>
      <c r="G204" s="107"/>
      <c r="H204" s="131"/>
      <c r="I204" s="132" t="s">
        <v>109</v>
      </c>
      <c r="J204" s="133">
        <v>50.0</v>
      </c>
      <c r="K204" s="100"/>
      <c r="L204" s="16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</row>
    <row r="205">
      <c r="A205" s="100"/>
      <c r="B205" s="100"/>
      <c r="C205" s="129" t="s">
        <v>110</v>
      </c>
      <c r="D205" s="130"/>
      <c r="E205" s="130"/>
      <c r="F205" s="130"/>
      <c r="G205" s="107"/>
      <c r="H205" s="107"/>
      <c r="I205" s="102"/>
      <c r="J205" s="102"/>
      <c r="K205" s="100"/>
      <c r="L205" s="16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</row>
    <row r="206">
      <c r="A206" s="100"/>
      <c r="B206" s="100"/>
      <c r="C206" s="129" t="s">
        <v>111</v>
      </c>
      <c r="D206" s="142"/>
      <c r="E206" s="130"/>
      <c r="F206" s="130"/>
      <c r="G206" s="107"/>
      <c r="H206" s="107"/>
      <c r="I206" s="102"/>
      <c r="J206" s="102"/>
      <c r="K206" s="100"/>
      <c r="L206" s="16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</row>
    <row r="207">
      <c r="A207" s="100"/>
      <c r="B207" s="100"/>
      <c r="C207" s="129" t="s">
        <v>112</v>
      </c>
      <c r="D207" s="142"/>
      <c r="E207" s="130"/>
      <c r="F207" s="142"/>
      <c r="G207" s="107"/>
      <c r="H207" s="107"/>
      <c r="I207" s="102"/>
      <c r="J207" s="102"/>
      <c r="K207" s="100"/>
      <c r="L207" s="16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</row>
    <row r="208">
      <c r="A208" s="100"/>
      <c r="B208" s="100"/>
      <c r="C208" s="143" t="s">
        <v>113</v>
      </c>
      <c r="D208" s="144" t="str">
        <f t="shared" ref="D208:F208" si="25">AVERAGE(D201:D207)</f>
        <v>#DIV/0!</v>
      </c>
      <c r="E208" s="144" t="str">
        <f t="shared" si="25"/>
        <v>#DIV/0!</v>
      </c>
      <c r="F208" s="144" t="str">
        <f t="shared" si="25"/>
        <v>#DIV/0!</v>
      </c>
      <c r="G208" s="107"/>
      <c r="H208" s="107"/>
      <c r="I208" s="102"/>
      <c r="J208" s="102"/>
      <c r="K208" s="100"/>
      <c r="L208" s="16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</row>
    <row r="209">
      <c r="A209" s="100"/>
      <c r="B209" s="100"/>
      <c r="C209" s="108"/>
      <c r="D209" s="108"/>
      <c r="E209" s="108"/>
      <c r="F209" s="108"/>
      <c r="G209" s="107"/>
      <c r="H209" s="107"/>
      <c r="I209" s="102"/>
      <c r="J209" s="102"/>
      <c r="K209" s="100"/>
      <c r="L209" s="16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</row>
    <row r="210">
      <c r="A210" s="100"/>
      <c r="B210" s="100"/>
      <c r="C210" s="146" t="s">
        <v>114</v>
      </c>
      <c r="D210" s="63"/>
      <c r="E210" s="63"/>
      <c r="F210" s="63"/>
      <c r="G210" s="23"/>
      <c r="H210" s="147"/>
      <c r="I210" s="50"/>
      <c r="J210" s="50"/>
      <c r="K210" s="100"/>
      <c r="L210" s="16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</row>
    <row r="211">
      <c r="A211" s="100"/>
      <c r="B211" s="100"/>
      <c r="C211" s="148" t="s">
        <v>91</v>
      </c>
      <c r="D211" s="148" t="s">
        <v>92</v>
      </c>
      <c r="E211" s="132" t="s">
        <v>93</v>
      </c>
      <c r="F211" s="148" t="s">
        <v>94</v>
      </c>
      <c r="G211" s="148" t="s">
        <v>95</v>
      </c>
      <c r="H211" s="147"/>
      <c r="I211" s="50"/>
      <c r="J211" s="50"/>
      <c r="K211" s="100"/>
      <c r="L211" s="16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</row>
    <row r="212">
      <c r="A212" s="100"/>
      <c r="B212" s="100"/>
      <c r="C212" s="149"/>
      <c r="D212" s="149"/>
      <c r="E212" s="149"/>
      <c r="F212" s="149"/>
      <c r="G212" s="149"/>
      <c r="H212" s="147"/>
      <c r="I212" s="50"/>
      <c r="J212" s="50"/>
      <c r="K212" s="100"/>
      <c r="L212" s="16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50"/>
      <c r="J213" s="50"/>
      <c r="K213" s="100"/>
      <c r="L213" s="16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50"/>
      <c r="J214" s="50"/>
      <c r="K214" s="100"/>
      <c r="L214" s="16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50"/>
      <c r="J215" s="50"/>
      <c r="K215" s="100"/>
      <c r="L215" s="16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50"/>
      <c r="J216" s="50"/>
      <c r="K216" s="100"/>
      <c r="L216" s="16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50"/>
      <c r="J217" s="50"/>
      <c r="K217" s="100"/>
      <c r="L217" s="16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50"/>
      <c r="J218" s="50"/>
      <c r="K218" s="100"/>
      <c r="L218" s="16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50"/>
      <c r="J219" s="50"/>
      <c r="K219" s="100"/>
      <c r="L219" s="16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50"/>
      <c r="J220" s="50"/>
      <c r="K220" s="100"/>
      <c r="L220" s="16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50"/>
      <c r="J221" s="50"/>
      <c r="K221" s="100"/>
      <c r="L221" s="16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50"/>
      <c r="J222" s="50"/>
      <c r="K222" s="100"/>
      <c r="L222" s="16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50"/>
      <c r="J223" s="50"/>
      <c r="K223" s="100"/>
      <c r="L223" s="16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50"/>
      <c r="J224" s="50"/>
      <c r="K224" s="100"/>
      <c r="L224" s="16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50"/>
      <c r="J225" s="50"/>
      <c r="K225" s="100"/>
      <c r="L225" s="16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50"/>
      <c r="J226" s="50"/>
      <c r="K226" s="100"/>
      <c r="L226" s="16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50"/>
      <c r="J227" s="50"/>
      <c r="K227" s="100"/>
      <c r="L227" s="16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50"/>
      <c r="J228" s="50"/>
      <c r="K228" s="100"/>
      <c r="L228" s="16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50"/>
      <c r="J229" s="50"/>
      <c r="K229" s="100"/>
      <c r="L229" s="16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50"/>
      <c r="J230" s="50"/>
      <c r="K230" s="100"/>
      <c r="L230" s="16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50"/>
      <c r="J231" s="50"/>
      <c r="K231" s="100"/>
      <c r="L231" s="16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50"/>
      <c r="J232" s="50"/>
      <c r="K232" s="100"/>
      <c r="L232" s="16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50"/>
      <c r="J233" s="50"/>
      <c r="K233" s="100"/>
      <c r="L233" s="16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50"/>
      <c r="J234" s="50"/>
      <c r="K234" s="100"/>
      <c r="L234" s="16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50"/>
      <c r="J235" s="50"/>
      <c r="K235" s="100"/>
      <c r="L235" s="16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50"/>
      <c r="J236" s="50"/>
      <c r="K236" s="100"/>
      <c r="L236" s="16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50"/>
      <c r="J237" s="50"/>
      <c r="K237" s="100"/>
      <c r="L237" s="16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50"/>
      <c r="J238" s="50"/>
      <c r="K238" s="100"/>
      <c r="L238" s="16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50"/>
      <c r="J239" s="50"/>
      <c r="K239" s="100"/>
      <c r="L239" s="16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50"/>
      <c r="J240" s="50"/>
      <c r="K240" s="100"/>
      <c r="L240" s="16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50"/>
      <c r="J241" s="50"/>
      <c r="K241" s="100"/>
      <c r="L241" s="16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50"/>
      <c r="J242" s="50"/>
      <c r="K242" s="100"/>
      <c r="L242" s="16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50"/>
      <c r="J243" s="50"/>
      <c r="K243" s="100"/>
      <c r="L243" s="16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50"/>
      <c r="J244" s="50"/>
      <c r="K244" s="100"/>
      <c r="L244" s="16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50"/>
      <c r="J245" s="50"/>
      <c r="K245" s="100"/>
      <c r="L245" s="16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50"/>
      <c r="J246" s="50"/>
      <c r="K246" s="100"/>
      <c r="L246" s="16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50"/>
      <c r="J247" s="50"/>
      <c r="K247" s="100"/>
      <c r="L247" s="16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50"/>
      <c r="J248" s="50"/>
      <c r="K248" s="100"/>
      <c r="L248" s="16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50"/>
      <c r="J249" s="50"/>
      <c r="K249" s="100"/>
      <c r="L249" s="16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50"/>
      <c r="J250" s="50"/>
      <c r="K250" s="100"/>
      <c r="L250" s="16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50"/>
      <c r="J251" s="50"/>
      <c r="K251" s="100"/>
      <c r="L251" s="16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50"/>
      <c r="J252" s="50"/>
      <c r="K252" s="100"/>
      <c r="L252" s="16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50"/>
      <c r="J253" s="50"/>
      <c r="K253" s="100"/>
      <c r="L253" s="16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50"/>
      <c r="J254" s="50"/>
      <c r="K254" s="100"/>
      <c r="L254" s="16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50"/>
      <c r="J255" s="50"/>
      <c r="K255" s="100"/>
      <c r="L255" s="16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50"/>
      <c r="J256" s="50"/>
      <c r="K256" s="100"/>
      <c r="L256" s="16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50"/>
      <c r="J257" s="50"/>
      <c r="K257" s="100"/>
      <c r="L257" s="16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50"/>
      <c r="J258" s="50"/>
      <c r="K258" s="100"/>
      <c r="L258" s="16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50"/>
      <c r="J259" s="50"/>
      <c r="K259" s="100"/>
      <c r="L259" s="16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50"/>
      <c r="J260" s="50"/>
      <c r="K260" s="100"/>
      <c r="L260" s="16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50"/>
      <c r="J261" s="50"/>
      <c r="K261" s="100"/>
      <c r="L261" s="16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50"/>
      <c r="J262" s="50"/>
      <c r="K262" s="100"/>
      <c r="L262" s="16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50"/>
      <c r="J263" s="50"/>
      <c r="K263" s="100"/>
      <c r="L263" s="16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50"/>
      <c r="J264" s="50"/>
      <c r="K264" s="100"/>
      <c r="L264" s="16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50"/>
      <c r="J265" s="50"/>
      <c r="K265" s="100"/>
      <c r="L265" s="16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50"/>
      <c r="J266" s="50"/>
      <c r="K266" s="100"/>
      <c r="L266" s="16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50"/>
      <c r="J267" s="50"/>
      <c r="K267" s="100"/>
      <c r="L267" s="16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50"/>
      <c r="J268" s="50"/>
      <c r="K268" s="100"/>
      <c r="L268" s="16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50"/>
      <c r="J269" s="50"/>
      <c r="K269" s="100"/>
      <c r="L269" s="16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50"/>
      <c r="J270" s="50"/>
      <c r="K270" s="100"/>
      <c r="L270" s="16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50"/>
      <c r="J271" s="50"/>
      <c r="K271" s="100"/>
      <c r="L271" s="16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50"/>
      <c r="J272" s="50"/>
      <c r="K272" s="100"/>
      <c r="L272" s="16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50"/>
      <c r="J273" s="50"/>
      <c r="K273" s="100"/>
      <c r="L273" s="16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50"/>
      <c r="J274" s="50"/>
      <c r="K274" s="100"/>
      <c r="L274" s="16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50"/>
      <c r="J275" s="50"/>
      <c r="K275" s="100"/>
      <c r="L275" s="16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50"/>
      <c r="J276" s="50"/>
      <c r="K276" s="100"/>
      <c r="L276" s="16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50"/>
      <c r="J277" s="50"/>
      <c r="K277" s="100"/>
      <c r="L277" s="16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50"/>
      <c r="J278" s="50"/>
      <c r="K278" s="100"/>
      <c r="L278" s="16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50"/>
      <c r="J279" s="50"/>
      <c r="K279" s="100"/>
      <c r="L279" s="16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50"/>
      <c r="J280" s="50"/>
      <c r="K280" s="100"/>
      <c r="L280" s="16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50"/>
      <c r="J281" s="50"/>
      <c r="K281" s="100"/>
      <c r="L281" s="16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50"/>
      <c r="J282" s="50"/>
      <c r="K282" s="100"/>
      <c r="L282" s="16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50"/>
      <c r="J283" s="50"/>
      <c r="K283" s="100"/>
      <c r="L283" s="16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50"/>
      <c r="J284" s="50"/>
      <c r="K284" s="100"/>
      <c r="L284" s="16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50"/>
      <c r="J285" s="50"/>
      <c r="K285" s="100"/>
      <c r="L285" s="16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50"/>
      <c r="J286" s="50"/>
      <c r="K286" s="100"/>
      <c r="L286" s="16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50"/>
      <c r="J287" s="50"/>
      <c r="K287" s="100"/>
      <c r="L287" s="16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50"/>
      <c r="J288" s="50"/>
      <c r="K288" s="100"/>
      <c r="L288" s="16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50"/>
      <c r="J289" s="50"/>
      <c r="K289" s="100"/>
      <c r="L289" s="16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50"/>
      <c r="J290" s="50"/>
      <c r="K290" s="100"/>
      <c r="L290" s="16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50"/>
      <c r="J291" s="50"/>
      <c r="K291" s="100"/>
      <c r="L291" s="16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50"/>
      <c r="J292" s="50"/>
      <c r="K292" s="100"/>
      <c r="L292" s="16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50"/>
      <c r="J293" s="50"/>
      <c r="K293" s="100"/>
      <c r="L293" s="16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50"/>
      <c r="J294" s="50"/>
      <c r="K294" s="100"/>
      <c r="L294" s="16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50"/>
      <c r="J295" s="50"/>
      <c r="K295" s="100"/>
      <c r="L295" s="16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50"/>
      <c r="J296" s="50"/>
      <c r="K296" s="100"/>
      <c r="L296" s="16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50"/>
      <c r="J297" s="50"/>
      <c r="K297" s="100"/>
      <c r="L297" s="16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50"/>
      <c r="J298" s="50"/>
      <c r="K298" s="100"/>
      <c r="L298" s="16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50"/>
      <c r="J299" s="50"/>
      <c r="K299" s="100"/>
      <c r="L299" s="16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50"/>
      <c r="J300" s="50"/>
      <c r="K300" s="100"/>
      <c r="L300" s="16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50"/>
      <c r="J301" s="50"/>
      <c r="K301" s="100"/>
      <c r="L301" s="16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50"/>
      <c r="J302" s="50"/>
      <c r="K302" s="100"/>
      <c r="L302" s="16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50"/>
      <c r="J303" s="50"/>
      <c r="K303" s="100"/>
      <c r="L303" s="16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50"/>
      <c r="J304" s="50"/>
      <c r="K304" s="100"/>
      <c r="L304" s="16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50"/>
      <c r="J305" s="50"/>
      <c r="K305" s="100"/>
      <c r="L305" s="16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50"/>
      <c r="J306" s="50"/>
      <c r="K306" s="100"/>
      <c r="L306" s="16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50"/>
      <c r="J307" s="50"/>
      <c r="K307" s="100"/>
      <c r="L307" s="16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50"/>
      <c r="J308" s="50"/>
      <c r="K308" s="100"/>
      <c r="L308" s="16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50"/>
      <c r="J309" s="50"/>
      <c r="K309" s="100"/>
      <c r="L309" s="16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50"/>
      <c r="J310" s="50"/>
      <c r="K310" s="100"/>
      <c r="L310" s="16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50"/>
      <c r="J311" s="50"/>
      <c r="K311" s="100"/>
      <c r="L311" s="16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50"/>
      <c r="J312" s="50"/>
      <c r="K312" s="100"/>
      <c r="L312" s="16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50"/>
      <c r="J313" s="50"/>
      <c r="K313" s="100"/>
      <c r="L313" s="16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50"/>
      <c r="J314" s="50"/>
      <c r="K314" s="100"/>
      <c r="L314" s="16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50"/>
      <c r="J315" s="50"/>
      <c r="K315" s="100"/>
      <c r="L315" s="16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50"/>
      <c r="J316" s="50"/>
      <c r="K316" s="100"/>
      <c r="L316" s="16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50"/>
      <c r="J317" s="50"/>
      <c r="K317" s="100"/>
      <c r="L317" s="16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50"/>
      <c r="J318" s="50"/>
      <c r="K318" s="100"/>
      <c r="L318" s="16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50"/>
      <c r="J319" s="50"/>
      <c r="K319" s="100"/>
      <c r="L319" s="16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50"/>
      <c r="J320" s="50"/>
      <c r="K320" s="100"/>
      <c r="L320" s="16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50"/>
      <c r="J321" s="50"/>
      <c r="K321" s="100"/>
      <c r="L321" s="16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50"/>
      <c r="J322" s="50"/>
      <c r="K322" s="100"/>
      <c r="L322" s="16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50"/>
      <c r="J323" s="50"/>
      <c r="K323" s="100"/>
      <c r="L323" s="16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50"/>
      <c r="J324" s="50"/>
      <c r="K324" s="100"/>
      <c r="L324" s="16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50"/>
      <c r="J325" s="50"/>
      <c r="K325" s="100"/>
      <c r="L325" s="16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50"/>
      <c r="J326" s="50"/>
      <c r="K326" s="100"/>
      <c r="L326" s="16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50"/>
      <c r="J327" s="50"/>
      <c r="K327" s="100"/>
      <c r="L327" s="16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50"/>
      <c r="J328" s="50"/>
      <c r="K328" s="100"/>
      <c r="L328" s="16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50"/>
      <c r="J329" s="50"/>
      <c r="K329" s="100"/>
      <c r="L329" s="16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50"/>
      <c r="J330" s="50"/>
      <c r="K330" s="100"/>
      <c r="L330" s="16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50"/>
      <c r="J331" s="50"/>
      <c r="K331" s="100"/>
      <c r="L331" s="16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50"/>
      <c r="J332" s="50"/>
      <c r="K332" s="100"/>
      <c r="L332" s="16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50"/>
      <c r="J333" s="50"/>
      <c r="K333" s="100"/>
      <c r="L333" s="16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50"/>
      <c r="J334" s="50"/>
      <c r="K334" s="100"/>
      <c r="L334" s="16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50"/>
      <c r="J335" s="50"/>
      <c r="K335" s="100"/>
      <c r="L335" s="16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50"/>
      <c r="J336" s="50"/>
      <c r="K336" s="100"/>
      <c r="L336" s="16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50"/>
      <c r="J337" s="50"/>
      <c r="K337" s="100"/>
      <c r="L337" s="16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50"/>
      <c r="J338" s="50"/>
      <c r="K338" s="100"/>
      <c r="L338" s="16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50"/>
      <c r="J339" s="50"/>
      <c r="K339" s="100"/>
      <c r="L339" s="16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50"/>
      <c r="J340" s="50"/>
      <c r="K340" s="100"/>
      <c r="L340" s="16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50"/>
      <c r="J341" s="50"/>
      <c r="K341" s="100"/>
      <c r="L341" s="16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50"/>
      <c r="J342" s="50"/>
      <c r="K342" s="100"/>
      <c r="L342" s="16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50"/>
      <c r="J343" s="50"/>
      <c r="K343" s="100"/>
      <c r="L343" s="16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50"/>
      <c r="J344" s="50"/>
      <c r="K344" s="100"/>
      <c r="L344" s="16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50"/>
      <c r="J345" s="50"/>
      <c r="K345" s="100"/>
      <c r="L345" s="16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50"/>
      <c r="J346" s="50"/>
      <c r="K346" s="100"/>
      <c r="L346" s="16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50"/>
      <c r="J347" s="50"/>
      <c r="K347" s="100"/>
      <c r="L347" s="16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50"/>
      <c r="J348" s="50"/>
      <c r="K348" s="100"/>
      <c r="L348" s="16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50"/>
      <c r="J349" s="50"/>
      <c r="K349" s="100"/>
      <c r="L349" s="16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50"/>
      <c r="J350" s="50"/>
      <c r="K350" s="100"/>
      <c r="L350" s="16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50"/>
      <c r="J351" s="50"/>
      <c r="K351" s="100"/>
      <c r="L351" s="16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50"/>
      <c r="J352" s="50"/>
      <c r="K352" s="100"/>
      <c r="L352" s="16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50"/>
      <c r="J353" s="50"/>
      <c r="K353" s="100"/>
      <c r="L353" s="16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50"/>
      <c r="J354" s="50"/>
      <c r="K354" s="100"/>
      <c r="L354" s="16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50"/>
      <c r="J355" s="50"/>
      <c r="K355" s="100"/>
      <c r="L355" s="16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50"/>
      <c r="J356" s="50"/>
      <c r="K356" s="100"/>
      <c r="L356" s="16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50"/>
      <c r="J357" s="50"/>
      <c r="K357" s="100"/>
      <c r="L357" s="16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50"/>
      <c r="J358" s="50"/>
      <c r="K358" s="100"/>
      <c r="L358" s="16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50"/>
      <c r="J359" s="50"/>
      <c r="K359" s="100"/>
      <c r="L359" s="16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50"/>
      <c r="J360" s="50"/>
      <c r="K360" s="100"/>
      <c r="L360" s="16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50"/>
      <c r="J361" s="50"/>
      <c r="K361" s="100"/>
      <c r="L361" s="16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50"/>
      <c r="J362" s="50"/>
      <c r="K362" s="100"/>
      <c r="L362" s="16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50"/>
      <c r="J363" s="50"/>
      <c r="K363" s="100"/>
      <c r="L363" s="16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50"/>
      <c r="J364" s="50"/>
      <c r="K364" s="100"/>
      <c r="L364" s="16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50"/>
      <c r="J365" s="50"/>
      <c r="K365" s="100"/>
      <c r="L365" s="16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50"/>
      <c r="J366" s="50"/>
      <c r="K366" s="100"/>
      <c r="L366" s="16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50"/>
      <c r="J367" s="50"/>
      <c r="K367" s="100"/>
      <c r="L367" s="16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50"/>
      <c r="J368" s="50"/>
      <c r="K368" s="100"/>
      <c r="L368" s="16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50"/>
      <c r="J369" s="50"/>
      <c r="K369" s="100"/>
      <c r="L369" s="16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50"/>
      <c r="J370" s="50"/>
      <c r="K370" s="100"/>
      <c r="L370" s="16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50"/>
      <c r="J371" s="50"/>
      <c r="K371" s="100"/>
      <c r="L371" s="16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50"/>
      <c r="J372" s="50"/>
      <c r="K372" s="100"/>
      <c r="L372" s="16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50"/>
      <c r="J373" s="50"/>
      <c r="K373" s="100"/>
      <c r="L373" s="16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50"/>
      <c r="J374" s="50"/>
      <c r="K374" s="100"/>
      <c r="L374" s="16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50"/>
      <c r="J375" s="50"/>
      <c r="K375" s="100"/>
      <c r="L375" s="16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50"/>
      <c r="J376" s="50"/>
      <c r="K376" s="100"/>
      <c r="L376" s="16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50"/>
      <c r="J377" s="50"/>
      <c r="K377" s="100"/>
      <c r="L377" s="16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50"/>
      <c r="J378" s="50"/>
      <c r="K378" s="100"/>
      <c r="L378" s="16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50"/>
      <c r="J379" s="50"/>
      <c r="K379" s="100"/>
      <c r="L379" s="16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50"/>
      <c r="J380" s="50"/>
      <c r="K380" s="100"/>
      <c r="L380" s="16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50"/>
      <c r="J381" s="50"/>
      <c r="K381" s="100"/>
      <c r="L381" s="16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50"/>
      <c r="J382" s="50"/>
      <c r="K382" s="100"/>
      <c r="L382" s="16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50"/>
      <c r="J383" s="50"/>
      <c r="K383" s="100"/>
      <c r="L383" s="16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50"/>
      <c r="J384" s="50"/>
      <c r="K384" s="100"/>
      <c r="L384" s="16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50"/>
      <c r="J385" s="50"/>
      <c r="K385" s="100"/>
      <c r="L385" s="16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50"/>
      <c r="J386" s="50"/>
      <c r="K386" s="100"/>
      <c r="L386" s="16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50"/>
      <c r="J387" s="50"/>
      <c r="K387" s="100"/>
      <c r="L387" s="16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50"/>
      <c r="J388" s="50"/>
      <c r="K388" s="100"/>
      <c r="L388" s="16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50"/>
      <c r="J389" s="50"/>
      <c r="K389" s="100"/>
      <c r="L389" s="16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50"/>
      <c r="J390" s="50"/>
      <c r="K390" s="100"/>
      <c r="L390" s="16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50"/>
      <c r="J391" s="50"/>
      <c r="K391" s="100"/>
      <c r="L391" s="16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50"/>
      <c r="J392" s="50"/>
      <c r="K392" s="100"/>
      <c r="L392" s="16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50"/>
      <c r="J393" s="50"/>
      <c r="K393" s="100"/>
      <c r="L393" s="16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50"/>
      <c r="J394" s="50"/>
      <c r="K394" s="100"/>
      <c r="L394" s="16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50"/>
      <c r="J395" s="50"/>
      <c r="K395" s="100"/>
      <c r="L395" s="16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50"/>
      <c r="J396" s="50"/>
      <c r="K396" s="100"/>
      <c r="L396" s="16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50"/>
      <c r="J397" s="50"/>
      <c r="K397" s="100"/>
      <c r="L397" s="16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50"/>
      <c r="J398" s="50"/>
      <c r="K398" s="100"/>
      <c r="L398" s="16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50"/>
      <c r="J399" s="50"/>
      <c r="K399" s="100"/>
      <c r="L399" s="16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50"/>
      <c r="J400" s="50"/>
      <c r="K400" s="100"/>
      <c r="L400" s="16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50"/>
      <c r="J401" s="50"/>
      <c r="K401" s="100"/>
      <c r="L401" s="16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50"/>
      <c r="J402" s="50"/>
      <c r="K402" s="100"/>
      <c r="L402" s="16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50"/>
      <c r="J403" s="50"/>
      <c r="K403" s="100"/>
      <c r="L403" s="16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50"/>
      <c r="J404" s="50"/>
      <c r="K404" s="100"/>
      <c r="L404" s="16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50"/>
      <c r="J405" s="50"/>
      <c r="K405" s="100"/>
      <c r="L405" s="16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50"/>
      <c r="J406" s="50"/>
      <c r="K406" s="100"/>
      <c r="L406" s="16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50"/>
      <c r="J407" s="50"/>
      <c r="K407" s="100"/>
      <c r="L407" s="16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50"/>
      <c r="J408" s="50"/>
      <c r="K408" s="100"/>
      <c r="L408" s="16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50"/>
      <c r="J409" s="50"/>
      <c r="K409" s="100"/>
      <c r="L409" s="16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50"/>
      <c r="J410" s="50"/>
      <c r="K410" s="100"/>
      <c r="L410" s="16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50"/>
      <c r="J411" s="50"/>
      <c r="K411" s="100"/>
      <c r="L411" s="16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50"/>
      <c r="J412" s="50"/>
      <c r="K412" s="100"/>
      <c r="L412" s="16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50"/>
      <c r="J413" s="50"/>
      <c r="K413" s="100"/>
      <c r="L413" s="16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50"/>
      <c r="J414" s="50"/>
      <c r="K414" s="100"/>
      <c r="L414" s="16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50"/>
      <c r="J415" s="50"/>
      <c r="K415" s="100"/>
      <c r="L415" s="16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50"/>
      <c r="J416" s="50"/>
      <c r="K416" s="100"/>
      <c r="L416" s="16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50"/>
      <c r="J417" s="50"/>
      <c r="K417" s="100"/>
      <c r="L417" s="16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50"/>
      <c r="J418" s="50"/>
      <c r="K418" s="100"/>
      <c r="L418" s="16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50"/>
      <c r="J419" s="50"/>
      <c r="K419" s="100"/>
      <c r="L419" s="16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50"/>
      <c r="J420" s="50"/>
      <c r="K420" s="100"/>
      <c r="L420" s="16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50"/>
      <c r="J421" s="50"/>
      <c r="K421" s="100"/>
      <c r="L421" s="16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50"/>
      <c r="J422" s="50"/>
      <c r="K422" s="100"/>
      <c r="L422" s="16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50"/>
      <c r="J423" s="50"/>
      <c r="K423" s="100"/>
      <c r="L423" s="16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50"/>
      <c r="J424" s="50"/>
      <c r="K424" s="100"/>
      <c r="L424" s="16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50"/>
      <c r="J425" s="50"/>
      <c r="K425" s="100"/>
      <c r="L425" s="16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50"/>
      <c r="J426" s="50"/>
      <c r="K426" s="100"/>
      <c r="L426" s="16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50"/>
      <c r="J427" s="50"/>
      <c r="K427" s="100"/>
      <c r="L427" s="16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50"/>
      <c r="J428" s="50"/>
      <c r="K428" s="100"/>
      <c r="L428" s="16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50"/>
      <c r="J429" s="50"/>
      <c r="K429" s="100"/>
      <c r="L429" s="16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50"/>
      <c r="J430" s="50"/>
      <c r="K430" s="100"/>
      <c r="L430" s="16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50"/>
      <c r="J431" s="50"/>
      <c r="K431" s="100"/>
      <c r="L431" s="16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50"/>
      <c r="J432" s="50"/>
      <c r="K432" s="100"/>
      <c r="L432" s="16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50"/>
      <c r="J433" s="50"/>
      <c r="K433" s="100"/>
      <c r="L433" s="16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50"/>
      <c r="J434" s="50"/>
      <c r="K434" s="100"/>
      <c r="L434" s="16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50"/>
      <c r="J435" s="50"/>
      <c r="K435" s="100"/>
      <c r="L435" s="16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50"/>
      <c r="J436" s="50"/>
      <c r="K436" s="100"/>
      <c r="L436" s="16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50"/>
      <c r="J437" s="50"/>
      <c r="K437" s="100"/>
      <c r="L437" s="16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50"/>
      <c r="J438" s="50"/>
      <c r="K438" s="100"/>
      <c r="L438" s="16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50"/>
      <c r="J439" s="50"/>
      <c r="K439" s="100"/>
      <c r="L439" s="16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50"/>
      <c r="J440" s="50"/>
      <c r="K440" s="100"/>
      <c r="L440" s="16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50"/>
      <c r="J441" s="50"/>
      <c r="K441" s="100"/>
      <c r="L441" s="16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50"/>
      <c r="J442" s="50"/>
      <c r="K442" s="100"/>
      <c r="L442" s="16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50"/>
      <c r="J443" s="50"/>
      <c r="K443" s="100"/>
      <c r="L443" s="16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50"/>
      <c r="J444" s="50"/>
      <c r="K444" s="100"/>
      <c r="L444" s="16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50"/>
      <c r="J445" s="50"/>
      <c r="K445" s="100"/>
      <c r="L445" s="16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50"/>
      <c r="J446" s="50"/>
      <c r="K446" s="100"/>
      <c r="L446" s="16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50"/>
      <c r="J447" s="50"/>
      <c r="K447" s="100"/>
      <c r="L447" s="16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50"/>
      <c r="J448" s="50"/>
      <c r="K448" s="100"/>
      <c r="L448" s="16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50"/>
      <c r="J449" s="50"/>
      <c r="K449" s="100"/>
      <c r="L449" s="16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50"/>
      <c r="J450" s="50"/>
      <c r="K450" s="100"/>
      <c r="L450" s="16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50"/>
      <c r="J451" s="50"/>
      <c r="K451" s="100"/>
      <c r="L451" s="16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50"/>
      <c r="J452" s="50"/>
      <c r="K452" s="100"/>
      <c r="L452" s="16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50"/>
      <c r="J453" s="50"/>
      <c r="K453" s="100"/>
      <c r="L453" s="16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50"/>
      <c r="J454" s="50"/>
      <c r="K454" s="100"/>
      <c r="L454" s="16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50"/>
      <c r="J455" s="50"/>
      <c r="K455" s="100"/>
      <c r="L455" s="16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50"/>
      <c r="J456" s="50"/>
      <c r="K456" s="100"/>
      <c r="L456" s="16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50"/>
      <c r="J457" s="50"/>
      <c r="K457" s="100"/>
      <c r="L457" s="16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50"/>
      <c r="J458" s="50"/>
      <c r="K458" s="100"/>
      <c r="L458" s="16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50"/>
      <c r="J459" s="50"/>
      <c r="K459" s="100"/>
      <c r="L459" s="16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50"/>
      <c r="J460" s="50"/>
      <c r="K460" s="100"/>
      <c r="L460" s="16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50"/>
      <c r="J461" s="50"/>
      <c r="K461" s="100"/>
      <c r="L461" s="16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50"/>
      <c r="J462" s="50"/>
      <c r="K462" s="100"/>
      <c r="L462" s="16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50"/>
      <c r="J463" s="50"/>
      <c r="K463" s="100"/>
      <c r="L463" s="16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50"/>
      <c r="J464" s="50"/>
      <c r="K464" s="100"/>
      <c r="L464" s="16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50"/>
      <c r="J465" s="50"/>
      <c r="K465" s="100"/>
      <c r="L465" s="16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50"/>
      <c r="J466" s="50"/>
      <c r="K466" s="100"/>
      <c r="L466" s="16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50"/>
      <c r="J467" s="50"/>
      <c r="K467" s="100"/>
      <c r="L467" s="16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50"/>
      <c r="J468" s="50"/>
      <c r="K468" s="100"/>
      <c r="L468" s="16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50"/>
      <c r="J469" s="50"/>
      <c r="K469" s="100"/>
      <c r="L469" s="16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50"/>
      <c r="J470" s="50"/>
      <c r="K470" s="100"/>
      <c r="L470" s="16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50"/>
      <c r="J471" s="50"/>
      <c r="K471" s="100"/>
      <c r="L471" s="16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50"/>
      <c r="J472" s="50"/>
      <c r="K472" s="100"/>
      <c r="L472" s="16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50"/>
      <c r="J473" s="50"/>
      <c r="K473" s="100"/>
      <c r="L473" s="16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50"/>
      <c r="J474" s="50"/>
      <c r="K474" s="100"/>
      <c r="L474" s="16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50"/>
      <c r="J475" s="50"/>
      <c r="K475" s="100"/>
      <c r="L475" s="16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50"/>
      <c r="J476" s="50"/>
      <c r="K476" s="100"/>
      <c r="L476" s="16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50"/>
      <c r="J477" s="50"/>
      <c r="K477" s="100"/>
      <c r="L477" s="16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50"/>
      <c r="J478" s="50"/>
      <c r="K478" s="100"/>
      <c r="L478" s="16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50"/>
      <c r="J479" s="50"/>
      <c r="K479" s="100"/>
      <c r="L479" s="16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50"/>
      <c r="J480" s="50"/>
      <c r="K480" s="100"/>
      <c r="L480" s="16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50"/>
      <c r="J481" s="50"/>
      <c r="K481" s="100"/>
      <c r="L481" s="16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50"/>
      <c r="J482" s="50"/>
      <c r="K482" s="100"/>
      <c r="L482" s="16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50"/>
      <c r="J483" s="50"/>
      <c r="K483" s="100"/>
      <c r="L483" s="16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50"/>
      <c r="J484" s="50"/>
      <c r="K484" s="100"/>
      <c r="L484" s="16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50"/>
      <c r="J485" s="50"/>
      <c r="K485" s="100"/>
      <c r="L485" s="16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50"/>
      <c r="J486" s="50"/>
      <c r="K486" s="100"/>
      <c r="L486" s="16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50"/>
      <c r="J487" s="50"/>
      <c r="K487" s="100"/>
      <c r="L487" s="16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50"/>
      <c r="J488" s="50"/>
      <c r="K488" s="100"/>
      <c r="L488" s="16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50"/>
      <c r="J489" s="50"/>
      <c r="K489" s="100"/>
      <c r="L489" s="16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50"/>
      <c r="J490" s="50"/>
      <c r="K490" s="100"/>
      <c r="L490" s="16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50"/>
      <c r="J491" s="50"/>
      <c r="K491" s="100"/>
      <c r="L491" s="16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50"/>
      <c r="J492" s="50"/>
      <c r="K492" s="100"/>
      <c r="L492" s="16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50"/>
      <c r="J493" s="50"/>
      <c r="K493" s="100"/>
      <c r="L493" s="16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50"/>
      <c r="J494" s="50"/>
      <c r="K494" s="100"/>
      <c r="L494" s="16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50"/>
      <c r="J495" s="50"/>
      <c r="K495" s="100"/>
      <c r="L495" s="16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50"/>
      <c r="J496" s="50"/>
      <c r="K496" s="100"/>
      <c r="L496" s="16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50"/>
      <c r="J497" s="50"/>
      <c r="K497" s="100"/>
      <c r="L497" s="16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50"/>
      <c r="J498" s="50"/>
      <c r="K498" s="100"/>
      <c r="L498" s="16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50"/>
      <c r="J499" s="50"/>
      <c r="K499" s="100"/>
      <c r="L499" s="16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50"/>
      <c r="J500" s="50"/>
      <c r="K500" s="100"/>
      <c r="L500" s="16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50"/>
      <c r="J501" s="50"/>
      <c r="K501" s="100"/>
      <c r="L501" s="16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50"/>
      <c r="J502" s="50"/>
      <c r="K502" s="100"/>
      <c r="L502" s="16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50"/>
      <c r="J503" s="50"/>
      <c r="K503" s="100"/>
      <c r="L503" s="16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50"/>
      <c r="J504" s="50"/>
      <c r="K504" s="100"/>
      <c r="L504" s="16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50"/>
      <c r="J505" s="50"/>
      <c r="K505" s="100"/>
      <c r="L505" s="16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50"/>
      <c r="J506" s="50"/>
      <c r="K506" s="100"/>
      <c r="L506" s="16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50"/>
      <c r="J507" s="50"/>
      <c r="K507" s="100"/>
      <c r="L507" s="16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50"/>
      <c r="J508" s="50"/>
      <c r="K508" s="100"/>
      <c r="L508" s="16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50"/>
      <c r="J509" s="50"/>
      <c r="K509" s="100"/>
      <c r="L509" s="16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50"/>
      <c r="J510" s="50"/>
      <c r="K510" s="100"/>
      <c r="L510" s="16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50"/>
      <c r="J511" s="50"/>
      <c r="K511" s="100"/>
      <c r="L511" s="16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50"/>
      <c r="J512" s="50"/>
      <c r="K512" s="100"/>
      <c r="L512" s="16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50"/>
      <c r="J513" s="50"/>
      <c r="K513" s="100"/>
      <c r="L513" s="16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50"/>
      <c r="J514" s="50"/>
      <c r="K514" s="100"/>
      <c r="L514" s="16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50"/>
      <c r="J515" s="50"/>
      <c r="K515" s="100"/>
      <c r="L515" s="16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50"/>
      <c r="J516" s="50"/>
      <c r="K516" s="100"/>
      <c r="L516" s="16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50"/>
      <c r="J517" s="50"/>
      <c r="K517" s="100"/>
      <c r="L517" s="16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50"/>
      <c r="J518" s="50"/>
      <c r="K518" s="100"/>
      <c r="L518" s="16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50"/>
      <c r="J519" s="50"/>
      <c r="K519" s="100"/>
      <c r="L519" s="16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50"/>
      <c r="J520" s="50"/>
      <c r="K520" s="100"/>
      <c r="L520" s="16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50"/>
      <c r="J521" s="50"/>
      <c r="K521" s="100"/>
      <c r="L521" s="16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50"/>
      <c r="J522" s="50"/>
      <c r="K522" s="100"/>
      <c r="L522" s="16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50"/>
      <c r="J523" s="50"/>
      <c r="K523" s="100"/>
      <c r="L523" s="16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50"/>
      <c r="J524" s="50"/>
      <c r="K524" s="100"/>
      <c r="L524" s="16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50"/>
      <c r="J525" s="50"/>
      <c r="K525" s="100"/>
      <c r="L525" s="16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50"/>
      <c r="J526" s="50"/>
      <c r="K526" s="100"/>
      <c r="L526" s="16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50"/>
      <c r="J527" s="50"/>
      <c r="K527" s="100"/>
      <c r="L527" s="16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50"/>
      <c r="J528" s="50"/>
      <c r="K528" s="100"/>
      <c r="L528" s="16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50"/>
      <c r="J529" s="50"/>
      <c r="K529" s="100"/>
      <c r="L529" s="16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50"/>
      <c r="J530" s="50"/>
      <c r="K530" s="100"/>
      <c r="L530" s="16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50"/>
      <c r="J531" s="50"/>
      <c r="K531" s="100"/>
      <c r="L531" s="16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50"/>
      <c r="J532" s="50"/>
      <c r="K532" s="100"/>
      <c r="L532" s="16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50"/>
      <c r="J533" s="50"/>
      <c r="K533" s="100"/>
      <c r="L533" s="16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50"/>
      <c r="J534" s="50"/>
      <c r="K534" s="100"/>
      <c r="L534" s="16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50"/>
      <c r="J535" s="50"/>
      <c r="K535" s="100"/>
      <c r="L535" s="16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50"/>
      <c r="J536" s="50"/>
      <c r="K536" s="100"/>
      <c r="L536" s="16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50"/>
      <c r="J537" s="50"/>
      <c r="K537" s="100"/>
      <c r="L537" s="16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50"/>
      <c r="J538" s="50"/>
      <c r="K538" s="100"/>
      <c r="L538" s="16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50"/>
      <c r="J539" s="50"/>
      <c r="K539" s="100"/>
      <c r="L539" s="16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50"/>
      <c r="J540" s="50"/>
      <c r="K540" s="100"/>
      <c r="L540" s="16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50"/>
      <c r="J541" s="50"/>
      <c r="K541" s="100"/>
      <c r="L541" s="16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50"/>
      <c r="J542" s="50"/>
      <c r="K542" s="100"/>
      <c r="L542" s="16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50"/>
      <c r="J543" s="50"/>
      <c r="K543" s="100"/>
      <c r="L543" s="16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50"/>
      <c r="J544" s="50"/>
      <c r="K544" s="100"/>
      <c r="L544" s="16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50"/>
      <c r="J545" s="50"/>
      <c r="K545" s="100"/>
      <c r="L545" s="16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50"/>
      <c r="J546" s="50"/>
      <c r="K546" s="100"/>
      <c r="L546" s="16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50"/>
      <c r="J547" s="50"/>
      <c r="K547" s="100"/>
      <c r="L547" s="16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50"/>
      <c r="J548" s="50"/>
      <c r="K548" s="100"/>
      <c r="L548" s="16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50"/>
      <c r="J549" s="50"/>
      <c r="K549" s="100"/>
      <c r="L549" s="16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50"/>
      <c r="J550" s="50"/>
      <c r="K550" s="100"/>
      <c r="L550" s="16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50"/>
      <c r="J551" s="50"/>
      <c r="K551" s="100"/>
      <c r="L551" s="16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50"/>
      <c r="J552" s="50"/>
      <c r="K552" s="100"/>
      <c r="L552" s="16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50"/>
      <c r="J553" s="50"/>
      <c r="K553" s="100"/>
      <c r="L553" s="16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50"/>
      <c r="J554" s="50"/>
      <c r="K554" s="100"/>
      <c r="L554" s="16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50"/>
      <c r="J555" s="50"/>
      <c r="K555" s="100"/>
      <c r="L555" s="16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50"/>
      <c r="J556" s="50"/>
      <c r="K556" s="100"/>
      <c r="L556" s="16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50"/>
      <c r="J557" s="50"/>
      <c r="K557" s="100"/>
      <c r="L557" s="16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50"/>
      <c r="J558" s="50"/>
      <c r="K558" s="100"/>
      <c r="L558" s="16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50"/>
      <c r="J559" s="50"/>
      <c r="K559" s="100"/>
      <c r="L559" s="16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50"/>
      <c r="J560" s="50"/>
      <c r="K560" s="100"/>
      <c r="L560" s="16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50"/>
      <c r="J561" s="50"/>
      <c r="K561" s="100"/>
      <c r="L561" s="16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50"/>
      <c r="J562" s="50"/>
      <c r="K562" s="100"/>
      <c r="L562" s="16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50"/>
      <c r="J563" s="50"/>
      <c r="K563" s="100"/>
      <c r="L563" s="16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50"/>
      <c r="J564" s="50"/>
      <c r="K564" s="100"/>
      <c r="L564" s="16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50"/>
      <c r="J565" s="50"/>
      <c r="K565" s="100"/>
      <c r="L565" s="16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50"/>
      <c r="J566" s="50"/>
      <c r="K566" s="100"/>
      <c r="L566" s="16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50"/>
      <c r="J567" s="50"/>
      <c r="K567" s="100"/>
      <c r="L567" s="16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50"/>
      <c r="J568" s="50"/>
      <c r="K568" s="100"/>
      <c r="L568" s="16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50"/>
      <c r="J569" s="50"/>
      <c r="K569" s="100"/>
      <c r="L569" s="16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50"/>
      <c r="J570" s="50"/>
      <c r="K570" s="100"/>
      <c r="L570" s="16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50"/>
      <c r="J571" s="50"/>
      <c r="K571" s="100"/>
      <c r="L571" s="16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50"/>
      <c r="J572" s="50"/>
      <c r="K572" s="100"/>
      <c r="L572" s="16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50"/>
      <c r="J573" s="50"/>
      <c r="K573" s="100"/>
      <c r="L573" s="16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50"/>
      <c r="J574" s="50"/>
      <c r="K574" s="100"/>
      <c r="L574" s="16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50"/>
      <c r="J575" s="50"/>
      <c r="K575" s="100"/>
      <c r="L575" s="16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50"/>
      <c r="J576" s="50"/>
      <c r="K576" s="100"/>
      <c r="L576" s="16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50"/>
      <c r="J577" s="50"/>
      <c r="K577" s="100"/>
      <c r="L577" s="16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50"/>
      <c r="J578" s="50"/>
      <c r="K578" s="100"/>
      <c r="L578" s="16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50"/>
      <c r="J579" s="50"/>
      <c r="K579" s="100"/>
      <c r="L579" s="16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50"/>
      <c r="J580" s="50"/>
      <c r="K580" s="100"/>
      <c r="L580" s="16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50"/>
      <c r="J581" s="50"/>
      <c r="K581" s="100"/>
      <c r="L581" s="16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50"/>
      <c r="J582" s="50"/>
      <c r="K582" s="100"/>
      <c r="L582" s="16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50"/>
      <c r="J583" s="50"/>
      <c r="K583" s="100"/>
      <c r="L583" s="16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50"/>
      <c r="J584" s="50"/>
      <c r="K584" s="100"/>
      <c r="L584" s="16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50"/>
      <c r="J585" s="50"/>
      <c r="K585" s="100"/>
      <c r="L585" s="16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50"/>
      <c r="J586" s="50"/>
      <c r="K586" s="100"/>
      <c r="L586" s="16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50"/>
      <c r="J587" s="50"/>
      <c r="K587" s="100"/>
      <c r="L587" s="16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50"/>
      <c r="J588" s="50"/>
      <c r="K588" s="100"/>
      <c r="L588" s="16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50"/>
      <c r="J589" s="50"/>
      <c r="K589" s="100"/>
      <c r="L589" s="16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50"/>
      <c r="J590" s="50"/>
      <c r="K590" s="100"/>
      <c r="L590" s="16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50"/>
      <c r="J591" s="50"/>
      <c r="K591" s="100"/>
      <c r="L591" s="16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50"/>
      <c r="J592" s="50"/>
      <c r="K592" s="100"/>
      <c r="L592" s="16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50"/>
      <c r="J593" s="50"/>
      <c r="K593" s="100"/>
      <c r="L593" s="16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50"/>
      <c r="J594" s="50"/>
      <c r="K594" s="100"/>
      <c r="L594" s="16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50"/>
      <c r="J595" s="50"/>
      <c r="K595" s="100"/>
      <c r="L595" s="16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50"/>
      <c r="J596" s="50"/>
      <c r="K596" s="100"/>
      <c r="L596" s="16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50"/>
      <c r="J597" s="50"/>
      <c r="K597" s="100"/>
      <c r="L597" s="16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50"/>
      <c r="J598" s="50"/>
      <c r="K598" s="100"/>
      <c r="L598" s="16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50"/>
      <c r="J599" s="50"/>
      <c r="K599" s="100"/>
      <c r="L599" s="16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50"/>
      <c r="J600" s="50"/>
      <c r="K600" s="100"/>
      <c r="L600" s="16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50"/>
      <c r="J601" s="50"/>
      <c r="K601" s="100"/>
      <c r="L601" s="16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50"/>
      <c r="J602" s="50"/>
      <c r="K602" s="100"/>
      <c r="L602" s="16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50"/>
      <c r="J603" s="50"/>
      <c r="K603" s="100"/>
      <c r="L603" s="16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50"/>
      <c r="J604" s="50"/>
      <c r="K604" s="100"/>
      <c r="L604" s="16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50"/>
      <c r="J605" s="50"/>
      <c r="K605" s="100"/>
      <c r="L605" s="16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50"/>
      <c r="J606" s="50"/>
      <c r="K606" s="100"/>
      <c r="L606" s="16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50"/>
      <c r="J607" s="50"/>
      <c r="K607" s="100"/>
      <c r="L607" s="16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50"/>
      <c r="J608" s="50"/>
      <c r="K608" s="100"/>
      <c r="L608" s="16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50"/>
      <c r="J609" s="50"/>
      <c r="K609" s="100"/>
      <c r="L609" s="16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50"/>
      <c r="J610" s="50"/>
      <c r="K610" s="100"/>
      <c r="L610" s="16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50"/>
      <c r="J611" s="50"/>
      <c r="K611" s="100"/>
      <c r="L611" s="16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50"/>
      <c r="J612" s="50"/>
      <c r="K612" s="100"/>
      <c r="L612" s="16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50"/>
      <c r="J613" s="50"/>
      <c r="K613" s="100"/>
      <c r="L613" s="16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50"/>
      <c r="J614" s="50"/>
      <c r="K614" s="100"/>
      <c r="L614" s="16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50"/>
      <c r="J615" s="50"/>
      <c r="K615" s="100"/>
      <c r="L615" s="16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50"/>
      <c r="J616" s="50"/>
      <c r="K616" s="100"/>
      <c r="L616" s="16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50"/>
      <c r="J617" s="50"/>
      <c r="K617" s="100"/>
      <c r="L617" s="16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50"/>
      <c r="J618" s="50"/>
      <c r="K618" s="100"/>
      <c r="L618" s="16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50"/>
      <c r="J619" s="50"/>
      <c r="K619" s="100"/>
      <c r="L619" s="16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50"/>
      <c r="J620" s="50"/>
      <c r="K620" s="100"/>
      <c r="L620" s="16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50"/>
      <c r="J621" s="50"/>
      <c r="K621" s="100"/>
      <c r="L621" s="16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50"/>
      <c r="J622" s="50"/>
      <c r="K622" s="100"/>
      <c r="L622" s="16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50"/>
      <c r="J623" s="50"/>
      <c r="K623" s="100"/>
      <c r="L623" s="16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50"/>
      <c r="J624" s="50"/>
      <c r="K624" s="100"/>
      <c r="L624" s="16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50"/>
      <c r="J625" s="50"/>
      <c r="K625" s="100"/>
      <c r="L625" s="16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50"/>
      <c r="J626" s="50"/>
      <c r="K626" s="100"/>
      <c r="L626" s="16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50"/>
      <c r="J627" s="50"/>
      <c r="K627" s="100"/>
      <c r="L627" s="16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50"/>
      <c r="J628" s="50"/>
      <c r="K628" s="100"/>
      <c r="L628" s="16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50"/>
      <c r="J629" s="50"/>
      <c r="K629" s="100"/>
      <c r="L629" s="16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50"/>
      <c r="J630" s="50"/>
      <c r="K630" s="100"/>
      <c r="L630" s="16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50"/>
      <c r="J631" s="50"/>
      <c r="K631" s="100"/>
      <c r="L631" s="16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50"/>
      <c r="J632" s="50"/>
      <c r="K632" s="100"/>
      <c r="L632" s="16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50"/>
      <c r="J633" s="50"/>
      <c r="K633" s="100"/>
      <c r="L633" s="16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50"/>
      <c r="J634" s="50"/>
      <c r="K634" s="100"/>
      <c r="L634" s="16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50"/>
      <c r="J635" s="50"/>
      <c r="K635" s="100"/>
      <c r="L635" s="16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50"/>
      <c r="J636" s="50"/>
      <c r="K636" s="100"/>
      <c r="L636" s="16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50"/>
      <c r="J637" s="50"/>
      <c r="K637" s="100"/>
      <c r="L637" s="16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50"/>
      <c r="J638" s="50"/>
      <c r="K638" s="100"/>
      <c r="L638" s="16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50"/>
      <c r="J639" s="50"/>
      <c r="K639" s="100"/>
      <c r="L639" s="16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50"/>
      <c r="J640" s="50"/>
      <c r="K640" s="100"/>
      <c r="L640" s="16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50"/>
      <c r="J641" s="50"/>
      <c r="K641" s="100"/>
      <c r="L641" s="16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50"/>
      <c r="J642" s="50"/>
      <c r="K642" s="100"/>
      <c r="L642" s="16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50"/>
      <c r="J643" s="50"/>
      <c r="K643" s="100"/>
      <c r="L643" s="16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50"/>
      <c r="J644" s="50"/>
      <c r="K644" s="100"/>
      <c r="L644" s="16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50"/>
      <c r="J645" s="50"/>
      <c r="K645" s="100"/>
      <c r="L645" s="16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50"/>
      <c r="J646" s="50"/>
      <c r="K646" s="100"/>
      <c r="L646" s="16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50"/>
      <c r="J647" s="50"/>
      <c r="K647" s="100"/>
      <c r="L647" s="16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50"/>
      <c r="J648" s="50"/>
      <c r="K648" s="100"/>
      <c r="L648" s="16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50"/>
      <c r="J649" s="50"/>
      <c r="K649" s="100"/>
      <c r="L649" s="16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50"/>
      <c r="J650" s="50"/>
      <c r="K650" s="100"/>
      <c r="L650" s="16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50"/>
      <c r="J651" s="50"/>
      <c r="K651" s="100"/>
      <c r="L651" s="16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50"/>
      <c r="J652" s="50"/>
      <c r="K652" s="100"/>
      <c r="L652" s="16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50"/>
      <c r="J653" s="50"/>
      <c r="K653" s="100"/>
      <c r="L653" s="16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50"/>
      <c r="J654" s="50"/>
      <c r="K654" s="100"/>
      <c r="L654" s="16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50"/>
      <c r="J655" s="50"/>
      <c r="K655" s="100"/>
      <c r="L655" s="16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50"/>
      <c r="J656" s="50"/>
      <c r="K656" s="100"/>
      <c r="L656" s="16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50"/>
      <c r="J657" s="50"/>
      <c r="K657" s="100"/>
      <c r="L657" s="16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50"/>
      <c r="J658" s="50"/>
      <c r="K658" s="100"/>
      <c r="L658" s="16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50"/>
      <c r="J659" s="50"/>
      <c r="K659" s="100"/>
      <c r="L659" s="16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50"/>
      <c r="J660" s="50"/>
      <c r="K660" s="100"/>
      <c r="L660" s="16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50"/>
      <c r="J661" s="50"/>
      <c r="K661" s="100"/>
      <c r="L661" s="16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50"/>
      <c r="J662" s="50"/>
      <c r="K662" s="100"/>
      <c r="L662" s="16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50"/>
      <c r="J663" s="50"/>
      <c r="K663" s="100"/>
      <c r="L663" s="16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50"/>
      <c r="J664" s="50"/>
      <c r="K664" s="100"/>
      <c r="L664" s="16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50"/>
      <c r="J665" s="50"/>
      <c r="K665" s="100"/>
      <c r="L665" s="16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50"/>
      <c r="J666" s="50"/>
      <c r="K666" s="100"/>
      <c r="L666" s="16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50"/>
      <c r="J667" s="50"/>
      <c r="K667" s="100"/>
      <c r="L667" s="16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50"/>
      <c r="J668" s="50"/>
      <c r="K668" s="100"/>
      <c r="L668" s="16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50"/>
      <c r="J669" s="50"/>
      <c r="K669" s="100"/>
      <c r="L669" s="16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50"/>
      <c r="J670" s="50"/>
      <c r="K670" s="100"/>
      <c r="L670" s="16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50"/>
      <c r="J671" s="50"/>
      <c r="K671" s="100"/>
      <c r="L671" s="16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50"/>
      <c r="J672" s="50"/>
      <c r="K672" s="100"/>
      <c r="L672" s="16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50"/>
      <c r="J673" s="50"/>
      <c r="K673" s="100"/>
      <c r="L673" s="16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50"/>
      <c r="J674" s="50"/>
      <c r="K674" s="100"/>
      <c r="L674" s="16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50"/>
      <c r="J675" s="50"/>
      <c r="K675" s="100"/>
      <c r="L675" s="16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50"/>
      <c r="J676" s="50"/>
      <c r="K676" s="100"/>
      <c r="L676" s="16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50"/>
      <c r="J677" s="50"/>
      <c r="K677" s="100"/>
      <c r="L677" s="16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50"/>
      <c r="J678" s="50"/>
      <c r="K678" s="100"/>
      <c r="L678" s="16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50"/>
      <c r="J679" s="50"/>
      <c r="K679" s="100"/>
      <c r="L679" s="16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50"/>
      <c r="J680" s="50"/>
      <c r="K680" s="100"/>
      <c r="L680" s="16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50"/>
      <c r="J681" s="50"/>
      <c r="K681" s="100"/>
      <c r="L681" s="16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50"/>
      <c r="J682" s="50"/>
      <c r="K682" s="100"/>
      <c r="L682" s="16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50"/>
      <c r="J683" s="50"/>
      <c r="K683" s="100"/>
      <c r="L683" s="16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50"/>
      <c r="J684" s="50"/>
      <c r="K684" s="100"/>
      <c r="L684" s="16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50"/>
      <c r="J685" s="50"/>
      <c r="K685" s="100"/>
      <c r="L685" s="16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50"/>
      <c r="J686" s="50"/>
      <c r="K686" s="100"/>
      <c r="L686" s="16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50"/>
      <c r="J687" s="50"/>
      <c r="K687" s="100"/>
      <c r="L687" s="16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50"/>
      <c r="J688" s="50"/>
      <c r="K688" s="100"/>
      <c r="L688" s="16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50"/>
      <c r="J689" s="50"/>
      <c r="K689" s="100"/>
      <c r="L689" s="16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50"/>
      <c r="J690" s="50"/>
      <c r="K690" s="100"/>
      <c r="L690" s="16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50"/>
      <c r="J691" s="50"/>
      <c r="K691" s="100"/>
      <c r="L691" s="16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50"/>
      <c r="J692" s="50"/>
      <c r="K692" s="100"/>
      <c r="L692" s="16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50"/>
      <c r="J693" s="50"/>
      <c r="K693" s="100"/>
      <c r="L693" s="16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50"/>
      <c r="J694" s="50"/>
      <c r="K694" s="100"/>
      <c r="L694" s="16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50"/>
      <c r="J695" s="50"/>
      <c r="K695" s="100"/>
      <c r="L695" s="16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50"/>
      <c r="J696" s="50"/>
      <c r="K696" s="100"/>
      <c r="L696" s="16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50"/>
      <c r="J697" s="50"/>
      <c r="K697" s="100"/>
      <c r="L697" s="16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50"/>
      <c r="J698" s="50"/>
      <c r="K698" s="100"/>
      <c r="L698" s="16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50"/>
      <c r="J699" s="50"/>
      <c r="K699" s="100"/>
      <c r="L699" s="16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50"/>
      <c r="J700" s="50"/>
      <c r="K700" s="100"/>
      <c r="L700" s="16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50"/>
      <c r="J701" s="50"/>
      <c r="K701" s="100"/>
      <c r="L701" s="16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50"/>
      <c r="J702" s="50"/>
      <c r="K702" s="100"/>
      <c r="L702" s="16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50"/>
      <c r="J703" s="50"/>
      <c r="K703" s="100"/>
      <c r="L703" s="16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50"/>
      <c r="J704" s="50"/>
      <c r="K704" s="100"/>
      <c r="L704" s="16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50"/>
      <c r="J705" s="50"/>
      <c r="K705" s="100"/>
      <c r="L705" s="16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50"/>
      <c r="J706" s="50"/>
      <c r="K706" s="100"/>
      <c r="L706" s="16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50"/>
      <c r="J707" s="50"/>
      <c r="K707" s="100"/>
      <c r="L707" s="16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50"/>
      <c r="J708" s="50"/>
      <c r="K708" s="100"/>
      <c r="L708" s="16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50"/>
      <c r="J709" s="50"/>
      <c r="K709" s="100"/>
      <c r="L709" s="16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50"/>
      <c r="J710" s="50"/>
      <c r="K710" s="100"/>
      <c r="L710" s="16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50"/>
      <c r="J711" s="50"/>
      <c r="K711" s="100"/>
      <c r="L711" s="16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50"/>
      <c r="J712" s="50"/>
      <c r="K712" s="100"/>
      <c r="L712" s="16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50"/>
      <c r="J713" s="50"/>
      <c r="K713" s="100"/>
      <c r="L713" s="16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50"/>
      <c r="J714" s="50"/>
      <c r="K714" s="100"/>
      <c r="L714" s="16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50"/>
      <c r="J715" s="50"/>
      <c r="K715" s="100"/>
      <c r="L715" s="16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50"/>
      <c r="J716" s="50"/>
      <c r="K716" s="100"/>
      <c r="L716" s="16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50"/>
      <c r="J717" s="50"/>
      <c r="K717" s="100"/>
      <c r="L717" s="16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50"/>
      <c r="J718" s="50"/>
      <c r="K718" s="100"/>
      <c r="L718" s="16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50"/>
      <c r="J719" s="50"/>
      <c r="K719" s="100"/>
      <c r="L719" s="16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50"/>
      <c r="J720" s="50"/>
      <c r="K720" s="100"/>
      <c r="L720" s="16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50"/>
      <c r="J721" s="50"/>
      <c r="K721" s="100"/>
      <c r="L721" s="16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50"/>
      <c r="J722" s="50"/>
      <c r="K722" s="100"/>
      <c r="L722" s="16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50"/>
      <c r="J723" s="50"/>
      <c r="K723" s="100"/>
      <c r="L723" s="16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50"/>
      <c r="J724" s="50"/>
      <c r="K724" s="100"/>
      <c r="L724" s="16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50"/>
      <c r="J725" s="50"/>
      <c r="K725" s="100"/>
      <c r="L725" s="16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50"/>
      <c r="J726" s="50"/>
      <c r="K726" s="100"/>
      <c r="L726" s="16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50"/>
      <c r="J727" s="50"/>
      <c r="K727" s="100"/>
      <c r="L727" s="16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50"/>
      <c r="J728" s="50"/>
      <c r="K728" s="100"/>
      <c r="L728" s="16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50"/>
      <c r="J729" s="50"/>
      <c r="K729" s="100"/>
      <c r="L729" s="16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50"/>
      <c r="J730" s="50"/>
      <c r="K730" s="100"/>
      <c r="L730" s="16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50"/>
      <c r="J731" s="50"/>
      <c r="K731" s="100"/>
      <c r="L731" s="16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50"/>
      <c r="J732" s="50"/>
      <c r="K732" s="100"/>
      <c r="L732" s="16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50"/>
      <c r="J733" s="50"/>
      <c r="K733" s="100"/>
      <c r="L733" s="16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50"/>
      <c r="J734" s="50"/>
      <c r="K734" s="100"/>
      <c r="L734" s="16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50"/>
      <c r="J735" s="50"/>
      <c r="K735" s="100"/>
      <c r="L735" s="16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50"/>
      <c r="J736" s="50"/>
      <c r="K736" s="100"/>
      <c r="L736" s="16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50"/>
      <c r="J737" s="50"/>
      <c r="K737" s="100"/>
      <c r="L737" s="16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50"/>
      <c r="J738" s="50"/>
      <c r="K738" s="100"/>
      <c r="L738" s="16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50"/>
      <c r="J739" s="50"/>
      <c r="K739" s="100"/>
      <c r="L739" s="16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50"/>
      <c r="J740" s="50"/>
      <c r="K740" s="100"/>
      <c r="L740" s="16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50"/>
      <c r="J741" s="50"/>
      <c r="K741" s="100"/>
      <c r="L741" s="16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50"/>
      <c r="J742" s="50"/>
      <c r="K742" s="100"/>
      <c r="L742" s="16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50"/>
      <c r="J743" s="50"/>
      <c r="K743" s="100"/>
      <c r="L743" s="16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50"/>
      <c r="J744" s="50"/>
      <c r="K744" s="100"/>
      <c r="L744" s="16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50"/>
      <c r="J745" s="50"/>
      <c r="K745" s="100"/>
      <c r="L745" s="16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50"/>
      <c r="J746" s="50"/>
      <c r="K746" s="100"/>
      <c r="L746" s="16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50"/>
      <c r="J747" s="50"/>
      <c r="K747" s="100"/>
      <c r="L747" s="16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50"/>
      <c r="J748" s="50"/>
      <c r="K748" s="100"/>
      <c r="L748" s="16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50"/>
      <c r="J749" s="50"/>
      <c r="K749" s="100"/>
      <c r="L749" s="16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50"/>
      <c r="J750" s="50"/>
      <c r="K750" s="100"/>
      <c r="L750" s="16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50"/>
      <c r="J751" s="50"/>
      <c r="K751" s="100"/>
      <c r="L751" s="16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50"/>
      <c r="J752" s="50"/>
      <c r="K752" s="100"/>
      <c r="L752" s="16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50"/>
      <c r="J753" s="50"/>
      <c r="K753" s="100"/>
      <c r="L753" s="16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50"/>
      <c r="J754" s="50"/>
      <c r="K754" s="100"/>
      <c r="L754" s="16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50"/>
      <c r="J755" s="50"/>
      <c r="K755" s="100"/>
      <c r="L755" s="16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50"/>
      <c r="J756" s="50"/>
      <c r="K756" s="100"/>
      <c r="L756" s="16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50"/>
      <c r="J757" s="50"/>
      <c r="K757" s="100"/>
      <c r="L757" s="16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50"/>
      <c r="J758" s="50"/>
      <c r="K758" s="100"/>
      <c r="L758" s="16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50"/>
      <c r="J759" s="50"/>
      <c r="K759" s="100"/>
      <c r="L759" s="16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50"/>
      <c r="J760" s="50"/>
      <c r="K760" s="100"/>
      <c r="L760" s="16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50"/>
      <c r="J761" s="50"/>
      <c r="K761" s="100"/>
      <c r="L761" s="16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50"/>
      <c r="J762" s="50"/>
      <c r="K762" s="100"/>
      <c r="L762" s="16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50"/>
      <c r="J763" s="50"/>
      <c r="K763" s="100"/>
      <c r="L763" s="16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50"/>
      <c r="J764" s="50"/>
      <c r="K764" s="100"/>
      <c r="L764" s="16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50"/>
      <c r="J765" s="50"/>
      <c r="K765" s="100"/>
      <c r="L765" s="16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50"/>
      <c r="J766" s="50"/>
      <c r="K766" s="100"/>
      <c r="L766" s="16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50"/>
      <c r="J767" s="50"/>
      <c r="K767" s="100"/>
      <c r="L767" s="16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50"/>
      <c r="J768" s="50"/>
      <c r="K768" s="100"/>
      <c r="L768" s="16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50"/>
      <c r="J769" s="50"/>
      <c r="K769" s="100"/>
      <c r="L769" s="16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50"/>
      <c r="J770" s="50"/>
      <c r="K770" s="100"/>
      <c r="L770" s="16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50"/>
      <c r="J771" s="50"/>
      <c r="K771" s="100"/>
      <c r="L771" s="16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50"/>
      <c r="J772" s="50"/>
      <c r="K772" s="100"/>
      <c r="L772" s="16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50"/>
      <c r="J773" s="50"/>
      <c r="K773" s="100"/>
      <c r="L773" s="16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50"/>
      <c r="J774" s="50"/>
      <c r="K774" s="100"/>
      <c r="L774" s="16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50"/>
      <c r="J775" s="50"/>
      <c r="K775" s="100"/>
      <c r="L775" s="16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50"/>
      <c r="J776" s="50"/>
      <c r="K776" s="100"/>
      <c r="L776" s="16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50"/>
      <c r="J777" s="50"/>
      <c r="K777" s="100"/>
      <c r="L777" s="16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50"/>
      <c r="J778" s="50"/>
      <c r="K778" s="100"/>
      <c r="L778" s="16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50"/>
      <c r="J779" s="50"/>
      <c r="K779" s="100"/>
      <c r="L779" s="16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50"/>
      <c r="J780" s="50"/>
      <c r="K780" s="100"/>
      <c r="L780" s="16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50"/>
      <c r="J781" s="50"/>
      <c r="K781" s="100"/>
      <c r="L781" s="16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50"/>
      <c r="J782" s="50"/>
      <c r="K782" s="100"/>
      <c r="L782" s="16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50"/>
      <c r="J783" s="50"/>
      <c r="K783" s="100"/>
      <c r="L783" s="16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50"/>
      <c r="J784" s="50"/>
      <c r="K784" s="100"/>
      <c r="L784" s="16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50"/>
      <c r="J785" s="50"/>
      <c r="K785" s="100"/>
      <c r="L785" s="16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50"/>
      <c r="J786" s="50"/>
      <c r="K786" s="100"/>
      <c r="L786" s="16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50"/>
      <c r="J787" s="50"/>
      <c r="K787" s="100"/>
      <c r="L787" s="16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50"/>
      <c r="J788" s="50"/>
      <c r="K788" s="100"/>
      <c r="L788" s="16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50"/>
      <c r="J789" s="50"/>
      <c r="K789" s="100"/>
      <c r="L789" s="16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50"/>
      <c r="J790" s="50"/>
      <c r="K790" s="100"/>
      <c r="L790" s="16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50"/>
      <c r="J791" s="50"/>
      <c r="K791" s="100"/>
      <c r="L791" s="16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50"/>
      <c r="J792" s="50"/>
      <c r="K792" s="100"/>
      <c r="L792" s="16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50"/>
      <c r="J793" s="50"/>
      <c r="K793" s="100"/>
      <c r="L793" s="16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50"/>
      <c r="J794" s="50"/>
      <c r="K794" s="100"/>
      <c r="L794" s="16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50"/>
      <c r="J795" s="50"/>
      <c r="K795" s="100"/>
      <c r="L795" s="16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50"/>
      <c r="J796" s="50"/>
      <c r="K796" s="100"/>
      <c r="L796" s="16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50"/>
      <c r="J797" s="50"/>
      <c r="K797" s="100"/>
      <c r="L797" s="16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50"/>
      <c r="J798" s="50"/>
      <c r="K798" s="100"/>
      <c r="L798" s="16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50"/>
      <c r="J799" s="50"/>
      <c r="K799" s="100"/>
      <c r="L799" s="16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50"/>
      <c r="J800" s="50"/>
      <c r="K800" s="100"/>
      <c r="L800" s="16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50"/>
      <c r="J801" s="50"/>
      <c r="K801" s="100"/>
      <c r="L801" s="16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50"/>
      <c r="J802" s="50"/>
      <c r="K802" s="100"/>
      <c r="L802" s="16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50"/>
      <c r="J803" s="50"/>
      <c r="K803" s="100"/>
      <c r="L803" s="16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50"/>
      <c r="J804" s="50"/>
      <c r="K804" s="100"/>
      <c r="L804" s="16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50"/>
      <c r="J805" s="50"/>
      <c r="K805" s="100"/>
      <c r="L805" s="16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50"/>
      <c r="J806" s="50"/>
      <c r="K806" s="100"/>
      <c r="L806" s="16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50"/>
      <c r="J807" s="50"/>
      <c r="K807" s="100"/>
      <c r="L807" s="16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50"/>
      <c r="J808" s="50"/>
      <c r="K808" s="100"/>
      <c r="L808" s="16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50"/>
      <c r="J809" s="50"/>
      <c r="K809" s="100"/>
      <c r="L809" s="16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50"/>
      <c r="J810" s="50"/>
      <c r="K810" s="100"/>
      <c r="L810" s="16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50"/>
      <c r="J811" s="50"/>
      <c r="K811" s="100"/>
      <c r="L811" s="16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50"/>
      <c r="J812" s="50"/>
      <c r="K812" s="100"/>
      <c r="L812" s="16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50"/>
      <c r="J813" s="50"/>
      <c r="K813" s="100"/>
      <c r="L813" s="16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50"/>
      <c r="J814" s="50"/>
      <c r="K814" s="100"/>
      <c r="L814" s="16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50"/>
      <c r="J815" s="50"/>
      <c r="K815" s="100"/>
      <c r="L815" s="16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50"/>
      <c r="J816" s="50"/>
      <c r="K816" s="100"/>
      <c r="L816" s="16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50"/>
      <c r="J817" s="50"/>
      <c r="K817" s="100"/>
      <c r="L817" s="16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50"/>
      <c r="J818" s="50"/>
      <c r="K818" s="100"/>
      <c r="L818" s="16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50"/>
      <c r="J819" s="50"/>
      <c r="K819" s="100"/>
      <c r="L819" s="16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50"/>
      <c r="J820" s="50"/>
      <c r="K820" s="100"/>
      <c r="L820" s="16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50"/>
      <c r="J821" s="50"/>
      <c r="K821" s="100"/>
      <c r="L821" s="16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50"/>
      <c r="J822" s="50"/>
      <c r="K822" s="100"/>
      <c r="L822" s="16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50"/>
      <c r="J823" s="50"/>
      <c r="K823" s="100"/>
      <c r="L823" s="16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50"/>
      <c r="J824" s="50"/>
      <c r="K824" s="100"/>
      <c r="L824" s="16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50"/>
      <c r="J825" s="50"/>
      <c r="K825" s="100"/>
      <c r="L825" s="16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50"/>
      <c r="J826" s="50"/>
      <c r="K826" s="100"/>
      <c r="L826" s="16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50"/>
      <c r="J827" s="50"/>
      <c r="K827" s="100"/>
      <c r="L827" s="16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50"/>
      <c r="J828" s="50"/>
      <c r="K828" s="100"/>
      <c r="L828" s="16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50"/>
      <c r="J829" s="50"/>
      <c r="K829" s="100"/>
      <c r="L829" s="16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50"/>
      <c r="J830" s="50"/>
      <c r="K830" s="100"/>
      <c r="L830" s="16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50"/>
      <c r="J831" s="50"/>
      <c r="K831" s="100"/>
      <c r="L831" s="16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50"/>
      <c r="J832" s="50"/>
      <c r="K832" s="100"/>
      <c r="L832" s="16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50"/>
      <c r="J833" s="50"/>
      <c r="K833" s="100"/>
      <c r="L833" s="16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50"/>
      <c r="J834" s="50"/>
      <c r="K834" s="100"/>
      <c r="L834" s="16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50"/>
      <c r="J835" s="50"/>
      <c r="K835" s="100"/>
      <c r="L835" s="16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50"/>
      <c r="J836" s="50"/>
      <c r="K836" s="100"/>
      <c r="L836" s="16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50"/>
      <c r="J837" s="50"/>
      <c r="K837" s="100"/>
      <c r="L837" s="16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50"/>
      <c r="J838" s="50"/>
      <c r="K838" s="100"/>
      <c r="L838" s="16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50"/>
      <c r="J839" s="50"/>
      <c r="K839" s="100"/>
      <c r="L839" s="16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50"/>
      <c r="J840" s="50"/>
      <c r="K840" s="100"/>
      <c r="L840" s="16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50"/>
      <c r="J841" s="50"/>
      <c r="K841" s="100"/>
      <c r="L841" s="16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50"/>
      <c r="J842" s="50"/>
      <c r="K842" s="100"/>
      <c r="L842" s="16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50"/>
      <c r="J843" s="50"/>
      <c r="K843" s="100"/>
      <c r="L843" s="16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50"/>
      <c r="J844" s="50"/>
      <c r="K844" s="100"/>
      <c r="L844" s="16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50"/>
      <c r="J845" s="50"/>
      <c r="K845" s="100"/>
      <c r="L845" s="16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50"/>
      <c r="J846" s="50"/>
      <c r="K846" s="100"/>
      <c r="L846" s="16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50"/>
      <c r="J847" s="50"/>
      <c r="K847" s="100"/>
      <c r="L847" s="16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50"/>
      <c r="J848" s="50"/>
      <c r="K848" s="100"/>
      <c r="L848" s="16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50"/>
      <c r="J849" s="50"/>
      <c r="K849" s="100"/>
      <c r="L849" s="16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50"/>
      <c r="J850" s="50"/>
      <c r="K850" s="100"/>
      <c r="L850" s="16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50"/>
      <c r="J851" s="50"/>
      <c r="K851" s="100"/>
      <c r="L851" s="16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50"/>
      <c r="J852" s="50"/>
      <c r="K852" s="100"/>
      <c r="L852" s="16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50"/>
      <c r="J853" s="50"/>
      <c r="K853" s="100"/>
      <c r="L853" s="16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50"/>
      <c r="J854" s="50"/>
      <c r="K854" s="100"/>
      <c r="L854" s="16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50"/>
      <c r="J855" s="50"/>
      <c r="K855" s="100"/>
      <c r="L855" s="16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50"/>
      <c r="J856" s="50"/>
      <c r="K856" s="100"/>
      <c r="L856" s="16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50"/>
      <c r="J857" s="50"/>
      <c r="K857" s="100"/>
      <c r="L857" s="16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50"/>
      <c r="J858" s="50"/>
      <c r="K858" s="100"/>
      <c r="L858" s="16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50"/>
      <c r="J859" s="50"/>
      <c r="K859" s="100"/>
      <c r="L859" s="16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50"/>
      <c r="J860" s="50"/>
      <c r="K860" s="100"/>
      <c r="L860" s="16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50"/>
      <c r="J861" s="50"/>
      <c r="K861" s="100"/>
      <c r="L861" s="16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50"/>
      <c r="J862" s="50"/>
      <c r="K862" s="100"/>
      <c r="L862" s="16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50"/>
      <c r="J863" s="50"/>
      <c r="K863" s="100"/>
      <c r="L863" s="16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50"/>
      <c r="J864" s="50"/>
      <c r="K864" s="100"/>
      <c r="L864" s="16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50"/>
      <c r="J865" s="50"/>
      <c r="K865" s="100"/>
      <c r="L865" s="16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50"/>
      <c r="J866" s="50"/>
      <c r="K866" s="100"/>
      <c r="L866" s="16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50"/>
      <c r="J867" s="50"/>
      <c r="K867" s="100"/>
      <c r="L867" s="16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50"/>
      <c r="J868" s="50"/>
      <c r="K868" s="100"/>
      <c r="L868" s="16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50"/>
      <c r="J869" s="50"/>
      <c r="K869" s="100"/>
      <c r="L869" s="16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50"/>
      <c r="J870" s="50"/>
      <c r="K870" s="100"/>
      <c r="L870" s="16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50"/>
      <c r="J871" s="50"/>
      <c r="K871" s="100"/>
      <c r="L871" s="16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50"/>
      <c r="J872" s="50"/>
      <c r="K872" s="100"/>
      <c r="L872" s="16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50"/>
      <c r="J873" s="50"/>
      <c r="K873" s="100"/>
      <c r="L873" s="16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50"/>
      <c r="J874" s="50"/>
      <c r="K874" s="100"/>
      <c r="L874" s="16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50"/>
      <c r="J875" s="50"/>
      <c r="K875" s="100"/>
      <c r="L875" s="16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50"/>
      <c r="J876" s="50"/>
      <c r="K876" s="100"/>
      <c r="L876" s="16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50"/>
      <c r="J877" s="50"/>
      <c r="K877" s="100"/>
      <c r="L877" s="16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50"/>
      <c r="J878" s="50"/>
      <c r="K878" s="100"/>
      <c r="L878" s="16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50"/>
      <c r="J879" s="50"/>
      <c r="K879" s="100"/>
      <c r="L879" s="16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50"/>
      <c r="J880" s="50"/>
      <c r="K880" s="100"/>
      <c r="L880" s="16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50"/>
      <c r="J881" s="50"/>
      <c r="K881" s="100"/>
      <c r="L881" s="16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50"/>
      <c r="J882" s="50"/>
      <c r="K882" s="100"/>
      <c r="L882" s="16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50"/>
      <c r="J883" s="50"/>
      <c r="K883" s="100"/>
      <c r="L883" s="16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50"/>
      <c r="J884" s="50"/>
      <c r="K884" s="100"/>
      <c r="L884" s="16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50"/>
      <c r="J885" s="50"/>
      <c r="K885" s="100"/>
      <c r="L885" s="16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50"/>
      <c r="J886" s="50"/>
      <c r="K886" s="100"/>
      <c r="L886" s="16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50"/>
      <c r="J887" s="50"/>
      <c r="K887" s="100"/>
      <c r="L887" s="16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50"/>
      <c r="J888" s="50"/>
      <c r="K888" s="100"/>
      <c r="L888" s="16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50"/>
      <c r="J889" s="50"/>
      <c r="K889" s="100"/>
      <c r="L889" s="16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50"/>
      <c r="J890" s="50"/>
      <c r="K890" s="100"/>
      <c r="L890" s="16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50"/>
      <c r="J891" s="50"/>
      <c r="K891" s="100"/>
      <c r="L891" s="16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50"/>
      <c r="J892" s="50"/>
      <c r="K892" s="100"/>
      <c r="L892" s="16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50"/>
      <c r="J893" s="50"/>
      <c r="K893" s="100"/>
      <c r="L893" s="16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50"/>
      <c r="J894" s="50"/>
      <c r="K894" s="100"/>
      <c r="L894" s="16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50"/>
      <c r="J895" s="50"/>
      <c r="K895" s="100"/>
      <c r="L895" s="16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50"/>
      <c r="J896" s="50"/>
      <c r="K896" s="100"/>
      <c r="L896" s="16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50"/>
      <c r="J897" s="50"/>
      <c r="K897" s="100"/>
      <c r="L897" s="16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50"/>
      <c r="J898" s="50"/>
      <c r="K898" s="100"/>
      <c r="L898" s="16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50"/>
      <c r="J899" s="50"/>
      <c r="K899" s="100"/>
      <c r="L899" s="16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50"/>
      <c r="J900" s="50"/>
      <c r="K900" s="100"/>
      <c r="L900" s="16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50"/>
      <c r="J901" s="50"/>
      <c r="K901" s="100"/>
      <c r="L901" s="16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50"/>
      <c r="J902" s="50"/>
      <c r="K902" s="100"/>
      <c r="L902" s="16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50"/>
      <c r="J903" s="50"/>
      <c r="K903" s="100"/>
      <c r="L903" s="16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50"/>
      <c r="J904" s="50"/>
      <c r="K904" s="100"/>
      <c r="L904" s="16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50"/>
      <c r="J905" s="50"/>
      <c r="K905" s="100"/>
      <c r="L905" s="16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50"/>
      <c r="J906" s="50"/>
      <c r="K906" s="100"/>
      <c r="L906" s="16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50"/>
      <c r="J907" s="50"/>
      <c r="K907" s="100"/>
      <c r="L907" s="16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50"/>
      <c r="J908" s="50"/>
      <c r="K908" s="100"/>
      <c r="L908" s="16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50"/>
      <c r="J909" s="50"/>
      <c r="K909" s="100"/>
      <c r="L909" s="16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50"/>
      <c r="J910" s="50"/>
      <c r="K910" s="100"/>
      <c r="L910" s="16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50"/>
      <c r="J911" s="50"/>
      <c r="K911" s="100"/>
      <c r="L911" s="16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50"/>
      <c r="J912" s="50"/>
      <c r="K912" s="100"/>
      <c r="L912" s="16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50"/>
      <c r="J913" s="50"/>
      <c r="K913" s="100"/>
      <c r="L913" s="16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50"/>
      <c r="J914" s="50"/>
      <c r="K914" s="100"/>
      <c r="L914" s="16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50"/>
      <c r="J915" s="50"/>
      <c r="K915" s="100"/>
      <c r="L915" s="16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50"/>
      <c r="J916" s="50"/>
      <c r="K916" s="100"/>
      <c r="L916" s="16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50"/>
      <c r="J917" s="50"/>
      <c r="K917" s="100"/>
      <c r="L917" s="16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50"/>
      <c r="J918" s="50"/>
      <c r="K918" s="100"/>
      <c r="L918" s="16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50"/>
      <c r="J919" s="50"/>
      <c r="K919" s="100"/>
      <c r="L919" s="16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50"/>
      <c r="J920" s="50"/>
      <c r="K920" s="100"/>
      <c r="L920" s="16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50"/>
      <c r="J921" s="50"/>
      <c r="K921" s="100"/>
      <c r="L921" s="16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50"/>
      <c r="J922" s="50"/>
      <c r="K922" s="100"/>
      <c r="L922" s="16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50"/>
      <c r="J923" s="50"/>
      <c r="K923" s="100"/>
      <c r="L923" s="16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50"/>
      <c r="J924" s="50"/>
      <c r="K924" s="100"/>
      <c r="L924" s="16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50"/>
      <c r="J925" s="50"/>
      <c r="K925" s="100"/>
      <c r="L925" s="16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50"/>
      <c r="J926" s="50"/>
      <c r="K926" s="100"/>
      <c r="L926" s="16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50"/>
      <c r="J927" s="50"/>
      <c r="K927" s="100"/>
      <c r="L927" s="16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50"/>
      <c r="J928" s="50"/>
      <c r="K928" s="100"/>
      <c r="L928" s="16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50"/>
      <c r="J929" s="50"/>
      <c r="K929" s="100"/>
      <c r="L929" s="16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50"/>
      <c r="J930" s="50"/>
      <c r="K930" s="100"/>
      <c r="L930" s="16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50"/>
      <c r="J931" s="50"/>
      <c r="K931" s="100"/>
      <c r="L931" s="16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50"/>
      <c r="J932" s="50"/>
      <c r="K932" s="100"/>
      <c r="L932" s="16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50"/>
      <c r="J933" s="50"/>
      <c r="K933" s="100"/>
      <c r="L933" s="16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50"/>
      <c r="J934" s="50"/>
      <c r="K934" s="100"/>
      <c r="L934" s="16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50"/>
      <c r="J935" s="50"/>
      <c r="K935" s="100"/>
      <c r="L935" s="16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50"/>
      <c r="J936" s="50"/>
      <c r="K936" s="100"/>
      <c r="L936" s="16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</row>
    <row r="937">
      <c r="A937" s="100"/>
      <c r="B937" s="100"/>
      <c r="C937" s="155"/>
      <c r="D937" s="155"/>
      <c r="E937" s="155"/>
      <c r="F937" s="155"/>
      <c r="G937" s="155"/>
      <c r="H937" s="155"/>
      <c r="I937" s="156"/>
      <c r="J937" s="156"/>
      <c r="K937" s="155"/>
      <c r="L937" s="16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