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<sst xmlns="http://schemas.openxmlformats.org/spreadsheetml/2006/main" count="756" uniqueCount="128">
  <si>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</si>
  <si>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</si>
  <si>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</si>
  <si>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</si>
  <si>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</si>
  <si>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</si>
  <si>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</si>
  <si>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</si>
  <si>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</si>
  <si>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</si>
  <si>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</si>
  <si>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</si>
  <si>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</si>
  <si>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</si>
  <si>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</si>
  <si>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 xml:space="preserve"> Banded Hip thrust</t>
  </si>
  <si>
    <t>8--10</t>
  </si>
  <si>
    <t>تركيز علي المؤخره</t>
  </si>
  <si>
    <t>STATIONARY LUNGE</t>
  </si>
  <si>
    <t xml:space="preserve">Banded Hamstring Curl </t>
  </si>
  <si>
    <t>Banded adductors</t>
  </si>
  <si>
    <t>Standing calves raise home</t>
  </si>
  <si>
    <t>اليوم 2- دفع</t>
  </si>
  <si>
    <t>الاحد</t>
  </si>
  <si>
    <t>Floor db press</t>
  </si>
  <si>
    <t>Chest Fly Using Resistance Band</t>
  </si>
  <si>
    <t>Lateral Raise</t>
  </si>
  <si>
    <t>ثبات ثانية بالاعلى والنزول على ثانيتين</t>
  </si>
  <si>
    <t xml:space="preserve">banded triceps pushdown </t>
  </si>
  <si>
    <t>اليوم 3- سحب</t>
  </si>
  <si>
    <t>الاثنين</t>
  </si>
  <si>
    <t>Seated Rows with Resistance Band</t>
  </si>
  <si>
    <t xml:space="preserve"> Banded wide grip Lat Pull-down</t>
  </si>
  <si>
    <t xml:space="preserve">Banded Bent Over Row  </t>
  </si>
  <si>
    <t>Dumbbell Curls</t>
  </si>
  <si>
    <t>النزول على ثانيتين</t>
  </si>
  <si>
    <t>Modified crunches</t>
  </si>
  <si>
    <t xml:space="preserve">سوي اول تمرين يظهر لك </t>
  </si>
  <si>
    <t>يوم راحة</t>
  </si>
  <si>
    <t xml:space="preserve">اليوم 3- جزء سفلي </t>
  </si>
  <si>
    <t>الاربعاء</t>
  </si>
  <si>
    <t>Bulgarian Split Squats</t>
  </si>
  <si>
    <t>Standing Glute Press with Resistance Bands</t>
  </si>
  <si>
    <t>Side-Lying Hip Abduction</t>
  </si>
  <si>
    <t>Standing Calf Raise With Resistance Bands</t>
  </si>
  <si>
    <t>اليوم 4- جزء علوي</t>
  </si>
  <si>
    <t>الخميس</t>
  </si>
  <si>
    <t>Chest Press with Resistance Bands</t>
  </si>
  <si>
    <t xml:space="preserve">Unilateral Banded front row </t>
  </si>
  <si>
    <t>overhead R.B triceps extension</t>
  </si>
  <si>
    <t>Banded Rotation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</si>
  <si>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</si>
  <si>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</si>
  <si>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</si>
  <si>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</si>
  <si>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</si>
  <si>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</si>
  <si>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</si>
  <si>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</si>
  <si>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</si>
  <si>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</si>
  <si>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</si>
  <si>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</si>
  <si>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</si>
  <si>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</si>
  <si>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</si>
  <si>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</si>
  <si>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</si>
  <si>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</si>
  <si>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</si>
  <si>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</si>
  <si>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</si>
  <si>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</si>
  <si>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</si>
  <si>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</si>
  <si>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</si>
  <si>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</si>
  <si>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</si>
  <si>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</si>
  <si>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</si>
  <si>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</si>
  <si>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</si>
  <si>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</si>
  <si>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</si>
  <si>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</si>
  <si>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</si>
  <si>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</si>
  <si>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</si>
  <si>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</si>
  <si>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</si>
  <si>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</si>
  <si>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</si>
  <si>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</si>
  <si>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</si>
  <si>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</si>
  <si>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</si>
  <si>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</si>
  <si>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</si>
  <si>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</si>
  <si>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</si>
  <si>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</si>
  <si>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</si>
  <si>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</si>
  <si>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</si>
  <si>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</si>
  <si>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</si>
  <si>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</si>
  <si>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</si>
  <si>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</si>
  <si>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</si>
  <si>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</si>
  <si>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</si>
  <si>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</si>
  <si>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</si>
  <si>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</si>
  <si>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البطن (تحت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</si>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</sst>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9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bottom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18" numFmtId="0" xfId="0" applyAlignment="1" applyBorder="1" applyFont="1">
      <alignment horizontal="center" vertical="bottom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2" fontId="19" numFmtId="0" xfId="0" applyAlignment="1" applyBorder="1" applyFont="1">
      <alignment horizontal="center" readingOrder="0" shrinkToFit="0" vertical="center" wrapText="0"/>
    </xf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0" fillId="2" fontId="9" numFmtId="0" xfId="0" applyFont="1"/>
    <xf borderId="9" fillId="2" fontId="20" numFmtId="0" xfId="0" applyAlignment="1" applyBorder="1" applyFont="1">
      <alignment horizontal="center" readingOrder="0" shrinkToFit="0" vertical="center" wrapText="0"/>
    </xf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4" fillId="7" fontId="1" numFmtId="0" xfId="0" applyAlignment="1" applyBorder="1" applyFont="1">
      <alignment horizontal="center" vertical="bottom"/>
    </xf>
    <xf borderId="9" fillId="2" fontId="21" numFmtId="0" xfId="0" applyAlignment="1" applyBorder="1" applyFont="1">
      <alignment horizont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2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readingOrder="0" shrinkToFit="0" vertical="center" wrapText="0"/>
    </xf>
    <xf borderId="15" fillId="2" fontId="22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0" fontId="9" numFmtId="0" xfId="0" applyFont="1"/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9" numFmtId="0" xfId="0" applyFont="1"/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9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2" numFmtId="0" xfId="0" applyAlignment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4" fillId="3" fontId="40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2" numFmtId="0" xfId="0" applyAlignment="1" applyBorder="1" applyFont="1">
      <alignment horizontal="center" readingOrder="1" shrinkToFit="0" vertical="center" wrapText="0"/>
    </xf>
    <xf borderId="9" fillId="3" fontId="43" numFmtId="0" xfId="0" applyAlignment="1" applyBorder="1" applyFont="1">
      <alignment horizontal="center" readingOrder="0" vertical="center"/>
    </xf>
    <xf borderId="9" fillId="3" fontId="44" numFmtId="0" xfId="0" applyAlignment="1" applyBorder="1" applyFont="1">
      <alignment horizontal="center" vertical="center"/>
    </xf>
    <xf borderId="0" fillId="2" fontId="33" numFmtId="0" xfId="0" applyAlignment="1" applyFont="1">
      <alignment horizontal="center" readingOrder="2" vertical="center"/>
    </xf>
    <xf borderId="9" fillId="3" fontId="44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/>
    </xf>
    <xf borderId="9" fillId="8" fontId="45" numFmtId="0" xfId="0" applyAlignment="1" applyBorder="1" applyFont="1">
      <alignment horizontal="center" readingOrder="0" vertical="center"/>
    </xf>
    <xf borderId="9" fillId="0" fontId="46" numFmtId="16" xfId="0" applyAlignment="1" applyBorder="1" applyFont="1" applyNumberFormat="1">
      <alignment horizontal="center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/>
    </xf>
    <xf borderId="9" fillId="6" fontId="32" numFmtId="0" xfId="0" applyAlignment="1" applyBorder="1" applyFont="1">
      <alignment horizontal="center"/>
    </xf>
    <xf borderId="9" fillId="9" fontId="46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7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4" fillId="3" fontId="43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5" fontId="38" numFmtId="167" xfId="0" applyAlignment="1" applyBorder="1" applyFont="1" applyNumberForma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4" fontId="40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8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32</xdr:row>
      <xdr:rowOff>152400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results?search_query=tricep+pushdown+resistance+band" TargetMode="External"/><Relationship Id="rId42" Type="http://schemas.openxmlformats.org/officeDocument/2006/relationships/hyperlink" Target="https://www.youtube.com/watch?v=aafaCFMvDKk" TargetMode="External"/><Relationship Id="rId41" Type="http://schemas.openxmlformats.org/officeDocument/2006/relationships/hyperlink" Target="https://www.youtube.com/watch?v=aafaCFMvDKk" TargetMode="External"/><Relationship Id="rId44" Type="http://schemas.openxmlformats.org/officeDocument/2006/relationships/hyperlink" Target="https://www.youtube.com/watch?v=aafaCFMvDKk" TargetMode="External"/><Relationship Id="rId43" Type="http://schemas.openxmlformats.org/officeDocument/2006/relationships/hyperlink" Target="https://www.youtube.com/watch?v=aafaCFMvDKk" TargetMode="External"/><Relationship Id="rId46" Type="http://schemas.openxmlformats.org/officeDocument/2006/relationships/hyperlink" Target="https://www.youtube.com/watch?v=lJJEkmU_f3c" TargetMode="External"/><Relationship Id="rId45" Type="http://schemas.openxmlformats.org/officeDocument/2006/relationships/hyperlink" Target="https://www.youtube.com/watch?v=lJJEkmU_f3c" TargetMode="External"/><Relationship Id="rId48" Type="http://schemas.openxmlformats.org/officeDocument/2006/relationships/hyperlink" Target="https://www.youtube.com/watch?v=lJJEkmU_f3c" TargetMode="External"/><Relationship Id="rId47" Type="http://schemas.openxmlformats.org/officeDocument/2006/relationships/hyperlink" Target="https://www.youtube.com/watch?v=lJJEkmU_f3c" TargetMode="External"/><Relationship Id="rId49" Type="http://schemas.openxmlformats.org/officeDocument/2006/relationships/hyperlink" Target="https://www.youtube.com/watch?v=hsHWPGOE4V0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youtu.be/UpyX0O740Gg?t=9" TargetMode="External"/><Relationship Id="rId30" Type="http://schemas.openxmlformats.org/officeDocument/2006/relationships/hyperlink" Target="https://youtu.be/UpyX0O740Gg?t=9" TargetMode="External"/><Relationship Id="rId33" Type="http://schemas.openxmlformats.org/officeDocument/2006/relationships/hyperlink" Target="https://www.youtube.com/shorts/JxQPsGSTPA8" TargetMode="External"/><Relationship Id="rId32" Type="http://schemas.openxmlformats.org/officeDocument/2006/relationships/hyperlink" Target="https://youtu.be/UpyX0O740Gg?t=9" TargetMode="External"/><Relationship Id="rId35" Type="http://schemas.openxmlformats.org/officeDocument/2006/relationships/hyperlink" Target="https://www.youtube.com/shorts/JxQPsGSTPA8" TargetMode="External"/><Relationship Id="rId34" Type="http://schemas.openxmlformats.org/officeDocument/2006/relationships/hyperlink" Target="https://www.youtube.com/shorts/JxQPsGSTPA8" TargetMode="External"/><Relationship Id="rId37" Type="http://schemas.openxmlformats.org/officeDocument/2006/relationships/hyperlink" Target="https://www.youtube.com/results?search_query=tricep+pushdown+resistance+band" TargetMode="External"/><Relationship Id="rId36" Type="http://schemas.openxmlformats.org/officeDocument/2006/relationships/hyperlink" Target="https://www.youtube.com/shorts/JxQPsGSTPA8" TargetMode="External"/><Relationship Id="rId39" Type="http://schemas.openxmlformats.org/officeDocument/2006/relationships/hyperlink" Target="https://www.youtube.com/results?search_query=tricep+pushdown+resistance+band" TargetMode="External"/><Relationship Id="rId38" Type="http://schemas.openxmlformats.org/officeDocument/2006/relationships/hyperlink" Target="https://www.youtube.com/results?search_query=tricep+pushdown+resistance+band" TargetMode="External"/><Relationship Id="rId20" Type="http://schemas.openxmlformats.org/officeDocument/2006/relationships/hyperlink" Target="https://www.youtube.com/watch?v=rq8tHYwBAOY" TargetMode="External"/><Relationship Id="rId22" Type="http://schemas.openxmlformats.org/officeDocument/2006/relationships/hyperlink" Target="https://www.youtube.com/shorts/fOfPwmb5FXU" TargetMode="External"/><Relationship Id="rId21" Type="http://schemas.openxmlformats.org/officeDocument/2006/relationships/hyperlink" Target="https://www.youtube.com/shorts/fOfPwmb5FXU" TargetMode="External"/><Relationship Id="rId24" Type="http://schemas.openxmlformats.org/officeDocument/2006/relationships/hyperlink" Target="https://www.youtube.com/shorts/fOfPwmb5FXU" TargetMode="External"/><Relationship Id="rId23" Type="http://schemas.openxmlformats.org/officeDocument/2006/relationships/hyperlink" Target="https://www.youtube.com/shorts/fOfPwmb5FXU" TargetMode="External"/><Relationship Id="rId26" Type="http://schemas.openxmlformats.org/officeDocument/2006/relationships/hyperlink" Target="https://youtu.be/0MPzebsn6dc?t=240" TargetMode="External"/><Relationship Id="rId25" Type="http://schemas.openxmlformats.org/officeDocument/2006/relationships/hyperlink" Target="https://youtu.be/0MPzebsn6dc?t=240" TargetMode="External"/><Relationship Id="rId28" Type="http://schemas.openxmlformats.org/officeDocument/2006/relationships/hyperlink" Target="https://youtu.be/0MPzebsn6dc?t=240" TargetMode="External"/><Relationship Id="rId27" Type="http://schemas.openxmlformats.org/officeDocument/2006/relationships/hyperlink" Target="https://youtu.be/0MPzebsn6dc?t=240" TargetMode="External"/><Relationship Id="rId29" Type="http://schemas.openxmlformats.org/officeDocument/2006/relationships/hyperlink" Target="https://youtu.be/UpyX0O740Gg?t=9" TargetMode="External"/><Relationship Id="rId95" Type="http://schemas.openxmlformats.org/officeDocument/2006/relationships/hyperlink" Target="https://youtu.be/5qTMvuj63qA?si=8f1vb-xNhDUojIjB" TargetMode="External"/><Relationship Id="rId94" Type="http://schemas.openxmlformats.org/officeDocument/2006/relationships/hyperlink" Target="https://youtu.be/5qTMvuj63qA?si=8f1vb-xNhDUojIjB" TargetMode="External"/><Relationship Id="rId97" Type="http://schemas.openxmlformats.org/officeDocument/2006/relationships/hyperlink" Target="https://www.youtube.com/watch?v=uW3-Ue07H0M" TargetMode="External"/><Relationship Id="rId96" Type="http://schemas.openxmlformats.org/officeDocument/2006/relationships/hyperlink" Target="https://youtu.be/5qTMvuj63qA?si=8f1vb-xNhDUojIjB" TargetMode="External"/><Relationship Id="rId11" Type="http://schemas.openxmlformats.org/officeDocument/2006/relationships/hyperlink" Target="https://youtu.be/qO_21ExL4zw?si=_jvjZg9jiOagFqub&amp;t=3" TargetMode="External"/><Relationship Id="rId99" Type="http://schemas.openxmlformats.org/officeDocument/2006/relationships/hyperlink" Target="https://www.youtube.com/watch?v=0lEADrqPPNM" TargetMode="External"/><Relationship Id="rId10" Type="http://schemas.openxmlformats.org/officeDocument/2006/relationships/hyperlink" Target="https://youtu.be/qO_21ExL4zw?si=_jvjZg9jiOagFqub&amp;t=3" TargetMode="External"/><Relationship Id="rId98" Type="http://schemas.openxmlformats.org/officeDocument/2006/relationships/hyperlink" Target="https://www.youtube.com/shorts/5MNZ2x9Qzsw" TargetMode="External"/><Relationship Id="rId13" Type="http://schemas.openxmlformats.org/officeDocument/2006/relationships/hyperlink" Target="https://www.youtube.com/watch?v=6h1A7cpM1L0" TargetMode="External"/><Relationship Id="rId12" Type="http://schemas.openxmlformats.org/officeDocument/2006/relationships/hyperlink" Target="https://youtu.be/qO_21ExL4zw?si=_jvjZg9jiOagFqub&amp;t=3" TargetMode="External"/><Relationship Id="rId91" Type="http://schemas.openxmlformats.org/officeDocument/2006/relationships/hyperlink" Target="https://www.youtube.com/shorts/ddZanP15dco" TargetMode="External"/><Relationship Id="rId90" Type="http://schemas.openxmlformats.org/officeDocument/2006/relationships/hyperlink" Target="https://www.youtube.com/shorts/ddZanP15dco" TargetMode="External"/><Relationship Id="rId93" Type="http://schemas.openxmlformats.org/officeDocument/2006/relationships/hyperlink" Target="https://youtu.be/5qTMvuj63qA?si=8f1vb-xNhDUojIjB" TargetMode="External"/><Relationship Id="rId92" Type="http://schemas.openxmlformats.org/officeDocument/2006/relationships/hyperlink" Target="https://www.youtube.com/shorts/ddZanP15dco" TargetMode="External"/><Relationship Id="rId15" Type="http://schemas.openxmlformats.org/officeDocument/2006/relationships/hyperlink" Target="https://www.youtube.com/watch?v=6h1A7cpM1L0" TargetMode="External"/><Relationship Id="rId14" Type="http://schemas.openxmlformats.org/officeDocument/2006/relationships/hyperlink" Target="https://www.youtube.com/watch?v=6h1A7cpM1L0" TargetMode="External"/><Relationship Id="rId17" Type="http://schemas.openxmlformats.org/officeDocument/2006/relationships/hyperlink" Target="https://www.youtube.com/watch?v=rq8tHYwBAOY" TargetMode="External"/><Relationship Id="rId16" Type="http://schemas.openxmlformats.org/officeDocument/2006/relationships/hyperlink" Target="https://www.youtube.com/watch?v=6h1A7cpM1L0" TargetMode="External"/><Relationship Id="rId19" Type="http://schemas.openxmlformats.org/officeDocument/2006/relationships/hyperlink" Target="https://www.youtube.com/watch?v=rq8tHYwBAOY" TargetMode="External"/><Relationship Id="rId18" Type="http://schemas.openxmlformats.org/officeDocument/2006/relationships/hyperlink" Target="https://www.youtube.com/watch?v=rq8tHYwBAOY" TargetMode="External"/><Relationship Id="rId84" Type="http://schemas.openxmlformats.org/officeDocument/2006/relationships/hyperlink" Target="https://www.youtube.com/watch?v=4iVpEZ-Vl8U" TargetMode="External"/><Relationship Id="rId83" Type="http://schemas.openxmlformats.org/officeDocument/2006/relationships/hyperlink" Target="https://www.youtube.com/watch?v=4iVpEZ-Vl8U" TargetMode="External"/><Relationship Id="rId86" Type="http://schemas.openxmlformats.org/officeDocument/2006/relationships/hyperlink" Target="https://youtu.be/iUY5cQc6CzI?si=Ju4o02VDaeqhY3FD&amp;t=12" TargetMode="External"/><Relationship Id="rId85" Type="http://schemas.openxmlformats.org/officeDocument/2006/relationships/hyperlink" Target="https://youtu.be/iUY5cQc6CzI?si=Ju4o02VDaeqhY3FD&amp;t=12" TargetMode="External"/><Relationship Id="rId88" Type="http://schemas.openxmlformats.org/officeDocument/2006/relationships/hyperlink" Target="https://youtu.be/iUY5cQc6CzI?si=Ju4o02VDaeqhY3FD&amp;t=12" TargetMode="External"/><Relationship Id="rId87" Type="http://schemas.openxmlformats.org/officeDocument/2006/relationships/hyperlink" Target="https://youtu.be/iUY5cQc6CzI?si=Ju4o02VDaeqhY3FD&amp;t=12" TargetMode="External"/><Relationship Id="rId89" Type="http://schemas.openxmlformats.org/officeDocument/2006/relationships/hyperlink" Target="https://www.youtube.com/shorts/ddZanP15dco" TargetMode="External"/><Relationship Id="rId80" Type="http://schemas.openxmlformats.org/officeDocument/2006/relationships/hyperlink" Target="https://youtu.be/aS-13WxtTXw?si=hLlI2Mo0CfXk9NHY&amp;t=8" TargetMode="External"/><Relationship Id="rId82" Type="http://schemas.openxmlformats.org/officeDocument/2006/relationships/hyperlink" Target="https://www.youtube.com/watch?v=4iVpEZ-Vl8U" TargetMode="External"/><Relationship Id="rId81" Type="http://schemas.openxmlformats.org/officeDocument/2006/relationships/hyperlink" Target="https://www.youtube.com/watch?v=4iVpEZ-Vl8U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youtu.be/qO_21ExL4zw?si=_jvjZg9jiOagFqub&amp;t=3" TargetMode="External"/><Relationship Id="rId5" Type="http://schemas.openxmlformats.org/officeDocument/2006/relationships/hyperlink" Target="https://youtu.be/2OaqZ-QAiYw?t=11" TargetMode="External"/><Relationship Id="rId6" Type="http://schemas.openxmlformats.org/officeDocument/2006/relationships/hyperlink" Target="https://youtu.be/2OaqZ-QAiYw?t=11" TargetMode="External"/><Relationship Id="rId7" Type="http://schemas.openxmlformats.org/officeDocument/2006/relationships/hyperlink" Target="https://youtu.be/2OaqZ-QAiYw?t=11" TargetMode="External"/><Relationship Id="rId8" Type="http://schemas.openxmlformats.org/officeDocument/2006/relationships/hyperlink" Target="https://youtu.be/2OaqZ-QAiYw?t=11" TargetMode="External"/><Relationship Id="rId73" Type="http://schemas.openxmlformats.org/officeDocument/2006/relationships/hyperlink" Target="https://youtu.be/UnXjOMRq-_k?si=pqoABcitGew2BMIh&amp;t=50" TargetMode="External"/><Relationship Id="rId72" Type="http://schemas.openxmlformats.org/officeDocument/2006/relationships/hyperlink" Target="https://www.youtube.com/watch?v=6h1A7cpM1L0" TargetMode="External"/><Relationship Id="rId75" Type="http://schemas.openxmlformats.org/officeDocument/2006/relationships/hyperlink" Target="https://youtu.be/UnXjOMRq-_k?si=pqoABcitGew2BMIh&amp;t=50" TargetMode="External"/><Relationship Id="rId74" Type="http://schemas.openxmlformats.org/officeDocument/2006/relationships/hyperlink" Target="https://youtu.be/UnXjOMRq-_k?si=pqoABcitGew2BMIh&amp;t=50" TargetMode="External"/><Relationship Id="rId77" Type="http://schemas.openxmlformats.org/officeDocument/2006/relationships/hyperlink" Target="https://youtu.be/aS-13WxtTXw?si=hLlI2Mo0CfXk9NHY&amp;t=8" TargetMode="External"/><Relationship Id="rId76" Type="http://schemas.openxmlformats.org/officeDocument/2006/relationships/hyperlink" Target="https://youtu.be/UnXjOMRq-_k?si=pqoABcitGew2BMIh&amp;t=50" TargetMode="External"/><Relationship Id="rId79" Type="http://schemas.openxmlformats.org/officeDocument/2006/relationships/hyperlink" Target="https://youtu.be/aS-13WxtTXw?si=hLlI2Mo0CfXk9NHY&amp;t=8" TargetMode="External"/><Relationship Id="rId78" Type="http://schemas.openxmlformats.org/officeDocument/2006/relationships/hyperlink" Target="https://youtu.be/aS-13WxtTXw?si=hLlI2Mo0CfXk9NHY&amp;t=8" TargetMode="External"/><Relationship Id="rId71" Type="http://schemas.openxmlformats.org/officeDocument/2006/relationships/hyperlink" Target="https://www.youtube.com/watch?v=6h1A7cpM1L0" TargetMode="External"/><Relationship Id="rId70" Type="http://schemas.openxmlformats.org/officeDocument/2006/relationships/hyperlink" Target="https://www.youtube.com/watch?v=6h1A7cpM1L0" TargetMode="External"/><Relationship Id="rId62" Type="http://schemas.openxmlformats.org/officeDocument/2006/relationships/hyperlink" Target="https://www.youtube.com/shorts/uODWo4YqbT8" TargetMode="External"/><Relationship Id="rId61" Type="http://schemas.openxmlformats.org/officeDocument/2006/relationships/hyperlink" Target="https://www.youtube.com/shorts/uODWo4YqbT8" TargetMode="External"/><Relationship Id="rId64" Type="http://schemas.openxmlformats.org/officeDocument/2006/relationships/hyperlink" Target="https://www.youtube.com/shorts/uODWo4YqbT8" TargetMode="External"/><Relationship Id="rId63" Type="http://schemas.openxmlformats.org/officeDocument/2006/relationships/hyperlink" Target="https://www.youtube.com/shorts/uODWo4YqbT8" TargetMode="External"/><Relationship Id="rId66" Type="http://schemas.openxmlformats.org/officeDocument/2006/relationships/hyperlink" Target="https://www.youtube.com/watch?v=sKnoywExuk8" TargetMode="External"/><Relationship Id="rId65" Type="http://schemas.openxmlformats.org/officeDocument/2006/relationships/hyperlink" Target="https://www.youtube.com/watch?v=sKnoywExuk8" TargetMode="External"/><Relationship Id="rId68" Type="http://schemas.openxmlformats.org/officeDocument/2006/relationships/hyperlink" Target="https://www.youtube.com/watch?v=sKnoywExuk8" TargetMode="External"/><Relationship Id="rId67" Type="http://schemas.openxmlformats.org/officeDocument/2006/relationships/hyperlink" Target="https://www.youtube.com/watch?v=sKnoywExuk8" TargetMode="External"/><Relationship Id="rId60" Type="http://schemas.openxmlformats.org/officeDocument/2006/relationships/hyperlink" Target="https://youtu.be/JIZy6qGTL2s?t=88" TargetMode="External"/><Relationship Id="rId69" Type="http://schemas.openxmlformats.org/officeDocument/2006/relationships/hyperlink" Target="https://www.youtube.com/watch?v=6h1A7cpM1L0" TargetMode="External"/><Relationship Id="rId51" Type="http://schemas.openxmlformats.org/officeDocument/2006/relationships/hyperlink" Target="https://www.youtube.com/watch?v=hsHWPGOE4V0" TargetMode="External"/><Relationship Id="rId50" Type="http://schemas.openxmlformats.org/officeDocument/2006/relationships/hyperlink" Target="https://www.youtube.com/watch?v=hsHWPGOE4V0" TargetMode="External"/><Relationship Id="rId53" Type="http://schemas.openxmlformats.org/officeDocument/2006/relationships/hyperlink" Target="https://youtu.be/sAq_ocpRh_I?t=18" TargetMode="External"/><Relationship Id="rId52" Type="http://schemas.openxmlformats.org/officeDocument/2006/relationships/hyperlink" Target="https://www.youtube.com/watch?v=hsHWPGOE4V0" TargetMode="External"/><Relationship Id="rId55" Type="http://schemas.openxmlformats.org/officeDocument/2006/relationships/hyperlink" Target="https://youtu.be/sAq_ocpRh_I?t=18" TargetMode="External"/><Relationship Id="rId54" Type="http://schemas.openxmlformats.org/officeDocument/2006/relationships/hyperlink" Target="https://youtu.be/sAq_ocpRh_I?t=18" TargetMode="External"/><Relationship Id="rId57" Type="http://schemas.openxmlformats.org/officeDocument/2006/relationships/hyperlink" Target="https://youtu.be/JIZy6qGTL2s?t=88" TargetMode="External"/><Relationship Id="rId56" Type="http://schemas.openxmlformats.org/officeDocument/2006/relationships/hyperlink" Target="https://youtu.be/sAq_ocpRh_I?t=18" TargetMode="External"/><Relationship Id="rId59" Type="http://schemas.openxmlformats.org/officeDocument/2006/relationships/hyperlink" Target="https://youtu.be/JIZy6qGTL2s?t=88" TargetMode="External"/><Relationship Id="rId58" Type="http://schemas.openxmlformats.org/officeDocument/2006/relationships/hyperlink" Target="https://youtu.be/JIZy6qGTL2s?t=8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20.6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5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4.3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1"/>
      <c r="B13" s="1"/>
      <c r="C13" s="26" t="s">
        <v>15</v>
      </c>
      <c r="D13" s="27">
        <v>3.0</v>
      </c>
      <c r="E13" s="28" t="s">
        <v>16</v>
      </c>
      <c r="F13" s="28">
        <v>8.0</v>
      </c>
      <c r="G13" s="30"/>
      <c r="H13" s="30"/>
      <c r="I13" s="35" t="s">
        <v>17</v>
      </c>
      <c r="J13" s="23"/>
      <c r="K13" s="31"/>
      <c r="L13" s="23"/>
      <c r="M13" s="32"/>
      <c r="N13" s="1"/>
      <c r="O13" s="26" t="s">
        <v>15</v>
      </c>
      <c r="P13" s="27">
        <v>3.0</v>
      </c>
      <c r="Q13" s="28" t="s">
        <v>16</v>
      </c>
      <c r="R13" s="28">
        <v>8.0</v>
      </c>
      <c r="S13" s="30"/>
      <c r="T13" s="30"/>
      <c r="U13" s="35" t="s">
        <v>17</v>
      </c>
      <c r="V13" s="23"/>
      <c r="W13" s="31"/>
      <c r="X13" s="23"/>
      <c r="Y13" s="24"/>
      <c r="Z13" s="1"/>
      <c r="AA13" s="26" t="s">
        <v>15</v>
      </c>
      <c r="AB13" s="27">
        <v>3.0</v>
      </c>
      <c r="AC13" s="28" t="s">
        <v>16</v>
      </c>
      <c r="AD13" s="28">
        <v>8.0</v>
      </c>
      <c r="AE13" s="30"/>
      <c r="AF13" s="30"/>
      <c r="AG13" s="35" t="s">
        <v>17</v>
      </c>
      <c r="AH13" s="23"/>
      <c r="AI13" s="31"/>
      <c r="AJ13" s="23"/>
      <c r="AK13" s="33"/>
      <c r="AL13" s="1"/>
      <c r="AM13" s="26" t="s">
        <v>15</v>
      </c>
      <c r="AN13" s="27">
        <v>3.0</v>
      </c>
      <c r="AO13" s="28" t="s">
        <v>16</v>
      </c>
      <c r="AP13" s="28">
        <v>8.0</v>
      </c>
      <c r="AQ13" s="30"/>
      <c r="AR13" s="30"/>
      <c r="AS13" s="35" t="s">
        <v>17</v>
      </c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18</v>
      </c>
      <c r="D14" s="27">
        <v>3.0</v>
      </c>
      <c r="E14" s="28" t="s">
        <v>16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18</v>
      </c>
      <c r="P14" s="27">
        <v>3.0</v>
      </c>
      <c r="Q14" s="28" t="s">
        <v>16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18</v>
      </c>
      <c r="AB14" s="27">
        <v>3.0</v>
      </c>
      <c r="AC14" s="28" t="s">
        <v>16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18</v>
      </c>
      <c r="AN14" s="27">
        <v>3.0</v>
      </c>
      <c r="AO14" s="28" t="s">
        <v>16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4"/>
      <c r="B15" s="1"/>
      <c r="C15" s="26" t="s">
        <v>19</v>
      </c>
      <c r="D15" s="27">
        <v>3.0</v>
      </c>
      <c r="E15" s="28" t="s">
        <v>16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26" t="s">
        <v>19</v>
      </c>
      <c r="P15" s="27">
        <v>3.0</v>
      </c>
      <c r="Q15" s="28" t="s">
        <v>16</v>
      </c>
      <c r="R15" s="28">
        <v>8.0</v>
      </c>
      <c r="S15" s="30"/>
      <c r="T15" s="30"/>
      <c r="U15" s="31"/>
      <c r="V15" s="23"/>
      <c r="W15" s="31"/>
      <c r="X15" s="23"/>
      <c r="Y15" s="1"/>
      <c r="Z15" s="1"/>
      <c r="AA15" s="26" t="s">
        <v>19</v>
      </c>
      <c r="AB15" s="27">
        <v>3.0</v>
      </c>
      <c r="AC15" s="28" t="s">
        <v>16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26" t="s">
        <v>19</v>
      </c>
      <c r="AN15" s="27">
        <v>3.0</v>
      </c>
      <c r="AO15" s="28" t="s">
        <v>16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 ht="20.25" customHeight="1">
      <c r="A16" s="1"/>
      <c r="B16" s="1"/>
      <c r="C16" s="26" t="s">
        <v>20</v>
      </c>
      <c r="D16" s="36">
        <v>3.0</v>
      </c>
      <c r="E16" s="28" t="s">
        <v>16</v>
      </c>
      <c r="F16" s="37">
        <v>8.0</v>
      </c>
      <c r="G16" s="30"/>
      <c r="H16" s="30"/>
      <c r="I16" s="31"/>
      <c r="J16" s="23"/>
      <c r="K16" s="31"/>
      <c r="L16" s="23"/>
      <c r="M16" s="32"/>
      <c r="N16" s="1"/>
      <c r="O16" s="26" t="s">
        <v>20</v>
      </c>
      <c r="P16" s="36">
        <v>3.0</v>
      </c>
      <c r="Q16" s="28" t="s">
        <v>16</v>
      </c>
      <c r="R16" s="37">
        <v>8.0</v>
      </c>
      <c r="S16" s="30"/>
      <c r="T16" s="30"/>
      <c r="U16" s="31"/>
      <c r="V16" s="23"/>
      <c r="W16" s="31"/>
      <c r="X16" s="23"/>
      <c r="Y16" s="24"/>
      <c r="Z16" s="1"/>
      <c r="AA16" s="26" t="s">
        <v>20</v>
      </c>
      <c r="AB16" s="36">
        <v>3.0</v>
      </c>
      <c r="AC16" s="28" t="s">
        <v>16</v>
      </c>
      <c r="AD16" s="37">
        <v>8.0</v>
      </c>
      <c r="AE16" s="30"/>
      <c r="AF16" s="30"/>
      <c r="AG16" s="31"/>
      <c r="AH16" s="23"/>
      <c r="AI16" s="31"/>
      <c r="AJ16" s="23"/>
      <c r="AK16" s="33"/>
      <c r="AL16" s="1"/>
      <c r="AM16" s="26" t="s">
        <v>20</v>
      </c>
      <c r="AN16" s="36">
        <v>3.0</v>
      </c>
      <c r="AO16" s="28" t="s">
        <v>16</v>
      </c>
      <c r="AP16" s="37">
        <v>8.0</v>
      </c>
      <c r="AQ16" s="30"/>
      <c r="AR16" s="30"/>
      <c r="AS16" s="31"/>
      <c r="AT16" s="23"/>
      <c r="AU16" s="31"/>
      <c r="AV16" s="23"/>
      <c r="AW16" s="34"/>
      <c r="AX16" s="34"/>
    </row>
    <row r="17">
      <c r="A17" s="1"/>
      <c r="B17" s="1"/>
      <c r="C17" s="38" t="s">
        <v>21</v>
      </c>
      <c r="D17" s="27">
        <v>3.0</v>
      </c>
      <c r="E17" s="28" t="s">
        <v>16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38" t="s">
        <v>21</v>
      </c>
      <c r="P17" s="27">
        <v>3.0</v>
      </c>
      <c r="Q17" s="28" t="s">
        <v>16</v>
      </c>
      <c r="R17" s="28">
        <v>8.0</v>
      </c>
      <c r="S17" s="30"/>
      <c r="T17" s="30"/>
      <c r="U17" s="31"/>
      <c r="V17" s="23"/>
      <c r="W17" s="31"/>
      <c r="X17" s="23"/>
      <c r="Y17" s="1"/>
      <c r="Z17" s="1"/>
      <c r="AA17" s="38" t="s">
        <v>21</v>
      </c>
      <c r="AB17" s="27">
        <v>3.0</v>
      </c>
      <c r="AC17" s="28" t="s">
        <v>16</v>
      </c>
      <c r="AD17" s="28">
        <v>8.0</v>
      </c>
      <c r="AE17" s="30"/>
      <c r="AF17" s="30"/>
      <c r="AG17" s="31"/>
      <c r="AH17" s="23"/>
      <c r="AI17" s="31"/>
      <c r="AJ17" s="23"/>
      <c r="AK17" s="33"/>
      <c r="AL17" s="1"/>
      <c r="AM17" s="38" t="s">
        <v>21</v>
      </c>
      <c r="AN17" s="27">
        <v>3.0</v>
      </c>
      <c r="AO17" s="28" t="s">
        <v>16</v>
      </c>
      <c r="AP17" s="28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9"/>
      <c r="AX18" s="39"/>
    </row>
    <row r="19" ht="20.25" customHeight="1">
      <c r="A19" s="1"/>
      <c r="B19" s="4"/>
      <c r="C19" s="12" t="s">
        <v>22</v>
      </c>
      <c r="D19" s="40"/>
      <c r="E19" s="40"/>
      <c r="F19" s="1"/>
      <c r="G19" s="1"/>
      <c r="H19" s="1"/>
      <c r="I19" s="1"/>
      <c r="J19" s="1"/>
      <c r="K19" s="1"/>
      <c r="L19" s="1"/>
      <c r="M19" s="5"/>
      <c r="N19" s="4"/>
      <c r="O19" s="12" t="s">
        <v>22</v>
      </c>
      <c r="P19" s="40"/>
      <c r="Q19" s="40"/>
      <c r="R19" s="1"/>
      <c r="S19" s="1"/>
      <c r="T19" s="1"/>
      <c r="U19" s="1"/>
      <c r="V19" s="1"/>
      <c r="W19" s="1"/>
      <c r="X19" s="1"/>
      <c r="Y19" s="24"/>
      <c r="Z19" s="4"/>
      <c r="AA19" s="12" t="s">
        <v>22</v>
      </c>
      <c r="AB19" s="40"/>
      <c r="AC19" s="40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22</v>
      </c>
      <c r="AN19" s="40"/>
      <c r="AO19" s="40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23</v>
      </c>
      <c r="C20" s="41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23</v>
      </c>
      <c r="O20" s="41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23</v>
      </c>
      <c r="AA20" s="41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3"/>
      <c r="AL20" s="12" t="s">
        <v>23</v>
      </c>
      <c r="AM20" s="41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1"/>
      <c r="C21" s="42" t="s">
        <v>24</v>
      </c>
      <c r="D21" s="37">
        <v>3.0</v>
      </c>
      <c r="E21" s="28" t="s">
        <v>16</v>
      </c>
      <c r="F21" s="37">
        <v>8.0</v>
      </c>
      <c r="G21" s="43"/>
      <c r="H21" s="44"/>
      <c r="I21" s="31"/>
      <c r="J21" s="23"/>
      <c r="K21" s="31"/>
      <c r="L21" s="23"/>
      <c r="M21" s="17"/>
      <c r="N21" s="1"/>
      <c r="O21" s="42" t="s">
        <v>24</v>
      </c>
      <c r="P21" s="37">
        <v>3.0</v>
      </c>
      <c r="Q21" s="28" t="s">
        <v>16</v>
      </c>
      <c r="R21" s="37">
        <v>8.0</v>
      </c>
      <c r="S21" s="43"/>
      <c r="T21" s="44"/>
      <c r="U21" s="31"/>
      <c r="V21" s="23"/>
      <c r="W21" s="31"/>
      <c r="X21" s="23"/>
      <c r="Y21" s="1"/>
      <c r="Z21" s="1"/>
      <c r="AA21" s="42" t="s">
        <v>24</v>
      </c>
      <c r="AB21" s="37">
        <v>3.0</v>
      </c>
      <c r="AC21" s="28" t="s">
        <v>16</v>
      </c>
      <c r="AD21" s="37">
        <v>8.0</v>
      </c>
      <c r="AE21" s="43"/>
      <c r="AF21" s="44"/>
      <c r="AG21" s="31"/>
      <c r="AH21" s="23"/>
      <c r="AI21" s="31"/>
      <c r="AJ21" s="23"/>
      <c r="AK21" s="33"/>
      <c r="AL21" s="1"/>
      <c r="AM21" s="42" t="s">
        <v>24</v>
      </c>
      <c r="AN21" s="37">
        <v>3.0</v>
      </c>
      <c r="AO21" s="28" t="s">
        <v>16</v>
      </c>
      <c r="AP21" s="37">
        <v>8.0</v>
      </c>
      <c r="AQ21" s="43"/>
      <c r="AR21" s="44"/>
      <c r="AS21" s="31"/>
      <c r="AT21" s="23"/>
      <c r="AU21" s="31"/>
      <c r="AV21" s="23"/>
      <c r="AW21" s="34"/>
      <c r="AX21" s="34"/>
    </row>
    <row r="22" ht="20.25" customHeight="1">
      <c r="A22" s="4"/>
      <c r="B22" s="1"/>
      <c r="C22" s="45" t="s">
        <v>25</v>
      </c>
      <c r="D22" s="37">
        <v>3.0</v>
      </c>
      <c r="E22" s="28" t="s">
        <v>16</v>
      </c>
      <c r="F22" s="37">
        <v>8.0</v>
      </c>
      <c r="G22" s="43"/>
      <c r="H22" s="44"/>
      <c r="I22" s="31"/>
      <c r="J22" s="23"/>
      <c r="K22" s="31"/>
      <c r="L22" s="23"/>
      <c r="M22" s="17"/>
      <c r="N22" s="1"/>
      <c r="O22" s="45" t="s">
        <v>25</v>
      </c>
      <c r="P22" s="37">
        <v>3.0</v>
      </c>
      <c r="Q22" s="28" t="s">
        <v>16</v>
      </c>
      <c r="R22" s="37">
        <v>8.0</v>
      </c>
      <c r="S22" s="43"/>
      <c r="T22" s="44"/>
      <c r="U22" s="31"/>
      <c r="V22" s="23"/>
      <c r="W22" s="31"/>
      <c r="X22" s="23"/>
      <c r="Y22" s="1"/>
      <c r="Z22" s="1"/>
      <c r="AA22" s="45" t="s">
        <v>25</v>
      </c>
      <c r="AB22" s="37">
        <v>3.0</v>
      </c>
      <c r="AC22" s="28" t="s">
        <v>16</v>
      </c>
      <c r="AD22" s="37">
        <v>8.0</v>
      </c>
      <c r="AE22" s="43"/>
      <c r="AF22" s="44"/>
      <c r="AG22" s="31"/>
      <c r="AH22" s="23"/>
      <c r="AI22" s="31"/>
      <c r="AJ22" s="23"/>
      <c r="AK22" s="33"/>
      <c r="AL22" s="1"/>
      <c r="AM22" s="45" t="s">
        <v>25</v>
      </c>
      <c r="AN22" s="37">
        <v>3.0</v>
      </c>
      <c r="AO22" s="28" t="s">
        <v>16</v>
      </c>
      <c r="AP22" s="37">
        <v>8.0</v>
      </c>
      <c r="AQ22" s="43"/>
      <c r="AR22" s="44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42" t="s">
        <v>26</v>
      </c>
      <c r="D23" s="37">
        <v>3.0</v>
      </c>
      <c r="E23" s="28" t="s">
        <v>16</v>
      </c>
      <c r="F23" s="37">
        <v>8.0</v>
      </c>
      <c r="G23" s="30"/>
      <c r="H23" s="30"/>
      <c r="I23" s="35" t="s">
        <v>27</v>
      </c>
      <c r="J23" s="23"/>
      <c r="K23" s="31"/>
      <c r="L23" s="23"/>
      <c r="M23" s="32"/>
      <c r="N23" s="1"/>
      <c r="O23" s="42" t="s">
        <v>26</v>
      </c>
      <c r="P23" s="37">
        <v>3.0</v>
      </c>
      <c r="Q23" s="28" t="s">
        <v>16</v>
      </c>
      <c r="R23" s="37">
        <v>8.0</v>
      </c>
      <c r="S23" s="30"/>
      <c r="T23" s="30"/>
      <c r="U23" s="35" t="s">
        <v>27</v>
      </c>
      <c r="V23" s="23"/>
      <c r="W23" s="31"/>
      <c r="X23" s="23"/>
      <c r="Y23" s="24"/>
      <c r="Z23" s="1"/>
      <c r="AA23" s="42" t="s">
        <v>26</v>
      </c>
      <c r="AB23" s="37">
        <v>3.0</v>
      </c>
      <c r="AC23" s="28" t="s">
        <v>16</v>
      </c>
      <c r="AD23" s="37">
        <v>8.0</v>
      </c>
      <c r="AE23" s="30"/>
      <c r="AF23" s="30"/>
      <c r="AG23" s="35" t="s">
        <v>27</v>
      </c>
      <c r="AH23" s="23"/>
      <c r="AI23" s="31"/>
      <c r="AJ23" s="23"/>
      <c r="AK23" s="33"/>
      <c r="AL23" s="1"/>
      <c r="AM23" s="42" t="s">
        <v>26</v>
      </c>
      <c r="AN23" s="37">
        <v>3.0</v>
      </c>
      <c r="AO23" s="28" t="s">
        <v>16</v>
      </c>
      <c r="AP23" s="37">
        <v>8.0</v>
      </c>
      <c r="AQ23" s="30"/>
      <c r="AR23" s="30"/>
      <c r="AS23" s="35" t="s">
        <v>27</v>
      </c>
      <c r="AT23" s="23"/>
      <c r="AU23" s="31"/>
      <c r="AV23" s="23"/>
      <c r="AW23" s="34"/>
      <c r="AX23" s="34"/>
    </row>
    <row r="24" ht="20.25" customHeight="1">
      <c r="A24" s="1"/>
      <c r="B24" s="1"/>
      <c r="C24" s="42" t="s">
        <v>28</v>
      </c>
      <c r="D24" s="37">
        <v>3.0</v>
      </c>
      <c r="E24" s="28" t="s">
        <v>16</v>
      </c>
      <c r="F24" s="37">
        <v>8.0</v>
      </c>
      <c r="G24" s="30"/>
      <c r="H24" s="30"/>
      <c r="I24" s="31"/>
      <c r="J24" s="23"/>
      <c r="K24" s="31"/>
      <c r="L24" s="23"/>
      <c r="M24" s="32"/>
      <c r="N24" s="1"/>
      <c r="O24" s="42" t="s">
        <v>28</v>
      </c>
      <c r="P24" s="37">
        <v>3.0</v>
      </c>
      <c r="Q24" s="28" t="s">
        <v>16</v>
      </c>
      <c r="R24" s="37">
        <v>8.0</v>
      </c>
      <c r="S24" s="30"/>
      <c r="T24" s="30"/>
      <c r="U24" s="31"/>
      <c r="V24" s="23"/>
      <c r="W24" s="31"/>
      <c r="X24" s="23"/>
      <c r="Y24" s="24"/>
      <c r="Z24" s="1"/>
      <c r="AA24" s="42" t="s">
        <v>28</v>
      </c>
      <c r="AB24" s="37">
        <v>3.0</v>
      </c>
      <c r="AC24" s="28" t="s">
        <v>16</v>
      </c>
      <c r="AD24" s="37">
        <v>8.0</v>
      </c>
      <c r="AE24" s="30"/>
      <c r="AF24" s="30"/>
      <c r="AG24" s="31"/>
      <c r="AH24" s="23"/>
      <c r="AI24" s="31"/>
      <c r="AJ24" s="23"/>
      <c r="AK24" s="33"/>
      <c r="AL24" s="1"/>
      <c r="AM24" s="42" t="s">
        <v>28</v>
      </c>
      <c r="AN24" s="37">
        <v>3.0</v>
      </c>
      <c r="AO24" s="28" t="s">
        <v>16</v>
      </c>
      <c r="AP24" s="37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5"/>
      <c r="N25" s="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"/>
      <c r="Z25" s="1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2"/>
      <c r="AL25" s="1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39"/>
      <c r="AX25" s="39"/>
    </row>
    <row r="26" ht="20.25" customHeight="1">
      <c r="A26" s="1"/>
      <c r="B26" s="46"/>
      <c r="C26" s="47" t="s">
        <v>29</v>
      </c>
      <c r="D26" s="48"/>
      <c r="E26" s="48"/>
      <c r="F26" s="48"/>
      <c r="G26" s="48"/>
      <c r="H26" s="48"/>
      <c r="I26" s="48"/>
      <c r="J26" s="48"/>
      <c r="K26" s="48"/>
      <c r="L26" s="48"/>
      <c r="M26" s="5"/>
      <c r="N26" s="46"/>
      <c r="O26" s="47" t="s">
        <v>29</v>
      </c>
      <c r="P26" s="48"/>
      <c r="Q26" s="48"/>
      <c r="R26" s="48"/>
      <c r="S26" s="48"/>
      <c r="T26" s="48"/>
      <c r="U26" s="48"/>
      <c r="V26" s="48"/>
      <c r="W26" s="48"/>
      <c r="X26" s="48"/>
      <c r="Y26" s="2"/>
      <c r="Z26" s="46"/>
      <c r="AA26" s="47" t="s">
        <v>29</v>
      </c>
      <c r="AB26" s="48"/>
      <c r="AC26" s="48"/>
      <c r="AD26" s="48"/>
      <c r="AE26" s="48"/>
      <c r="AF26" s="48"/>
      <c r="AG26" s="48"/>
      <c r="AH26" s="48"/>
      <c r="AI26" s="48"/>
      <c r="AJ26" s="48"/>
      <c r="AK26" s="2"/>
      <c r="AL26" s="46"/>
      <c r="AM26" s="47" t="s">
        <v>29</v>
      </c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</row>
    <row r="27" ht="20.25" customHeight="1">
      <c r="A27" s="1"/>
      <c r="B27" s="49" t="s">
        <v>30</v>
      </c>
      <c r="C27" s="50" t="s">
        <v>6</v>
      </c>
      <c r="D27" s="50" t="s">
        <v>7</v>
      </c>
      <c r="E27" s="50" t="s">
        <v>8</v>
      </c>
      <c r="F27" s="50" t="s">
        <v>9</v>
      </c>
      <c r="G27" s="50" t="s">
        <v>10</v>
      </c>
      <c r="H27" s="50" t="s">
        <v>11</v>
      </c>
      <c r="I27" s="51" t="s">
        <v>12</v>
      </c>
      <c r="J27" s="23"/>
      <c r="K27" s="51" t="s">
        <v>13</v>
      </c>
      <c r="L27" s="23"/>
      <c r="M27" s="5"/>
      <c r="N27" s="49" t="s">
        <v>30</v>
      </c>
      <c r="O27" s="50" t="s">
        <v>6</v>
      </c>
      <c r="P27" s="50" t="s">
        <v>7</v>
      </c>
      <c r="Q27" s="50" t="s">
        <v>8</v>
      </c>
      <c r="R27" s="50" t="s">
        <v>9</v>
      </c>
      <c r="S27" s="50" t="s">
        <v>10</v>
      </c>
      <c r="T27" s="50" t="s">
        <v>11</v>
      </c>
      <c r="U27" s="51" t="s">
        <v>12</v>
      </c>
      <c r="V27" s="23"/>
      <c r="W27" s="51" t="s">
        <v>13</v>
      </c>
      <c r="X27" s="23"/>
      <c r="Y27" s="2"/>
      <c r="Z27" s="49" t="s">
        <v>30</v>
      </c>
      <c r="AA27" s="50" t="s">
        <v>6</v>
      </c>
      <c r="AB27" s="50" t="s">
        <v>7</v>
      </c>
      <c r="AC27" s="50" t="s">
        <v>8</v>
      </c>
      <c r="AD27" s="50" t="s">
        <v>9</v>
      </c>
      <c r="AE27" s="50" t="s">
        <v>10</v>
      </c>
      <c r="AF27" s="50" t="s">
        <v>11</v>
      </c>
      <c r="AG27" s="51" t="s">
        <v>12</v>
      </c>
      <c r="AH27" s="23"/>
      <c r="AI27" s="51" t="s">
        <v>13</v>
      </c>
      <c r="AJ27" s="23"/>
      <c r="AK27" s="2"/>
      <c r="AL27" s="49" t="s">
        <v>30</v>
      </c>
      <c r="AM27" s="50" t="s">
        <v>6</v>
      </c>
      <c r="AN27" s="50" t="s">
        <v>7</v>
      </c>
      <c r="AO27" s="50" t="s">
        <v>8</v>
      </c>
      <c r="AP27" s="50" t="s">
        <v>9</v>
      </c>
      <c r="AQ27" s="50" t="s">
        <v>10</v>
      </c>
      <c r="AR27" s="50" t="s">
        <v>11</v>
      </c>
      <c r="AS27" s="51" t="s">
        <v>12</v>
      </c>
      <c r="AT27" s="23"/>
      <c r="AU27" s="51" t="s">
        <v>13</v>
      </c>
      <c r="AV27" s="23"/>
      <c r="AW27" s="52"/>
      <c r="AX27" s="52"/>
    </row>
    <row r="28" ht="20.25" customHeight="1">
      <c r="A28" s="1"/>
      <c r="B28" s="53"/>
      <c r="C28" s="54" t="s">
        <v>31</v>
      </c>
      <c r="D28" s="37">
        <v>3.0</v>
      </c>
      <c r="E28" s="28" t="s">
        <v>16</v>
      </c>
      <c r="F28" s="55">
        <v>8.0</v>
      </c>
      <c r="G28" s="56"/>
      <c r="H28" s="56"/>
      <c r="I28" s="57"/>
      <c r="J28" s="23"/>
      <c r="K28" s="57"/>
      <c r="L28" s="23"/>
      <c r="M28" s="5"/>
      <c r="N28" s="53"/>
      <c r="O28" s="54" t="s">
        <v>31</v>
      </c>
      <c r="P28" s="37">
        <v>3.0</v>
      </c>
      <c r="Q28" s="28" t="s">
        <v>16</v>
      </c>
      <c r="R28" s="55">
        <v>8.0</v>
      </c>
      <c r="S28" s="56"/>
      <c r="T28" s="56"/>
      <c r="U28" s="57"/>
      <c r="V28" s="23"/>
      <c r="W28" s="57"/>
      <c r="X28" s="23"/>
      <c r="Y28" s="2"/>
      <c r="Z28" s="53"/>
      <c r="AA28" s="54" t="s">
        <v>31</v>
      </c>
      <c r="AB28" s="37">
        <v>3.0</v>
      </c>
      <c r="AC28" s="28" t="s">
        <v>16</v>
      </c>
      <c r="AD28" s="55">
        <v>8.0</v>
      </c>
      <c r="AE28" s="56"/>
      <c r="AF28" s="56"/>
      <c r="AG28" s="57"/>
      <c r="AH28" s="23"/>
      <c r="AI28" s="57"/>
      <c r="AJ28" s="23"/>
      <c r="AK28" s="2"/>
      <c r="AL28" s="53"/>
      <c r="AM28" s="54" t="s">
        <v>31</v>
      </c>
      <c r="AN28" s="37">
        <v>3.0</v>
      </c>
      <c r="AO28" s="28" t="s">
        <v>16</v>
      </c>
      <c r="AP28" s="55">
        <v>8.0</v>
      </c>
      <c r="AQ28" s="56"/>
      <c r="AR28" s="56"/>
      <c r="AS28" s="57"/>
      <c r="AT28" s="23"/>
      <c r="AU28" s="57"/>
      <c r="AV28" s="23"/>
      <c r="AW28" s="48"/>
      <c r="AX28" s="48"/>
    </row>
    <row r="29" ht="20.25" customHeight="1">
      <c r="A29" s="1"/>
      <c r="B29" s="53"/>
      <c r="C29" s="42" t="s">
        <v>32</v>
      </c>
      <c r="D29" s="37">
        <v>3.0</v>
      </c>
      <c r="E29" s="28" t="s">
        <v>16</v>
      </c>
      <c r="F29" s="55">
        <v>8.0</v>
      </c>
      <c r="G29" s="56"/>
      <c r="H29" s="56"/>
      <c r="I29" s="57"/>
      <c r="J29" s="23"/>
      <c r="K29" s="57"/>
      <c r="L29" s="23"/>
      <c r="M29" s="5"/>
      <c r="N29" s="53"/>
      <c r="O29" s="42" t="s">
        <v>32</v>
      </c>
      <c r="P29" s="37">
        <v>3.0</v>
      </c>
      <c r="Q29" s="28" t="s">
        <v>16</v>
      </c>
      <c r="R29" s="55">
        <v>8.0</v>
      </c>
      <c r="S29" s="56"/>
      <c r="T29" s="56"/>
      <c r="U29" s="57"/>
      <c r="V29" s="23"/>
      <c r="W29" s="57"/>
      <c r="X29" s="23"/>
      <c r="Y29" s="2"/>
      <c r="Z29" s="53"/>
      <c r="AA29" s="42" t="s">
        <v>32</v>
      </c>
      <c r="AB29" s="37">
        <v>3.0</v>
      </c>
      <c r="AC29" s="28" t="s">
        <v>16</v>
      </c>
      <c r="AD29" s="55">
        <v>8.0</v>
      </c>
      <c r="AE29" s="56"/>
      <c r="AF29" s="56"/>
      <c r="AG29" s="57"/>
      <c r="AH29" s="23"/>
      <c r="AI29" s="57"/>
      <c r="AJ29" s="23"/>
      <c r="AK29" s="2"/>
      <c r="AL29" s="53"/>
      <c r="AM29" s="42" t="s">
        <v>32</v>
      </c>
      <c r="AN29" s="37">
        <v>3.0</v>
      </c>
      <c r="AO29" s="28" t="s">
        <v>16</v>
      </c>
      <c r="AP29" s="55">
        <v>8.0</v>
      </c>
      <c r="AQ29" s="56"/>
      <c r="AR29" s="56"/>
      <c r="AS29" s="57"/>
      <c r="AT29" s="23"/>
      <c r="AU29" s="57"/>
      <c r="AV29" s="23"/>
      <c r="AW29" s="48"/>
      <c r="AX29" s="48"/>
    </row>
    <row r="30" ht="20.25" customHeight="1">
      <c r="A30" s="1"/>
      <c r="B30" s="53"/>
      <c r="C30" s="42" t="s">
        <v>33</v>
      </c>
      <c r="D30" s="37">
        <v>3.0</v>
      </c>
      <c r="E30" s="28" t="s">
        <v>16</v>
      </c>
      <c r="F30" s="55">
        <v>8.0</v>
      </c>
      <c r="G30" s="56"/>
      <c r="H30" s="57"/>
      <c r="I30" s="57"/>
      <c r="J30" s="23"/>
      <c r="K30" s="57"/>
      <c r="L30" s="23"/>
      <c r="M30" s="5"/>
      <c r="N30" s="53"/>
      <c r="O30" s="42" t="s">
        <v>33</v>
      </c>
      <c r="P30" s="37">
        <v>3.0</v>
      </c>
      <c r="Q30" s="28" t="s">
        <v>16</v>
      </c>
      <c r="R30" s="55">
        <v>8.0</v>
      </c>
      <c r="S30" s="56"/>
      <c r="T30" s="57"/>
      <c r="U30" s="57"/>
      <c r="V30" s="23"/>
      <c r="W30" s="57"/>
      <c r="X30" s="23"/>
      <c r="Y30" s="2"/>
      <c r="Z30" s="53"/>
      <c r="AA30" s="42" t="s">
        <v>33</v>
      </c>
      <c r="AB30" s="37">
        <v>3.0</v>
      </c>
      <c r="AC30" s="28" t="s">
        <v>16</v>
      </c>
      <c r="AD30" s="55">
        <v>8.0</v>
      </c>
      <c r="AE30" s="56"/>
      <c r="AF30" s="57"/>
      <c r="AG30" s="57"/>
      <c r="AH30" s="23"/>
      <c r="AI30" s="57"/>
      <c r="AJ30" s="23"/>
      <c r="AK30" s="2"/>
      <c r="AL30" s="53"/>
      <c r="AM30" s="42" t="s">
        <v>33</v>
      </c>
      <c r="AN30" s="37">
        <v>3.0</v>
      </c>
      <c r="AO30" s="28" t="s">
        <v>16</v>
      </c>
      <c r="AP30" s="55">
        <v>8.0</v>
      </c>
      <c r="AQ30" s="56"/>
      <c r="AR30" s="57"/>
      <c r="AS30" s="57"/>
      <c r="AT30" s="23"/>
      <c r="AU30" s="57"/>
      <c r="AV30" s="23"/>
      <c r="AW30" s="48"/>
      <c r="AX30" s="48"/>
    </row>
    <row r="31" ht="20.25" customHeight="1">
      <c r="A31" s="1"/>
      <c r="B31" s="53"/>
      <c r="C31" s="42" t="s">
        <v>34</v>
      </c>
      <c r="D31" s="37">
        <v>3.0</v>
      </c>
      <c r="E31" s="28" t="s">
        <v>16</v>
      </c>
      <c r="F31" s="55">
        <v>8.0</v>
      </c>
      <c r="G31" s="56"/>
      <c r="H31" s="56"/>
      <c r="I31" s="58" t="s">
        <v>35</v>
      </c>
      <c r="J31" s="23"/>
      <c r="K31" s="57"/>
      <c r="L31" s="23"/>
      <c r="M31" s="5"/>
      <c r="N31" s="53"/>
      <c r="O31" s="42" t="s">
        <v>34</v>
      </c>
      <c r="P31" s="37">
        <v>3.0</v>
      </c>
      <c r="Q31" s="28" t="s">
        <v>16</v>
      </c>
      <c r="R31" s="55">
        <v>8.0</v>
      </c>
      <c r="S31" s="56"/>
      <c r="T31" s="56"/>
      <c r="U31" s="58" t="s">
        <v>35</v>
      </c>
      <c r="V31" s="23"/>
      <c r="W31" s="57"/>
      <c r="X31" s="23"/>
      <c r="Y31" s="2"/>
      <c r="Z31" s="53"/>
      <c r="AA31" s="42" t="s">
        <v>34</v>
      </c>
      <c r="AB31" s="37">
        <v>3.0</v>
      </c>
      <c r="AC31" s="28" t="s">
        <v>16</v>
      </c>
      <c r="AD31" s="55">
        <v>8.0</v>
      </c>
      <c r="AE31" s="56"/>
      <c r="AF31" s="56"/>
      <c r="AG31" s="58" t="s">
        <v>35</v>
      </c>
      <c r="AH31" s="23"/>
      <c r="AI31" s="57"/>
      <c r="AJ31" s="23"/>
      <c r="AK31" s="2"/>
      <c r="AL31" s="53"/>
      <c r="AM31" s="42" t="s">
        <v>34</v>
      </c>
      <c r="AN31" s="37">
        <v>3.0</v>
      </c>
      <c r="AO31" s="28" t="s">
        <v>16</v>
      </c>
      <c r="AP31" s="55">
        <v>8.0</v>
      </c>
      <c r="AQ31" s="56"/>
      <c r="AR31" s="56"/>
      <c r="AS31" s="58" t="s">
        <v>35</v>
      </c>
      <c r="AT31" s="23"/>
      <c r="AU31" s="57"/>
      <c r="AV31" s="23"/>
      <c r="AW31" s="48"/>
      <c r="AX31" s="48"/>
    </row>
    <row r="32" ht="20.25" customHeight="1">
      <c r="A32" s="1"/>
      <c r="B32" s="46"/>
      <c r="C32" s="59" t="s">
        <v>36</v>
      </c>
      <c r="D32" s="37">
        <v>3.0</v>
      </c>
      <c r="E32" s="28" t="s">
        <v>16</v>
      </c>
      <c r="F32" s="55">
        <v>8.0</v>
      </c>
      <c r="G32" s="56"/>
      <c r="H32" s="56"/>
      <c r="I32" s="35" t="s">
        <v>37</v>
      </c>
      <c r="J32" s="23"/>
      <c r="K32" s="57"/>
      <c r="L32" s="23"/>
      <c r="M32" s="5"/>
      <c r="N32" s="46"/>
      <c r="O32" s="59" t="s">
        <v>36</v>
      </c>
      <c r="P32" s="37">
        <v>3.0</v>
      </c>
      <c r="Q32" s="28" t="s">
        <v>16</v>
      </c>
      <c r="R32" s="55">
        <v>8.0</v>
      </c>
      <c r="S32" s="56"/>
      <c r="T32" s="56"/>
      <c r="U32" s="35" t="s">
        <v>37</v>
      </c>
      <c r="V32" s="23"/>
      <c r="W32" s="57"/>
      <c r="X32" s="23"/>
      <c r="Y32" s="2"/>
      <c r="Z32" s="46"/>
      <c r="AA32" s="59" t="s">
        <v>36</v>
      </c>
      <c r="AB32" s="37">
        <v>3.0</v>
      </c>
      <c r="AC32" s="28" t="s">
        <v>16</v>
      </c>
      <c r="AD32" s="55">
        <v>8.0</v>
      </c>
      <c r="AE32" s="56"/>
      <c r="AF32" s="56"/>
      <c r="AG32" s="35" t="s">
        <v>37</v>
      </c>
      <c r="AH32" s="23"/>
      <c r="AI32" s="57"/>
      <c r="AJ32" s="23"/>
      <c r="AK32" s="2"/>
      <c r="AL32" s="46"/>
      <c r="AM32" s="59" t="s">
        <v>36</v>
      </c>
      <c r="AN32" s="37">
        <v>3.0</v>
      </c>
      <c r="AO32" s="28" t="s">
        <v>16</v>
      </c>
      <c r="AP32" s="55">
        <v>8.0</v>
      </c>
      <c r="AQ32" s="56"/>
      <c r="AR32" s="56"/>
      <c r="AS32" s="35" t="s">
        <v>37</v>
      </c>
      <c r="AT32" s="23"/>
      <c r="AU32" s="57"/>
      <c r="AV32" s="23"/>
      <c r="AW32" s="48"/>
      <c r="AX32" s="48"/>
    </row>
    <row r="33" ht="20.25" customHeight="1">
      <c r="A33" s="1"/>
      <c r="B33" s="1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5"/>
      <c r="N33" s="1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"/>
      <c r="Z33" s="1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2"/>
      <c r="AL33" s="1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39"/>
      <c r="AX33" s="39"/>
    </row>
    <row r="34" ht="20.25" customHeight="1">
      <c r="A34" s="1"/>
      <c r="B34" s="1"/>
      <c r="C34" s="60" t="s">
        <v>38</v>
      </c>
      <c r="D34" s="61"/>
      <c r="E34" s="61"/>
      <c r="F34" s="61"/>
      <c r="G34" s="61"/>
      <c r="H34" s="61"/>
      <c r="I34" s="61"/>
      <c r="J34" s="61"/>
      <c r="K34" s="61"/>
      <c r="L34" s="23"/>
      <c r="M34" s="5"/>
      <c r="N34" s="1"/>
      <c r="O34" s="60" t="s">
        <v>38</v>
      </c>
      <c r="P34" s="61"/>
      <c r="Q34" s="61"/>
      <c r="R34" s="61"/>
      <c r="S34" s="61"/>
      <c r="T34" s="61"/>
      <c r="U34" s="61"/>
      <c r="V34" s="61"/>
      <c r="W34" s="61"/>
      <c r="X34" s="23"/>
      <c r="Y34" s="62"/>
      <c r="Z34" s="1"/>
      <c r="AA34" s="60" t="s">
        <v>38</v>
      </c>
      <c r="AB34" s="61"/>
      <c r="AC34" s="61"/>
      <c r="AD34" s="61"/>
      <c r="AE34" s="61"/>
      <c r="AF34" s="61"/>
      <c r="AG34" s="61"/>
      <c r="AH34" s="61"/>
      <c r="AI34" s="61"/>
      <c r="AJ34" s="23"/>
      <c r="AK34" s="3"/>
      <c r="AL34" s="1"/>
      <c r="AM34" s="60" t="s">
        <v>38</v>
      </c>
      <c r="AN34" s="61"/>
      <c r="AO34" s="61"/>
      <c r="AP34" s="61"/>
      <c r="AQ34" s="61"/>
      <c r="AR34" s="61"/>
      <c r="AS34" s="61"/>
      <c r="AT34" s="61"/>
      <c r="AU34" s="61"/>
      <c r="AV34" s="23"/>
      <c r="AW34" s="63"/>
      <c r="AX34" s="63"/>
    </row>
    <row r="35" ht="27.0" customHeight="1">
      <c r="A35" s="4"/>
      <c r="B35" s="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32"/>
      <c r="N35" s="2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34"/>
      <c r="Z35" s="2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33"/>
      <c r="AL35" s="2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39"/>
      <c r="AX35" s="39"/>
    </row>
    <row r="36">
      <c r="A36" s="1"/>
      <c r="B36" s="16"/>
      <c r="C36" s="12" t="s">
        <v>39</v>
      </c>
      <c r="D36" s="40"/>
      <c r="E36" s="40"/>
      <c r="F36" s="1"/>
      <c r="G36" s="1"/>
      <c r="H36" s="1"/>
      <c r="I36" s="1"/>
      <c r="J36" s="1"/>
      <c r="K36" s="1"/>
      <c r="L36" s="1"/>
      <c r="M36" s="32"/>
      <c r="N36" s="16"/>
      <c r="O36" s="12" t="s">
        <v>39</v>
      </c>
      <c r="P36" s="40"/>
      <c r="Q36" s="40"/>
      <c r="R36" s="1"/>
      <c r="S36" s="1"/>
      <c r="T36" s="1"/>
      <c r="U36" s="1"/>
      <c r="V36" s="1"/>
      <c r="W36" s="1"/>
      <c r="X36" s="1"/>
      <c r="Y36" s="34"/>
      <c r="Z36" s="16"/>
      <c r="AA36" s="12" t="s">
        <v>39</v>
      </c>
      <c r="AB36" s="40"/>
      <c r="AC36" s="40"/>
      <c r="AD36" s="1"/>
      <c r="AE36" s="1"/>
      <c r="AF36" s="1"/>
      <c r="AG36" s="1"/>
      <c r="AH36" s="1"/>
      <c r="AI36" s="1"/>
      <c r="AJ36" s="1"/>
      <c r="AK36" s="33"/>
      <c r="AL36" s="16"/>
      <c r="AM36" s="12" t="s">
        <v>39</v>
      </c>
      <c r="AN36" s="40"/>
      <c r="AO36" s="40"/>
      <c r="AP36" s="1"/>
      <c r="AQ36" s="1"/>
      <c r="AR36" s="1"/>
      <c r="AS36" s="1"/>
      <c r="AT36" s="1"/>
      <c r="AU36" s="1"/>
      <c r="AV36" s="1"/>
      <c r="AW36" s="1"/>
      <c r="AX36" s="1"/>
    </row>
    <row r="37" ht="20.25" customHeight="1">
      <c r="A37" s="7"/>
      <c r="B37" s="64" t="s">
        <v>40</v>
      </c>
      <c r="C37" s="21" t="s">
        <v>6</v>
      </c>
      <c r="D37" s="21" t="s">
        <v>7</v>
      </c>
      <c r="E37" s="21" t="s">
        <v>8</v>
      </c>
      <c r="F37" s="20" t="s">
        <v>9</v>
      </c>
      <c r="G37" s="21" t="s">
        <v>10</v>
      </c>
      <c r="H37" s="21" t="s">
        <v>11</v>
      </c>
      <c r="I37" s="22" t="s">
        <v>12</v>
      </c>
      <c r="J37" s="23"/>
      <c r="K37" s="22" t="s">
        <v>13</v>
      </c>
      <c r="L37" s="23"/>
      <c r="M37" s="5"/>
      <c r="N37" s="64" t="s">
        <v>40</v>
      </c>
      <c r="O37" s="21" t="s">
        <v>6</v>
      </c>
      <c r="P37" s="21" t="s">
        <v>7</v>
      </c>
      <c r="Q37" s="21" t="s">
        <v>8</v>
      </c>
      <c r="R37" s="20" t="s">
        <v>9</v>
      </c>
      <c r="S37" s="21" t="s">
        <v>10</v>
      </c>
      <c r="T37" s="21" t="s">
        <v>11</v>
      </c>
      <c r="U37" s="22" t="s">
        <v>12</v>
      </c>
      <c r="V37" s="23"/>
      <c r="W37" s="22" t="s">
        <v>13</v>
      </c>
      <c r="X37" s="23"/>
      <c r="Y37" s="34"/>
      <c r="Z37" s="64" t="s">
        <v>40</v>
      </c>
      <c r="AA37" s="21" t="s">
        <v>6</v>
      </c>
      <c r="AB37" s="21" t="s">
        <v>7</v>
      </c>
      <c r="AC37" s="21" t="s">
        <v>8</v>
      </c>
      <c r="AD37" s="20" t="s">
        <v>9</v>
      </c>
      <c r="AE37" s="21" t="s">
        <v>10</v>
      </c>
      <c r="AF37" s="21" t="s">
        <v>11</v>
      </c>
      <c r="AG37" s="22" t="s">
        <v>12</v>
      </c>
      <c r="AH37" s="23"/>
      <c r="AI37" s="22" t="s">
        <v>13</v>
      </c>
      <c r="AJ37" s="23"/>
      <c r="AK37" s="65"/>
      <c r="AL37" s="64" t="s">
        <v>40</v>
      </c>
      <c r="AM37" s="21" t="s">
        <v>6</v>
      </c>
      <c r="AN37" s="21" t="s">
        <v>7</v>
      </c>
      <c r="AO37" s="21" t="s">
        <v>8</v>
      </c>
      <c r="AP37" s="20" t="s">
        <v>9</v>
      </c>
      <c r="AQ37" s="21" t="s">
        <v>10</v>
      </c>
      <c r="AR37" s="21" t="s">
        <v>11</v>
      </c>
      <c r="AS37" s="22" t="s">
        <v>12</v>
      </c>
      <c r="AT37" s="23"/>
      <c r="AU37" s="22" t="s">
        <v>13</v>
      </c>
      <c r="AV37" s="23"/>
      <c r="AW37" s="25"/>
      <c r="AX37" s="25"/>
    </row>
    <row r="38" ht="20.25" customHeight="1">
      <c r="A38" s="66"/>
      <c r="B38" s="1"/>
      <c r="C38" s="42" t="s">
        <v>41</v>
      </c>
      <c r="D38" s="37">
        <v>3.0</v>
      </c>
      <c r="E38" s="28">
        <v>8.0</v>
      </c>
      <c r="F38" s="37">
        <v>8.0</v>
      </c>
      <c r="G38" s="43"/>
      <c r="H38" s="30"/>
      <c r="I38" s="31"/>
      <c r="J38" s="23"/>
      <c r="K38" s="31"/>
      <c r="L38" s="23"/>
      <c r="M38" s="5"/>
      <c r="N38" s="1"/>
      <c r="O38" s="42" t="s">
        <v>41</v>
      </c>
      <c r="P38" s="37">
        <v>3.0</v>
      </c>
      <c r="Q38" s="28">
        <v>8.0</v>
      </c>
      <c r="R38" s="37">
        <v>8.0</v>
      </c>
      <c r="S38" s="43"/>
      <c r="T38" s="30"/>
      <c r="U38" s="31"/>
      <c r="V38" s="23"/>
      <c r="W38" s="31"/>
      <c r="X38" s="23"/>
      <c r="Y38" s="24"/>
      <c r="Z38" s="1"/>
      <c r="AA38" s="42" t="s">
        <v>41</v>
      </c>
      <c r="AB38" s="37">
        <v>3.0</v>
      </c>
      <c r="AC38" s="28">
        <v>8.0</v>
      </c>
      <c r="AD38" s="37">
        <v>8.0</v>
      </c>
      <c r="AE38" s="43"/>
      <c r="AF38" s="30"/>
      <c r="AG38" s="31"/>
      <c r="AH38" s="23"/>
      <c r="AI38" s="31"/>
      <c r="AJ38" s="23"/>
      <c r="AK38" s="67"/>
      <c r="AL38" s="1"/>
      <c r="AM38" s="42" t="s">
        <v>41</v>
      </c>
      <c r="AN38" s="37">
        <v>3.0</v>
      </c>
      <c r="AO38" s="28">
        <v>8.0</v>
      </c>
      <c r="AP38" s="37">
        <v>8.0</v>
      </c>
      <c r="AQ38" s="43"/>
      <c r="AR38" s="30"/>
      <c r="AS38" s="31"/>
      <c r="AT38" s="23"/>
      <c r="AU38" s="31"/>
      <c r="AV38" s="23"/>
      <c r="AW38" s="34"/>
      <c r="AX38" s="34"/>
    </row>
    <row r="39" ht="20.25" customHeight="1">
      <c r="A39" s="1"/>
      <c r="B39" s="1"/>
      <c r="C39" s="42" t="s">
        <v>42</v>
      </c>
      <c r="D39" s="37">
        <v>3.0</v>
      </c>
      <c r="E39" s="28" t="s">
        <v>16</v>
      </c>
      <c r="F39" s="37">
        <v>8.0</v>
      </c>
      <c r="G39" s="30"/>
      <c r="H39" s="68"/>
      <c r="I39" s="31"/>
      <c r="J39" s="23"/>
      <c r="K39" s="31"/>
      <c r="L39" s="23"/>
      <c r="M39" s="32"/>
      <c r="N39" s="1"/>
      <c r="O39" s="42" t="s">
        <v>42</v>
      </c>
      <c r="P39" s="37">
        <v>3.0</v>
      </c>
      <c r="Q39" s="28" t="s">
        <v>16</v>
      </c>
      <c r="R39" s="37">
        <v>8.0</v>
      </c>
      <c r="S39" s="30"/>
      <c r="T39" s="68"/>
      <c r="U39" s="31"/>
      <c r="V39" s="23"/>
      <c r="W39" s="31"/>
      <c r="X39" s="23"/>
      <c r="Y39" s="1"/>
      <c r="Z39" s="1"/>
      <c r="AA39" s="42" t="s">
        <v>42</v>
      </c>
      <c r="AB39" s="37">
        <v>3.0</v>
      </c>
      <c r="AC39" s="28" t="s">
        <v>16</v>
      </c>
      <c r="AD39" s="37">
        <v>8.0</v>
      </c>
      <c r="AE39" s="30"/>
      <c r="AF39" s="68"/>
      <c r="AG39" s="31"/>
      <c r="AH39" s="23"/>
      <c r="AI39" s="31"/>
      <c r="AJ39" s="23"/>
      <c r="AK39" s="33"/>
      <c r="AL39" s="1"/>
      <c r="AM39" s="42" t="s">
        <v>42</v>
      </c>
      <c r="AN39" s="37">
        <v>3.0</v>
      </c>
      <c r="AO39" s="28" t="s">
        <v>16</v>
      </c>
      <c r="AP39" s="37">
        <v>8.0</v>
      </c>
      <c r="AQ39" s="30"/>
      <c r="AR39" s="68"/>
      <c r="AS39" s="31"/>
      <c r="AT39" s="23"/>
      <c r="AU39" s="31"/>
      <c r="AV39" s="23"/>
      <c r="AW39" s="34"/>
      <c r="AX39" s="34"/>
    </row>
    <row r="40" ht="20.25" customHeight="1">
      <c r="A40" s="1"/>
      <c r="B40" s="1"/>
      <c r="C40" s="42" t="s">
        <v>19</v>
      </c>
      <c r="D40" s="37">
        <v>3.0</v>
      </c>
      <c r="E40" s="28" t="s">
        <v>16</v>
      </c>
      <c r="F40" s="37">
        <v>8.0</v>
      </c>
      <c r="G40" s="30"/>
      <c r="H40" s="68"/>
      <c r="I40" s="31"/>
      <c r="J40" s="23"/>
      <c r="K40" s="31"/>
      <c r="L40" s="23"/>
      <c r="M40" s="32"/>
      <c r="N40" s="1"/>
      <c r="O40" s="42" t="s">
        <v>19</v>
      </c>
      <c r="P40" s="37">
        <v>3.0</v>
      </c>
      <c r="Q40" s="28" t="s">
        <v>16</v>
      </c>
      <c r="R40" s="37">
        <v>8.0</v>
      </c>
      <c r="S40" s="30"/>
      <c r="T40" s="68"/>
      <c r="U40" s="31"/>
      <c r="V40" s="23"/>
      <c r="W40" s="31"/>
      <c r="X40" s="23"/>
      <c r="Y40" s="1"/>
      <c r="Z40" s="1"/>
      <c r="AA40" s="42" t="s">
        <v>19</v>
      </c>
      <c r="AB40" s="37">
        <v>3.0</v>
      </c>
      <c r="AC40" s="28" t="s">
        <v>16</v>
      </c>
      <c r="AD40" s="37">
        <v>8.0</v>
      </c>
      <c r="AE40" s="30"/>
      <c r="AF40" s="68"/>
      <c r="AG40" s="31"/>
      <c r="AH40" s="23"/>
      <c r="AI40" s="31"/>
      <c r="AJ40" s="23"/>
      <c r="AK40" s="33"/>
      <c r="AL40" s="1"/>
      <c r="AM40" s="42" t="s">
        <v>19</v>
      </c>
      <c r="AN40" s="37">
        <v>3.0</v>
      </c>
      <c r="AO40" s="28" t="s">
        <v>16</v>
      </c>
      <c r="AP40" s="37">
        <v>8.0</v>
      </c>
      <c r="AQ40" s="30"/>
      <c r="AR40" s="68"/>
      <c r="AS40" s="31"/>
      <c r="AT40" s="23"/>
      <c r="AU40" s="31"/>
      <c r="AV40" s="23"/>
      <c r="AW40" s="34"/>
      <c r="AX40" s="34"/>
    </row>
    <row r="41" ht="20.25" customHeight="1">
      <c r="A41" s="4"/>
      <c r="B41" s="1"/>
      <c r="C41" s="38" t="s">
        <v>43</v>
      </c>
      <c r="D41" s="36">
        <v>3.0</v>
      </c>
      <c r="E41" s="28" t="s">
        <v>16</v>
      </c>
      <c r="F41" s="37">
        <v>8.0</v>
      </c>
      <c r="G41" s="30"/>
      <c r="H41" s="30"/>
      <c r="I41" s="31"/>
      <c r="J41" s="23"/>
      <c r="K41" s="31"/>
      <c r="L41" s="23"/>
      <c r="M41" s="32"/>
      <c r="N41" s="1"/>
      <c r="O41" s="38" t="s">
        <v>43</v>
      </c>
      <c r="P41" s="36">
        <v>3.0</v>
      </c>
      <c r="Q41" s="28" t="s">
        <v>16</v>
      </c>
      <c r="R41" s="37">
        <v>8.0</v>
      </c>
      <c r="S41" s="30"/>
      <c r="T41" s="30"/>
      <c r="U41" s="31"/>
      <c r="V41" s="23"/>
      <c r="W41" s="31"/>
      <c r="X41" s="23"/>
      <c r="Y41" s="34"/>
      <c r="Z41" s="1"/>
      <c r="AA41" s="38" t="s">
        <v>43</v>
      </c>
      <c r="AB41" s="36">
        <v>3.0</v>
      </c>
      <c r="AC41" s="28" t="s">
        <v>16</v>
      </c>
      <c r="AD41" s="37">
        <v>8.0</v>
      </c>
      <c r="AE41" s="30"/>
      <c r="AF41" s="30"/>
      <c r="AG41" s="31"/>
      <c r="AH41" s="23"/>
      <c r="AI41" s="31"/>
      <c r="AJ41" s="23"/>
      <c r="AK41" s="33"/>
      <c r="AL41" s="1"/>
      <c r="AM41" s="38" t="s">
        <v>43</v>
      </c>
      <c r="AN41" s="36">
        <v>3.0</v>
      </c>
      <c r="AO41" s="28" t="s">
        <v>16</v>
      </c>
      <c r="AP41" s="37">
        <v>8.0</v>
      </c>
      <c r="AQ41" s="30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42" t="s">
        <v>44</v>
      </c>
      <c r="D42" s="69">
        <v>3.0</v>
      </c>
      <c r="E42" s="28" t="s">
        <v>16</v>
      </c>
      <c r="F42" s="37">
        <v>8.0</v>
      </c>
      <c r="G42" s="30"/>
      <c r="H42" s="30"/>
      <c r="I42" s="35"/>
      <c r="J42" s="23"/>
      <c r="K42" s="31"/>
      <c r="L42" s="23"/>
      <c r="M42" s="5"/>
      <c r="N42" s="1"/>
      <c r="O42" s="42" t="s">
        <v>44</v>
      </c>
      <c r="P42" s="69">
        <v>3.0</v>
      </c>
      <c r="Q42" s="28" t="s">
        <v>16</v>
      </c>
      <c r="R42" s="37">
        <v>8.0</v>
      </c>
      <c r="S42" s="30"/>
      <c r="T42" s="30"/>
      <c r="U42" s="35"/>
      <c r="V42" s="23"/>
      <c r="W42" s="31"/>
      <c r="X42" s="23"/>
      <c r="Y42" s="2"/>
      <c r="Z42" s="1"/>
      <c r="AA42" s="42" t="s">
        <v>44</v>
      </c>
      <c r="AB42" s="69">
        <v>3.0</v>
      </c>
      <c r="AC42" s="28" t="s">
        <v>16</v>
      </c>
      <c r="AD42" s="37">
        <v>8.0</v>
      </c>
      <c r="AE42" s="30"/>
      <c r="AF42" s="30"/>
      <c r="AG42" s="35"/>
      <c r="AH42" s="23"/>
      <c r="AI42" s="31"/>
      <c r="AJ42" s="23"/>
      <c r="AK42" s="2"/>
      <c r="AL42" s="1"/>
      <c r="AM42" s="42" t="s">
        <v>44</v>
      </c>
      <c r="AN42" s="69">
        <v>3.0</v>
      </c>
      <c r="AO42" s="28" t="s">
        <v>16</v>
      </c>
      <c r="AP42" s="37">
        <v>8.0</v>
      </c>
      <c r="AQ42" s="30"/>
      <c r="AR42" s="30"/>
      <c r="AS42" s="35"/>
      <c r="AT42" s="23"/>
      <c r="AU42" s="31"/>
      <c r="AV42" s="23"/>
      <c r="AW42" s="34"/>
      <c r="AX42" s="34"/>
    </row>
    <row r="43" ht="20.25" customHeight="1">
      <c r="A43" s="1"/>
      <c r="B43" s="2"/>
      <c r="C43" s="2"/>
      <c r="D43" s="3"/>
      <c r="E43" s="3"/>
      <c r="F43" s="2"/>
      <c r="G43" s="4"/>
      <c r="H43" s="1"/>
      <c r="I43" s="1"/>
      <c r="J43" s="1"/>
      <c r="K43" s="1"/>
      <c r="L43" s="1"/>
      <c r="M43" s="5"/>
      <c r="N43" s="2"/>
      <c r="O43" s="2"/>
      <c r="P43" s="3"/>
      <c r="Q43" s="3"/>
      <c r="R43" s="2"/>
      <c r="S43" s="4"/>
      <c r="T43" s="1"/>
      <c r="U43" s="1"/>
      <c r="V43" s="1"/>
      <c r="W43" s="1"/>
      <c r="X43" s="1"/>
      <c r="Y43" s="2"/>
      <c r="Z43" s="2"/>
      <c r="AA43" s="2"/>
      <c r="AB43" s="3"/>
      <c r="AC43" s="3"/>
      <c r="AD43" s="2"/>
      <c r="AE43" s="4"/>
      <c r="AF43" s="1"/>
      <c r="AG43" s="1"/>
      <c r="AH43" s="1"/>
      <c r="AI43" s="1"/>
      <c r="AJ43" s="1"/>
      <c r="AK43" s="2"/>
      <c r="AL43" s="2"/>
      <c r="AM43" s="2"/>
      <c r="AN43" s="3"/>
      <c r="AO43" s="3"/>
      <c r="AP43" s="2"/>
      <c r="AQ43" s="4"/>
      <c r="AR43" s="1"/>
      <c r="AS43" s="1"/>
      <c r="AT43" s="1"/>
      <c r="AU43" s="1"/>
      <c r="AV43" s="1"/>
      <c r="AW43" s="1"/>
      <c r="AX43" s="1"/>
    </row>
    <row r="44" ht="20.25" customHeight="1">
      <c r="A44" s="1"/>
      <c r="B44" s="16"/>
      <c r="C44" s="12" t="s">
        <v>45</v>
      </c>
      <c r="D44" s="40"/>
      <c r="E44" s="40"/>
      <c r="F44" s="1"/>
      <c r="G44" s="1"/>
      <c r="H44" s="1"/>
      <c r="I44" s="1"/>
      <c r="J44" s="1"/>
      <c r="K44" s="1"/>
      <c r="L44" s="1"/>
      <c r="M44" s="5"/>
      <c r="N44" s="16"/>
      <c r="O44" s="12" t="s">
        <v>45</v>
      </c>
      <c r="P44" s="40"/>
      <c r="Q44" s="40"/>
      <c r="R44" s="1"/>
      <c r="S44" s="1"/>
      <c r="T44" s="1"/>
      <c r="U44" s="1"/>
      <c r="V44" s="1"/>
      <c r="W44" s="1"/>
      <c r="X44" s="1"/>
      <c r="Y44" s="2"/>
      <c r="Z44" s="16"/>
      <c r="AA44" s="12" t="s">
        <v>45</v>
      </c>
      <c r="AB44" s="40"/>
      <c r="AC44" s="40"/>
      <c r="AD44" s="1"/>
      <c r="AE44" s="1"/>
      <c r="AF44" s="1"/>
      <c r="AG44" s="1"/>
      <c r="AH44" s="1"/>
      <c r="AI44" s="1"/>
      <c r="AJ44" s="1"/>
      <c r="AK44" s="2"/>
      <c r="AL44" s="16"/>
      <c r="AM44" s="12" t="s">
        <v>45</v>
      </c>
      <c r="AN44" s="40"/>
      <c r="AO44" s="40"/>
      <c r="AP44" s="1"/>
      <c r="AQ44" s="1"/>
      <c r="AR44" s="1"/>
      <c r="AS44" s="1"/>
      <c r="AT44" s="1"/>
      <c r="AU44" s="1"/>
      <c r="AV44" s="1"/>
      <c r="AW44" s="1"/>
      <c r="AX44" s="1"/>
    </row>
    <row r="45" ht="20.25" customHeight="1">
      <c r="A45" s="1"/>
      <c r="B45" s="64" t="s">
        <v>46</v>
      </c>
      <c r="C45" s="21" t="s">
        <v>6</v>
      </c>
      <c r="D45" s="21" t="s">
        <v>7</v>
      </c>
      <c r="E45" s="21" t="s">
        <v>8</v>
      </c>
      <c r="F45" s="20" t="s">
        <v>9</v>
      </c>
      <c r="G45" s="21" t="s">
        <v>10</v>
      </c>
      <c r="H45" s="21" t="s">
        <v>11</v>
      </c>
      <c r="I45" s="22" t="s">
        <v>12</v>
      </c>
      <c r="J45" s="23"/>
      <c r="K45" s="22" t="s">
        <v>13</v>
      </c>
      <c r="L45" s="23"/>
      <c r="M45" s="5"/>
      <c r="N45" s="64" t="s">
        <v>46</v>
      </c>
      <c r="O45" s="21" t="s">
        <v>6</v>
      </c>
      <c r="P45" s="21" t="s">
        <v>7</v>
      </c>
      <c r="Q45" s="21" t="s">
        <v>8</v>
      </c>
      <c r="R45" s="20" t="s">
        <v>9</v>
      </c>
      <c r="S45" s="21" t="s">
        <v>10</v>
      </c>
      <c r="T45" s="21" t="s">
        <v>11</v>
      </c>
      <c r="U45" s="22" t="s">
        <v>12</v>
      </c>
      <c r="V45" s="23"/>
      <c r="W45" s="22" t="s">
        <v>13</v>
      </c>
      <c r="X45" s="23"/>
      <c r="Y45" s="2"/>
      <c r="Z45" s="64" t="s">
        <v>46</v>
      </c>
      <c r="AA45" s="21" t="s">
        <v>6</v>
      </c>
      <c r="AB45" s="21" t="s">
        <v>7</v>
      </c>
      <c r="AC45" s="21" t="s">
        <v>8</v>
      </c>
      <c r="AD45" s="20" t="s">
        <v>9</v>
      </c>
      <c r="AE45" s="21" t="s">
        <v>10</v>
      </c>
      <c r="AF45" s="21" t="s">
        <v>11</v>
      </c>
      <c r="AG45" s="22" t="s">
        <v>12</v>
      </c>
      <c r="AH45" s="23"/>
      <c r="AI45" s="22" t="s">
        <v>13</v>
      </c>
      <c r="AJ45" s="23"/>
      <c r="AK45" s="2"/>
      <c r="AL45" s="64" t="s">
        <v>46</v>
      </c>
      <c r="AM45" s="21" t="s">
        <v>6</v>
      </c>
      <c r="AN45" s="21" t="s">
        <v>7</v>
      </c>
      <c r="AO45" s="21" t="s">
        <v>8</v>
      </c>
      <c r="AP45" s="20" t="s">
        <v>9</v>
      </c>
      <c r="AQ45" s="21" t="s">
        <v>10</v>
      </c>
      <c r="AR45" s="21" t="s">
        <v>11</v>
      </c>
      <c r="AS45" s="22" t="s">
        <v>12</v>
      </c>
      <c r="AT45" s="23"/>
      <c r="AU45" s="22" t="s">
        <v>13</v>
      </c>
      <c r="AV45" s="23"/>
      <c r="AW45" s="25"/>
      <c r="AX45" s="25"/>
    </row>
    <row r="46" ht="20.25" customHeight="1">
      <c r="A46" s="1"/>
      <c r="B46" s="1"/>
      <c r="C46" s="54" t="s">
        <v>47</v>
      </c>
      <c r="D46" s="36">
        <v>3.0</v>
      </c>
      <c r="E46" s="28" t="s">
        <v>16</v>
      </c>
      <c r="F46" s="37">
        <v>8.0</v>
      </c>
      <c r="G46" s="30"/>
      <c r="H46" s="30"/>
      <c r="I46" s="31"/>
      <c r="J46" s="23"/>
      <c r="K46" s="31"/>
      <c r="L46" s="23"/>
      <c r="M46" s="5"/>
      <c r="N46" s="1"/>
      <c r="O46" s="54" t="s">
        <v>47</v>
      </c>
      <c r="P46" s="36">
        <v>3.0</v>
      </c>
      <c r="Q46" s="28" t="s">
        <v>16</v>
      </c>
      <c r="R46" s="37">
        <v>8.0</v>
      </c>
      <c r="S46" s="30"/>
      <c r="T46" s="30"/>
      <c r="U46" s="31"/>
      <c r="V46" s="23"/>
      <c r="W46" s="31"/>
      <c r="X46" s="23"/>
      <c r="Y46" s="2"/>
      <c r="Z46" s="1"/>
      <c r="AA46" s="54" t="s">
        <v>47</v>
      </c>
      <c r="AB46" s="36">
        <v>3.0</v>
      </c>
      <c r="AC46" s="28" t="s">
        <v>16</v>
      </c>
      <c r="AD46" s="37">
        <v>8.0</v>
      </c>
      <c r="AE46" s="30"/>
      <c r="AF46" s="30"/>
      <c r="AG46" s="31"/>
      <c r="AH46" s="23"/>
      <c r="AI46" s="31"/>
      <c r="AJ46" s="23"/>
      <c r="AK46" s="2"/>
      <c r="AL46" s="1"/>
      <c r="AM46" s="54" t="s">
        <v>47</v>
      </c>
      <c r="AN46" s="36">
        <v>3.0</v>
      </c>
      <c r="AO46" s="28" t="s">
        <v>16</v>
      </c>
      <c r="AP46" s="37">
        <v>8.0</v>
      </c>
      <c r="AQ46" s="30"/>
      <c r="AR46" s="30"/>
      <c r="AS46" s="31"/>
      <c r="AT46" s="23"/>
      <c r="AU46" s="31"/>
      <c r="AV46" s="23"/>
      <c r="AW46" s="34"/>
      <c r="AX46" s="34"/>
    </row>
    <row r="47" ht="20.25" customHeight="1">
      <c r="A47" s="1"/>
      <c r="B47" s="1"/>
      <c r="C47" s="54" t="s">
        <v>48</v>
      </c>
      <c r="D47" s="37">
        <v>3.0</v>
      </c>
      <c r="E47" s="28" t="s">
        <v>16</v>
      </c>
      <c r="F47" s="37">
        <v>8.0</v>
      </c>
      <c r="G47" s="43"/>
      <c r="H47" s="30"/>
      <c r="I47" s="31"/>
      <c r="J47" s="23"/>
      <c r="K47" s="31"/>
      <c r="L47" s="23"/>
      <c r="M47" s="5"/>
      <c r="N47" s="1"/>
      <c r="O47" s="54" t="s">
        <v>48</v>
      </c>
      <c r="P47" s="37">
        <v>3.0</v>
      </c>
      <c r="Q47" s="28" t="s">
        <v>16</v>
      </c>
      <c r="R47" s="37">
        <v>8.0</v>
      </c>
      <c r="S47" s="43"/>
      <c r="T47" s="30"/>
      <c r="U47" s="31"/>
      <c r="V47" s="23"/>
      <c r="W47" s="31"/>
      <c r="X47" s="23"/>
      <c r="Y47" s="2"/>
      <c r="Z47" s="1"/>
      <c r="AA47" s="54" t="s">
        <v>48</v>
      </c>
      <c r="AB47" s="37">
        <v>3.0</v>
      </c>
      <c r="AC47" s="28" t="s">
        <v>16</v>
      </c>
      <c r="AD47" s="37">
        <v>8.0</v>
      </c>
      <c r="AE47" s="43"/>
      <c r="AF47" s="30"/>
      <c r="AG47" s="31"/>
      <c r="AH47" s="23"/>
      <c r="AI47" s="31"/>
      <c r="AJ47" s="23"/>
      <c r="AK47" s="2"/>
      <c r="AL47" s="1"/>
      <c r="AM47" s="54" t="s">
        <v>48</v>
      </c>
      <c r="AN47" s="37">
        <v>3.0</v>
      </c>
      <c r="AO47" s="28" t="s">
        <v>16</v>
      </c>
      <c r="AP47" s="37">
        <v>8.0</v>
      </c>
      <c r="AQ47" s="43"/>
      <c r="AR47" s="30"/>
      <c r="AS47" s="31"/>
      <c r="AT47" s="23"/>
      <c r="AU47" s="31"/>
      <c r="AV47" s="23"/>
      <c r="AW47" s="34"/>
      <c r="AX47" s="34"/>
    </row>
    <row r="48" ht="20.25" customHeight="1">
      <c r="A48" s="1"/>
      <c r="B48" s="16"/>
      <c r="C48" s="42" t="s">
        <v>49</v>
      </c>
      <c r="D48" s="36">
        <v>3.0</v>
      </c>
      <c r="E48" s="28" t="s">
        <v>16</v>
      </c>
      <c r="F48" s="37">
        <v>8.0</v>
      </c>
      <c r="G48" s="30"/>
      <c r="H48" s="30"/>
      <c r="I48" s="31"/>
      <c r="J48" s="23"/>
      <c r="K48" s="31"/>
      <c r="L48" s="23"/>
      <c r="M48" s="5"/>
      <c r="N48" s="16"/>
      <c r="O48" s="42" t="s">
        <v>49</v>
      </c>
      <c r="P48" s="36">
        <v>3.0</v>
      </c>
      <c r="Q48" s="28" t="s">
        <v>16</v>
      </c>
      <c r="R48" s="37">
        <v>8.0</v>
      </c>
      <c r="S48" s="30"/>
      <c r="T48" s="30"/>
      <c r="U48" s="31"/>
      <c r="V48" s="23"/>
      <c r="W48" s="31"/>
      <c r="X48" s="23"/>
      <c r="Y48" s="2"/>
      <c r="Z48" s="16"/>
      <c r="AA48" s="42" t="s">
        <v>49</v>
      </c>
      <c r="AB48" s="36">
        <v>3.0</v>
      </c>
      <c r="AC48" s="28" t="s">
        <v>16</v>
      </c>
      <c r="AD48" s="37">
        <v>8.0</v>
      </c>
      <c r="AE48" s="30"/>
      <c r="AF48" s="30"/>
      <c r="AG48" s="31"/>
      <c r="AH48" s="23"/>
      <c r="AI48" s="31"/>
      <c r="AJ48" s="23"/>
      <c r="AK48" s="2"/>
      <c r="AL48" s="16"/>
      <c r="AM48" s="42" t="s">
        <v>49</v>
      </c>
      <c r="AN48" s="36">
        <v>3.0</v>
      </c>
      <c r="AO48" s="28" t="s">
        <v>16</v>
      </c>
      <c r="AP48" s="37">
        <v>8.0</v>
      </c>
      <c r="AQ48" s="30"/>
      <c r="AR48" s="30"/>
      <c r="AS48" s="31"/>
      <c r="AT48" s="23"/>
      <c r="AU48" s="31"/>
      <c r="AV48" s="23"/>
      <c r="AW48" s="34"/>
      <c r="AX48" s="34"/>
    </row>
    <row r="49" ht="20.25" customHeight="1">
      <c r="A49" s="1"/>
      <c r="B49" s="16"/>
      <c r="C49" s="42" t="s">
        <v>50</v>
      </c>
      <c r="D49" s="36">
        <v>3.0</v>
      </c>
      <c r="E49" s="28" t="s">
        <v>16</v>
      </c>
      <c r="F49" s="37">
        <v>8.0</v>
      </c>
      <c r="G49" s="30"/>
      <c r="H49" s="30"/>
      <c r="I49" s="31"/>
      <c r="J49" s="23"/>
      <c r="K49" s="31"/>
      <c r="L49" s="23"/>
      <c r="M49" s="5"/>
      <c r="N49" s="16"/>
      <c r="O49" s="42" t="s">
        <v>50</v>
      </c>
      <c r="P49" s="36">
        <v>3.0</v>
      </c>
      <c r="Q49" s="28" t="s">
        <v>16</v>
      </c>
      <c r="R49" s="37">
        <v>8.0</v>
      </c>
      <c r="S49" s="30"/>
      <c r="T49" s="30"/>
      <c r="U49" s="31"/>
      <c r="V49" s="23"/>
      <c r="W49" s="31"/>
      <c r="X49" s="23"/>
      <c r="Y49" s="62"/>
      <c r="Z49" s="16"/>
      <c r="AA49" s="42" t="s">
        <v>50</v>
      </c>
      <c r="AB49" s="36">
        <v>3.0</v>
      </c>
      <c r="AC49" s="28" t="s">
        <v>16</v>
      </c>
      <c r="AD49" s="37">
        <v>8.0</v>
      </c>
      <c r="AE49" s="30"/>
      <c r="AF49" s="30"/>
      <c r="AG49" s="31"/>
      <c r="AH49" s="23"/>
      <c r="AI49" s="31"/>
      <c r="AJ49" s="23"/>
      <c r="AK49" s="3"/>
      <c r="AL49" s="16"/>
      <c r="AM49" s="42" t="s">
        <v>50</v>
      </c>
      <c r="AN49" s="36">
        <v>3.0</v>
      </c>
      <c r="AO49" s="28" t="s">
        <v>16</v>
      </c>
      <c r="AP49" s="37">
        <v>8.0</v>
      </c>
      <c r="AQ49" s="30"/>
      <c r="AR49" s="30"/>
      <c r="AS49" s="31"/>
      <c r="AT49" s="23"/>
      <c r="AU49" s="31"/>
      <c r="AV49" s="23"/>
      <c r="AW49" s="34"/>
      <c r="AX49" s="34"/>
    </row>
    <row r="50" ht="20.25" customHeight="1">
      <c r="A50" s="1"/>
      <c r="B50" s="1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2"/>
      <c r="AL50" s="1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39"/>
      <c r="AX50" s="39"/>
    </row>
    <row r="51" ht="20.25" customHeight="1">
      <c r="A51" s="1"/>
      <c r="B51" s="16"/>
      <c r="C51" s="60" t="s">
        <v>38</v>
      </c>
      <c r="D51" s="61"/>
      <c r="E51" s="61"/>
      <c r="F51" s="61"/>
      <c r="G51" s="61"/>
      <c r="H51" s="61"/>
      <c r="I51" s="61"/>
      <c r="J51" s="61"/>
      <c r="K51" s="61"/>
      <c r="L51" s="23"/>
      <c r="M51" s="5"/>
      <c r="N51" s="16"/>
      <c r="O51" s="60" t="s">
        <v>38</v>
      </c>
      <c r="P51" s="61"/>
      <c r="Q51" s="61"/>
      <c r="R51" s="61"/>
      <c r="S51" s="61"/>
      <c r="T51" s="61"/>
      <c r="U51" s="61"/>
      <c r="V51" s="61"/>
      <c r="W51" s="61"/>
      <c r="X51" s="23"/>
      <c r="Y51" s="2"/>
      <c r="Z51" s="16"/>
      <c r="AA51" s="60" t="s">
        <v>38</v>
      </c>
      <c r="AB51" s="61"/>
      <c r="AC51" s="61"/>
      <c r="AD51" s="61"/>
      <c r="AE51" s="61"/>
      <c r="AF51" s="61"/>
      <c r="AG51" s="61"/>
      <c r="AH51" s="61"/>
      <c r="AI51" s="61"/>
      <c r="AJ51" s="23"/>
      <c r="AK51" s="2"/>
      <c r="AL51" s="16"/>
      <c r="AM51" s="60" t="s">
        <v>38</v>
      </c>
      <c r="AN51" s="61"/>
      <c r="AO51" s="61"/>
      <c r="AP51" s="61"/>
      <c r="AQ51" s="61"/>
      <c r="AR51" s="61"/>
      <c r="AS51" s="61"/>
      <c r="AT51" s="61"/>
      <c r="AU51" s="61"/>
      <c r="AV51" s="23"/>
      <c r="AW51" s="63"/>
      <c r="AX51" s="63"/>
    </row>
    <row r="52" ht="20.25" customHeight="1">
      <c r="A52" s="1"/>
      <c r="B52" s="16"/>
      <c r="C52" s="16"/>
      <c r="D52" s="16"/>
      <c r="E52" s="16"/>
      <c r="F52" s="16"/>
      <c r="G52" s="70"/>
      <c r="H52" s="1"/>
      <c r="I52" s="1"/>
      <c r="K52" s="1"/>
      <c r="M52" s="5"/>
      <c r="N52" s="16"/>
      <c r="O52" s="16"/>
      <c r="P52" s="16"/>
      <c r="Q52" s="16"/>
      <c r="R52" s="16"/>
      <c r="S52" s="70"/>
      <c r="T52" s="1"/>
      <c r="U52" s="1"/>
      <c r="W52" s="1"/>
      <c r="Y52" s="71"/>
      <c r="Z52" s="16"/>
      <c r="AA52" s="16"/>
      <c r="AB52" s="16"/>
      <c r="AC52" s="16"/>
      <c r="AD52" s="16"/>
      <c r="AE52" s="70"/>
      <c r="AF52" s="1"/>
      <c r="AG52" s="1"/>
      <c r="AI52" s="1"/>
      <c r="AK52" s="2"/>
      <c r="AL52" s="16"/>
      <c r="AM52" s="16"/>
      <c r="AN52" s="16"/>
      <c r="AO52" s="16"/>
      <c r="AP52" s="16"/>
      <c r="AQ52" s="70"/>
      <c r="AR52" s="1"/>
      <c r="AS52" s="1"/>
      <c r="AU52" s="1"/>
      <c r="AW52" s="11"/>
      <c r="AX52" s="11"/>
    </row>
    <row r="53" ht="20.25" customHeight="1">
      <c r="A53" s="1"/>
      <c r="B53" s="16"/>
      <c r="C53" s="16"/>
      <c r="D53" s="16"/>
      <c r="E53" s="16"/>
      <c r="F53" s="16"/>
      <c r="G53" s="70"/>
      <c r="H53" s="72"/>
      <c r="I53" s="1"/>
      <c r="K53" s="1"/>
      <c r="M53" s="5"/>
      <c r="N53" s="2"/>
      <c r="O53" s="2"/>
      <c r="P53" s="2"/>
      <c r="Q53" s="2"/>
      <c r="R53" s="2"/>
      <c r="S53" s="2"/>
      <c r="T53" s="72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3" t="s">
        <v>51</v>
      </c>
      <c r="C54" s="9"/>
      <c r="D54" s="9"/>
      <c r="E54" s="9"/>
      <c r="F54" s="10"/>
      <c r="G54" s="74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4"/>
      <c r="E55" s="14"/>
      <c r="F55" s="15"/>
      <c r="G55" s="74"/>
      <c r="H55" s="1"/>
      <c r="I55" s="1"/>
      <c r="K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5" t="s">
        <v>6</v>
      </c>
      <c r="C56" s="9"/>
      <c r="D56" s="10"/>
      <c r="E56" s="76" t="s">
        <v>7</v>
      </c>
      <c r="F56" s="76" t="s">
        <v>52</v>
      </c>
      <c r="G56" s="7"/>
      <c r="H56" s="1"/>
      <c r="I56" s="1"/>
      <c r="K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7"/>
      <c r="F57" s="77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8" t="s">
        <v>53</v>
      </c>
      <c r="C58" s="9"/>
      <c r="D58" s="9"/>
      <c r="E58" s="9"/>
      <c r="F58" s="10"/>
      <c r="G58" s="79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79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6"/>
      <c r="B60" s="80" t="s">
        <v>54</v>
      </c>
      <c r="C60" s="9"/>
      <c r="D60" s="10"/>
      <c r="E60" s="81">
        <v>1.0</v>
      </c>
      <c r="F60" s="82" t="s">
        <v>55</v>
      </c>
      <c r="G60" s="83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77"/>
      <c r="F61" s="77"/>
      <c r="G61" s="83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0" t="s">
        <v>56</v>
      </c>
      <c r="C62" s="9"/>
      <c r="D62" s="10"/>
      <c r="E62" s="81">
        <v>1.0</v>
      </c>
      <c r="F62" s="82" t="s">
        <v>57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77"/>
      <c r="F63" s="77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84" t="s">
        <v>58</v>
      </c>
      <c r="C64" s="9"/>
      <c r="D64" s="10"/>
      <c r="E64" s="85">
        <v>1.0</v>
      </c>
      <c r="F64" s="86" t="s">
        <v>57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77"/>
      <c r="F65" s="77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7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87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87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87"/>
      <c r="C72" s="88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87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9"/>
      <c r="E76" s="89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89"/>
      <c r="E77" s="89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89"/>
      <c r="E78" s="89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89"/>
      <c r="E79" s="89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89"/>
      <c r="E80" s="89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0"/>
      <c r="E95" s="4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0"/>
      <c r="E96" s="4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0"/>
      <c r="E97" s="4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0"/>
      <c r="E98" s="4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90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90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90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90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0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0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0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0"/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0"/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0"/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65"/>
      <c r="C170" s="67"/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65"/>
      <c r="C171" s="67"/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65"/>
      <c r="C172" s="67"/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91" t="s">
        <v>59</v>
      </c>
      <c r="C173" s="92" t="s">
        <v>60</v>
      </c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91" t="s">
        <v>61</v>
      </c>
      <c r="C174" s="92" t="s">
        <v>62</v>
      </c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91" t="s">
        <v>63</v>
      </c>
      <c r="C175" s="93">
        <v>24.0</v>
      </c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91" t="s">
        <v>64</v>
      </c>
      <c r="C176" s="93">
        <v>174.5</v>
      </c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1" t="s">
        <v>65</v>
      </c>
      <c r="C177" s="93">
        <v>78.0</v>
      </c>
      <c r="D177" s="40"/>
      <c r="E177" s="4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1" t="s">
        <v>66</v>
      </c>
      <c r="C178" s="94" t="s">
        <v>67</v>
      </c>
      <c r="D178" s="40"/>
      <c r="E178" s="4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1" t="s">
        <v>68</v>
      </c>
      <c r="C179" s="94" t="s">
        <v>69</v>
      </c>
      <c r="D179" s="40"/>
      <c r="E179" s="4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1" t="s">
        <v>70</v>
      </c>
      <c r="C180" s="94" t="s">
        <v>71</v>
      </c>
      <c r="D180" s="40"/>
      <c r="E180" s="4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1" t="s">
        <v>72</v>
      </c>
      <c r="C181" s="94" t="s">
        <v>73</v>
      </c>
      <c r="D181" s="40"/>
      <c r="E181" s="4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1" t="s">
        <v>74</v>
      </c>
      <c r="C182" s="94" t="s">
        <v>75</v>
      </c>
      <c r="D182" s="40"/>
      <c r="E182" s="4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65"/>
      <c r="B183" s="91" t="s">
        <v>76</v>
      </c>
      <c r="C183" s="93" t="s">
        <v>77</v>
      </c>
      <c r="D183" s="95"/>
      <c r="E183" s="95"/>
      <c r="F183" s="65"/>
      <c r="G183" s="65"/>
      <c r="H183" s="65"/>
      <c r="I183" s="65"/>
      <c r="J183" s="65"/>
      <c r="K183" s="65"/>
      <c r="L183" s="65"/>
      <c r="M183" s="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</row>
    <row r="184" ht="20.25" customHeight="1">
      <c r="A184" s="65"/>
      <c r="B184" s="91" t="s">
        <v>78</v>
      </c>
      <c r="C184" s="93">
        <v>0.0</v>
      </c>
      <c r="D184" s="95"/>
      <c r="E184" s="95"/>
      <c r="F184" s="65"/>
      <c r="G184" s="65"/>
      <c r="H184" s="65"/>
      <c r="I184" s="65"/>
      <c r="J184" s="65"/>
      <c r="K184" s="65"/>
      <c r="L184" s="65"/>
      <c r="M184" s="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</row>
    <row r="185" ht="20.25" customHeight="1">
      <c r="A185" s="65"/>
      <c r="B185" s="91" t="s">
        <v>79</v>
      </c>
      <c r="C185" s="94" t="s">
        <v>80</v>
      </c>
      <c r="D185" s="95"/>
      <c r="E185" s="95"/>
      <c r="F185" s="65"/>
      <c r="G185" s="65"/>
      <c r="H185" s="65"/>
      <c r="I185" s="65"/>
      <c r="J185" s="65"/>
      <c r="K185" s="65"/>
      <c r="L185" s="65"/>
      <c r="M185" s="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</row>
    <row r="186" ht="20.25" customHeight="1">
      <c r="A186" s="65"/>
      <c r="B186" s="91" t="s">
        <v>81</v>
      </c>
      <c r="C186" s="92" t="s">
        <v>82</v>
      </c>
      <c r="D186" s="95"/>
      <c r="E186" s="95"/>
      <c r="F186" s="65"/>
      <c r="G186" s="65"/>
      <c r="H186" s="65"/>
      <c r="I186" s="65"/>
      <c r="J186" s="65"/>
      <c r="K186" s="65"/>
      <c r="L186" s="65"/>
      <c r="M186" s="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</row>
    <row r="187" ht="20.25" customHeight="1">
      <c r="A187" s="65"/>
      <c r="B187" s="96"/>
      <c r="C187" s="96"/>
      <c r="D187" s="95"/>
      <c r="E187" s="95"/>
      <c r="F187" s="65"/>
      <c r="G187" s="65"/>
      <c r="H187" s="65"/>
      <c r="I187" s="65"/>
      <c r="J187" s="65"/>
      <c r="K187" s="65"/>
      <c r="L187" s="65"/>
      <c r="M187" s="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</row>
    <row r="188" ht="20.25" customHeight="1">
      <c r="A188" s="65"/>
      <c r="B188" s="96"/>
      <c r="C188" s="96"/>
      <c r="D188" s="95"/>
      <c r="E188" s="95"/>
      <c r="F188" s="65"/>
      <c r="G188" s="65"/>
      <c r="H188" s="65"/>
      <c r="I188" s="65"/>
      <c r="J188" s="65"/>
      <c r="K188" s="65"/>
      <c r="L188" s="65"/>
      <c r="M188" s="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</row>
    <row r="189" ht="20.25" customHeight="1">
      <c r="A189" s="65"/>
      <c r="B189" s="96"/>
      <c r="C189" s="96"/>
      <c r="D189" s="95"/>
      <c r="E189" s="95"/>
      <c r="F189" s="65"/>
      <c r="G189" s="65"/>
      <c r="H189" s="65"/>
      <c r="I189" s="65"/>
      <c r="J189" s="65"/>
      <c r="K189" s="65"/>
      <c r="L189" s="65"/>
      <c r="M189" s="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</row>
    <row r="190" ht="20.25" customHeight="1">
      <c r="A190" s="65"/>
      <c r="B190" s="96"/>
      <c r="C190" s="97"/>
      <c r="D190" s="95"/>
      <c r="E190" s="95"/>
      <c r="F190" s="65"/>
      <c r="G190" s="65"/>
      <c r="H190" s="65"/>
      <c r="I190" s="65"/>
      <c r="J190" s="65"/>
      <c r="K190" s="65"/>
      <c r="L190" s="65"/>
      <c r="M190" s="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</row>
    <row r="191" ht="20.25" customHeight="1">
      <c r="A191" s="65"/>
      <c r="B191" s="65"/>
      <c r="C191" s="65"/>
      <c r="D191" s="95"/>
      <c r="E191" s="95"/>
      <c r="F191" s="65"/>
      <c r="G191" s="65"/>
      <c r="H191" s="65"/>
      <c r="I191" s="65"/>
      <c r="J191" s="65"/>
      <c r="K191" s="65"/>
      <c r="L191" s="65"/>
      <c r="M191" s="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</row>
    <row r="192" ht="20.25" customHeight="1">
      <c r="A192" s="1"/>
      <c r="B192" s="65"/>
      <c r="C192" s="65"/>
      <c r="D192" s="40"/>
      <c r="E192" s="4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65"/>
      <c r="C193" s="65"/>
      <c r="D193" s="40"/>
      <c r="E193" s="4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90"/>
      <c r="D194" s="40"/>
      <c r="E194" s="4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90"/>
      <c r="D195" s="40"/>
      <c r="E195" s="4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90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90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0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0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0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0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0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0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0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0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0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0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0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0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0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0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0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0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0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0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0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0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0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0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0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0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0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0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0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0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0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0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0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0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0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0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0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0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0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0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0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0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0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0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0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0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0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0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0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0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0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0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0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0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0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0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0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0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0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0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0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0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0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0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0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0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0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0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0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0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0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0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0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0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0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0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0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0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0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0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0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0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0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0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0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0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0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0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0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0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0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0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0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0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0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0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0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0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0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0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0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0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0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0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0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0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0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0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0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0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0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0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0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0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0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0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0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0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0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0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0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0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0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0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0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0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0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0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0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0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0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0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0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0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0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0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0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0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0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0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0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0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0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0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0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0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0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0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0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0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0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0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0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0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0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0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0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0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0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0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0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0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0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0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0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0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0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0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0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0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0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0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0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0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0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0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0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0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0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0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0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0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0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0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0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0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0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0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0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0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0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0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0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0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0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0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0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0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0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0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0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0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0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0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0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0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0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0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0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0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0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0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0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0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0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0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0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0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0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0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0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0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0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0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0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0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0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0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0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0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0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0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0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0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0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0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0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0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0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0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0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0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0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0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0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0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0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0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0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0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0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0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0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0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0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0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0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0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0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0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0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0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0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0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0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0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0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0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0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0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0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0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0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0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0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0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0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0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0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0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0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0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0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0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0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0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0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0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0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0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0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0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0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0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0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0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0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0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0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0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0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0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0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0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0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0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0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0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0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0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0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0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0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0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0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0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0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0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0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0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0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0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0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0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0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0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0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0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0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0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0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0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0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0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0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0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0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0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0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0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0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0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0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0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0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0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0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0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0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0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0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0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0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0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0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0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0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0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0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0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0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0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0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0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0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0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0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0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0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0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0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0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0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0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0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0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0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0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0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0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0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0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0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0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0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0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0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0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0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0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0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0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0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0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0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0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0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0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0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0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0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0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0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0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0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0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0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0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0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0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0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0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0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0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0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0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0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0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0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0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0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0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0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0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0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0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0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0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0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0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0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0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0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0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0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0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0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0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0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0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0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0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0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0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0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0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0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0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0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0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0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0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0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0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0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0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0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0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0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0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0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0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0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0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0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0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0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0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0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0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0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0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0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0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0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0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0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0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0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0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0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0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0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0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0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0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0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0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0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0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0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0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0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0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0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0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0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0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0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0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0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0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0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0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0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0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0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0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0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0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0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0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0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0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0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0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0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0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0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0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0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0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0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0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0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0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0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0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0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0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0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0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0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0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0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0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0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0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0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0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0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0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0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0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0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0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0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0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0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0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0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0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0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0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0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0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0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0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0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0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0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0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0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0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0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0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0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0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0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0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0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0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0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0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0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0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0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0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0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0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0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0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0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0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0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0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0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0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0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0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0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0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0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0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0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0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0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0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0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0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0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0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0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0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0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0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0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0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0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0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0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0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0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0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0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0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0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0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0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0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0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0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0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0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0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0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0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0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0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0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0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0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0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0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0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0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0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0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0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0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0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0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0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0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0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0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0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0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0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0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0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0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0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0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0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0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0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0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0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0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0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0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0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0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0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0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0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0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0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0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0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0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0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0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0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0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0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0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0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0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0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0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0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0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0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0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0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0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0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0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0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0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0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0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0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0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0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0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0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0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0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0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0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0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0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0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0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0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0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0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0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0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0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0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0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0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0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0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0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0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0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0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0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0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0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0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0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0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0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0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0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0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0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0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0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0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0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0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0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0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0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0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0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0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0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0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0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0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0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0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0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0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0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0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0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0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0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0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0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0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0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0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0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0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0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0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0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0"/>
      <c r="D963" s="40"/>
      <c r="E963" s="4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0"/>
      <c r="D964" s="40"/>
      <c r="E964" s="4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0"/>
      <c r="D965" s="40"/>
      <c r="E965" s="4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0"/>
      <c r="D966" s="40"/>
      <c r="E966" s="4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0"/>
      <c r="D967" s="40"/>
      <c r="E967" s="4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4"/>
      <c r="C968" s="4"/>
      <c r="D968" s="40"/>
      <c r="E968" s="4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0"/>
      <c r="E969" s="4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40"/>
      <c r="E970" s="4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40"/>
      <c r="E971" s="4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0"/>
      <c r="E973" s="4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0"/>
      <c r="E974" s="4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0"/>
      <c r="E975" s="4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0"/>
      <c r="E976" s="4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0"/>
      <c r="E977" s="4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0"/>
      <c r="E978" s="4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</sheetData>
  <mergeCells count="275">
    <mergeCell ref="U37:V37"/>
    <mergeCell ref="W37:X37"/>
    <mergeCell ref="AG37:AH37"/>
    <mergeCell ref="AI37:AJ37"/>
    <mergeCell ref="AS37:AT37"/>
    <mergeCell ref="AU37:AV37"/>
    <mergeCell ref="I37:J37"/>
    <mergeCell ref="I38:J38"/>
    <mergeCell ref="K38:L38"/>
    <mergeCell ref="U38:V38"/>
    <mergeCell ref="W38:X38"/>
    <mergeCell ref="AG38:AH38"/>
    <mergeCell ref="AI38:AJ38"/>
    <mergeCell ref="K39:L39"/>
    <mergeCell ref="U39:V39"/>
    <mergeCell ref="W39:X39"/>
    <mergeCell ref="AG39:AH39"/>
    <mergeCell ref="AI39:AJ39"/>
    <mergeCell ref="AS39:AT39"/>
    <mergeCell ref="AU39:AV39"/>
    <mergeCell ref="I39:J39"/>
    <mergeCell ref="I40:J40"/>
    <mergeCell ref="K40:L40"/>
    <mergeCell ref="U40:V40"/>
    <mergeCell ref="W40:X40"/>
    <mergeCell ref="AG40:AH40"/>
    <mergeCell ref="AI40:AJ40"/>
    <mergeCell ref="I41:J41"/>
    <mergeCell ref="K41:L41"/>
    <mergeCell ref="W41:X41"/>
    <mergeCell ref="AI41:AJ41"/>
    <mergeCell ref="I42:J42"/>
    <mergeCell ref="K42:L42"/>
    <mergeCell ref="W42:X42"/>
    <mergeCell ref="AI42:AJ42"/>
    <mergeCell ref="AU46:AV46"/>
    <mergeCell ref="AU47:AV47"/>
    <mergeCell ref="AS48:AT48"/>
    <mergeCell ref="AU48:AV48"/>
    <mergeCell ref="AS49:AT49"/>
    <mergeCell ref="AU49:AV49"/>
    <mergeCell ref="AM51:AV51"/>
    <mergeCell ref="AI48:AJ48"/>
    <mergeCell ref="AI49:AJ49"/>
    <mergeCell ref="U41:V41"/>
    <mergeCell ref="U42:V42"/>
    <mergeCell ref="I45:J45"/>
    <mergeCell ref="K45:L45"/>
    <mergeCell ref="W45:X45"/>
    <mergeCell ref="K46:L46"/>
    <mergeCell ref="W46:X46"/>
    <mergeCell ref="W49:X49"/>
    <mergeCell ref="O51:X51"/>
    <mergeCell ref="U52:V52"/>
    <mergeCell ref="W52:X52"/>
    <mergeCell ref="U45:V45"/>
    <mergeCell ref="U46:V46"/>
    <mergeCell ref="U47:V47"/>
    <mergeCell ref="W47:X47"/>
    <mergeCell ref="U48:V48"/>
    <mergeCell ref="W48:X48"/>
    <mergeCell ref="U49:V49"/>
    <mergeCell ref="I49:J49"/>
    <mergeCell ref="I52:J52"/>
    <mergeCell ref="K52:L52"/>
    <mergeCell ref="I53:J53"/>
    <mergeCell ref="K53:L53"/>
    <mergeCell ref="I46:J46"/>
    <mergeCell ref="I47:J47"/>
    <mergeCell ref="K47:L47"/>
    <mergeCell ref="I48:J48"/>
    <mergeCell ref="K48:L48"/>
    <mergeCell ref="K49:L49"/>
    <mergeCell ref="C51:L51"/>
    <mergeCell ref="I55:J55"/>
    <mergeCell ref="I56:J56"/>
    <mergeCell ref="B54:F55"/>
    <mergeCell ref="I54:J54"/>
    <mergeCell ref="K54:L54"/>
    <mergeCell ref="K55:L55"/>
    <mergeCell ref="E56:E57"/>
    <mergeCell ref="F56:F57"/>
    <mergeCell ref="K56:L56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13:J13"/>
    <mergeCell ref="I14:J14"/>
    <mergeCell ref="K14:L14"/>
    <mergeCell ref="I15:J15"/>
    <mergeCell ref="K15:L15"/>
    <mergeCell ref="I16:J16"/>
    <mergeCell ref="K16:L16"/>
    <mergeCell ref="AG29:AH29"/>
    <mergeCell ref="AG30:AH30"/>
    <mergeCell ref="AG31:AH31"/>
    <mergeCell ref="AI31:AJ31"/>
    <mergeCell ref="AG32:AH32"/>
    <mergeCell ref="AI32:AJ32"/>
    <mergeCell ref="AA34:AJ34"/>
    <mergeCell ref="U29:V29"/>
    <mergeCell ref="U30:V30"/>
    <mergeCell ref="U31:V31"/>
    <mergeCell ref="W31:X31"/>
    <mergeCell ref="U32:V32"/>
    <mergeCell ref="W32:X32"/>
    <mergeCell ref="O34:X34"/>
    <mergeCell ref="K27:L27"/>
    <mergeCell ref="U27:V27"/>
    <mergeCell ref="W27:X27"/>
    <mergeCell ref="AG27:AH27"/>
    <mergeCell ref="AI27:AJ27"/>
    <mergeCell ref="AS27:AT27"/>
    <mergeCell ref="AU27:AV27"/>
    <mergeCell ref="I27:J27"/>
    <mergeCell ref="I28:J28"/>
    <mergeCell ref="K28:L28"/>
    <mergeCell ref="U28:V28"/>
    <mergeCell ref="W28:X28"/>
    <mergeCell ref="AG28:AH28"/>
    <mergeCell ref="AI28:AJ28"/>
    <mergeCell ref="I29:J29"/>
    <mergeCell ref="K29:L29"/>
    <mergeCell ref="W29:X29"/>
    <mergeCell ref="AI29:AJ29"/>
    <mergeCell ref="K30:L30"/>
    <mergeCell ref="W30:X30"/>
    <mergeCell ref="AI30:AJ30"/>
    <mergeCell ref="AS31:AT31"/>
    <mergeCell ref="AS32:AT32"/>
    <mergeCell ref="AM34:AV34"/>
    <mergeCell ref="AS28:AT28"/>
    <mergeCell ref="AU28:AV28"/>
    <mergeCell ref="AS29:AT29"/>
    <mergeCell ref="AU29:AV29"/>
    <mergeCell ref="AS30:AT30"/>
    <mergeCell ref="AU30:AV30"/>
    <mergeCell ref="AU31:AV31"/>
    <mergeCell ref="AU32:AV32"/>
    <mergeCell ref="I30:J30"/>
    <mergeCell ref="I31:J31"/>
    <mergeCell ref="K31:L31"/>
    <mergeCell ref="I32:J32"/>
    <mergeCell ref="K32:L32"/>
    <mergeCell ref="C34:L34"/>
    <mergeCell ref="K37:L37"/>
    <mergeCell ref="AS38:AT38"/>
    <mergeCell ref="AU38:AV38"/>
    <mergeCell ref="AS45:AT45"/>
    <mergeCell ref="AS46:AT46"/>
    <mergeCell ref="AS47:AT47"/>
    <mergeCell ref="AS52:AT52"/>
    <mergeCell ref="AU52:AV52"/>
    <mergeCell ref="AS40:AT40"/>
    <mergeCell ref="AU40:AV40"/>
    <mergeCell ref="AS41:AT41"/>
    <mergeCell ref="AU41:AV41"/>
    <mergeCell ref="AS42:AT42"/>
    <mergeCell ref="AU42:AV42"/>
    <mergeCell ref="AU45:AV45"/>
    <mergeCell ref="AG47:AH47"/>
    <mergeCell ref="AG48:AH48"/>
    <mergeCell ref="AG49:AH49"/>
    <mergeCell ref="AA51:AJ51"/>
    <mergeCell ref="AG52:AH52"/>
    <mergeCell ref="AI52:AJ52"/>
    <mergeCell ref="AG41:AH41"/>
    <mergeCell ref="AG42:AH42"/>
    <mergeCell ref="AG45:AH45"/>
    <mergeCell ref="AI45:AJ45"/>
    <mergeCell ref="AG46:AH46"/>
    <mergeCell ref="AI46:AJ46"/>
    <mergeCell ref="AI47:AJ47"/>
    <mergeCell ref="B62:D63"/>
    <mergeCell ref="B64:D65"/>
    <mergeCell ref="E64:E65"/>
    <mergeCell ref="F64:F65"/>
    <mergeCell ref="B56:D57"/>
    <mergeCell ref="B58:F59"/>
    <mergeCell ref="B60:D61"/>
    <mergeCell ref="E60:E61"/>
    <mergeCell ref="F60:F61"/>
    <mergeCell ref="E62:E63"/>
    <mergeCell ref="F62:F63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8"/>
    <hyperlink r:id="rId42" ref="O28"/>
    <hyperlink r:id="rId43" ref="AA28"/>
    <hyperlink r:id="rId44" ref="AM28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6"/>
    <hyperlink r:id="rId82" ref="O46"/>
    <hyperlink r:id="rId83" ref="AA46"/>
    <hyperlink r:id="rId84" ref="AM46"/>
    <hyperlink r:id="rId85" ref="C47"/>
    <hyperlink r:id="rId86" ref="O47"/>
    <hyperlink r:id="rId87" ref="AA47"/>
    <hyperlink r:id="rId88" ref="AM47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B60"/>
    <hyperlink r:id="rId98" ref="B62"/>
    <hyperlink r:id="rId99" ref="B64"/>
  </hyperlinks>
  <printOptions/>
  <pageMargins bottom="0.75" footer="0.0" header="0.0" left="0.7" right="0.7" top="0.75"/>
  <pageSetup orientation="portrait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8"/>
      <c r="B1" s="98"/>
      <c r="C1" s="98"/>
      <c r="D1" s="98"/>
      <c r="E1" s="98"/>
      <c r="F1" s="99"/>
      <c r="G1" s="99"/>
      <c r="H1" s="99"/>
      <c r="I1" s="100"/>
      <c r="J1" s="100"/>
      <c r="K1" s="99"/>
      <c r="L1" s="16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>
      <c r="A2" s="98"/>
      <c r="B2" s="98"/>
      <c r="C2" s="98"/>
      <c r="D2" s="98"/>
      <c r="E2" s="98"/>
      <c r="F2" s="99"/>
      <c r="G2" s="99"/>
      <c r="H2" s="99"/>
      <c r="I2" s="100"/>
      <c r="J2" s="100"/>
      <c r="K2" s="99"/>
      <c r="L2" s="16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ht="217.5" customHeight="1">
      <c r="A3" s="39"/>
      <c r="B3" s="39"/>
      <c r="C3" s="16"/>
      <c r="D3" s="16"/>
      <c r="E3" s="16"/>
      <c r="F3" s="16"/>
      <c r="G3" s="16"/>
      <c r="H3" s="39"/>
      <c r="I3" s="101"/>
      <c r="J3" s="101"/>
      <c r="K3" s="16"/>
      <c r="L3" s="16"/>
      <c r="M3" s="99"/>
      <c r="N3" s="102"/>
      <c r="O3" s="99"/>
      <c r="P3" s="39"/>
      <c r="Q3" s="39"/>
      <c r="R3" s="3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ht="75.0" customHeight="1">
      <c r="A4" s="39"/>
      <c r="B4" s="39"/>
      <c r="C4" s="16"/>
      <c r="D4" s="16"/>
      <c r="E4" s="16"/>
      <c r="F4" s="16"/>
      <c r="G4" s="16"/>
      <c r="H4" s="39"/>
      <c r="I4" s="101"/>
      <c r="J4" s="101"/>
      <c r="K4" s="16"/>
      <c r="L4" s="16"/>
      <c r="M4" s="99"/>
      <c r="N4" s="99"/>
      <c r="O4" s="99"/>
      <c r="P4" s="39"/>
      <c r="Q4" s="16"/>
      <c r="R4" s="16"/>
      <c r="S4" s="16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>
      <c r="A5" s="88"/>
      <c r="B5" s="88"/>
      <c r="C5" s="103" t="s">
        <v>83</v>
      </c>
      <c r="D5" s="61"/>
      <c r="E5" s="23"/>
      <c r="F5" s="16"/>
      <c r="G5" s="88"/>
      <c r="H5" s="88"/>
      <c r="I5" s="104"/>
      <c r="J5" s="104"/>
      <c r="K5" s="88"/>
      <c r="L5" s="16"/>
      <c r="M5" s="105"/>
      <c r="N5" s="105"/>
      <c r="O5" s="105"/>
      <c r="P5" s="89"/>
      <c r="Q5" s="106"/>
      <c r="R5" s="106"/>
      <c r="S5" s="106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</row>
    <row r="6">
      <c r="A6" s="88"/>
      <c r="B6" s="88"/>
      <c r="C6" s="103" t="s">
        <v>84</v>
      </c>
      <c r="D6" s="61"/>
      <c r="E6" s="23"/>
      <c r="F6" s="16"/>
      <c r="G6" s="88"/>
      <c r="H6" s="88"/>
      <c r="I6" s="104"/>
      <c r="J6" s="104"/>
      <c r="K6" s="16"/>
      <c r="L6" s="16"/>
      <c r="M6" s="105"/>
      <c r="N6" s="105"/>
      <c r="O6" s="105"/>
      <c r="P6" s="89"/>
      <c r="Q6" s="106"/>
      <c r="R6" s="106"/>
      <c r="S6" s="106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</row>
    <row r="7">
      <c r="A7" s="88"/>
      <c r="B7" s="88"/>
      <c r="C7" s="103" t="s">
        <v>85</v>
      </c>
      <c r="D7" s="61"/>
      <c r="E7" s="23"/>
      <c r="F7" s="16"/>
      <c r="G7" s="88"/>
      <c r="H7" s="88"/>
      <c r="I7" s="104"/>
      <c r="J7" s="104"/>
      <c r="K7" s="16"/>
      <c r="L7" s="16"/>
      <c r="M7" s="16"/>
      <c r="N7" s="16"/>
      <c r="O7" s="16"/>
      <c r="P7" s="16"/>
      <c r="Q7" s="16"/>
      <c r="R7" s="16"/>
      <c r="S7" s="16"/>
      <c r="T7" s="107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</row>
    <row r="8">
      <c r="A8" s="88"/>
      <c r="B8" s="88"/>
      <c r="C8" s="108"/>
      <c r="D8" s="108"/>
      <c r="E8" s="108"/>
      <c r="F8" s="16"/>
      <c r="G8" s="88"/>
      <c r="H8" s="88"/>
      <c r="I8" s="104"/>
      <c r="J8" s="104"/>
      <c r="K8" s="16"/>
      <c r="L8" s="16"/>
      <c r="M8" s="16"/>
      <c r="N8" s="16"/>
      <c r="O8" s="16"/>
      <c r="P8" s="16"/>
      <c r="Q8" s="16"/>
      <c r="R8" s="16"/>
      <c r="S8" s="16"/>
      <c r="T8" s="107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</row>
    <row r="9">
      <c r="A9" s="39"/>
      <c r="B9" s="39"/>
      <c r="C9" s="16"/>
      <c r="D9" s="16"/>
      <c r="E9" s="16"/>
      <c r="F9" s="16"/>
      <c r="G9" s="88"/>
      <c r="H9" s="88"/>
      <c r="I9" s="104"/>
      <c r="J9" s="104"/>
      <c r="K9" s="16"/>
      <c r="L9" s="16"/>
      <c r="M9" s="16"/>
      <c r="N9" s="16"/>
      <c r="O9" s="16"/>
      <c r="P9" s="16"/>
      <c r="Q9" s="16"/>
      <c r="R9" s="16"/>
      <c r="S9" s="16"/>
      <c r="T9" s="107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</row>
    <row r="10">
      <c r="A10" s="39"/>
      <c r="B10" s="39"/>
      <c r="C10" s="16"/>
      <c r="D10" s="16"/>
      <c r="E10" s="16"/>
      <c r="F10" s="16"/>
      <c r="G10" s="109"/>
      <c r="H10" s="109"/>
      <c r="I10" s="104"/>
      <c r="J10" s="104"/>
      <c r="K10" s="109"/>
      <c r="L10" s="16"/>
      <c r="M10" s="16"/>
      <c r="N10" s="16"/>
      <c r="O10" s="16"/>
      <c r="P10" s="16"/>
      <c r="Q10" s="16"/>
      <c r="R10" s="16"/>
      <c r="S10" s="16"/>
      <c r="T10" s="107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</row>
    <row r="11" ht="18.0" customHeight="1">
      <c r="A11" s="39"/>
      <c r="B11" s="39"/>
      <c r="C11" s="16"/>
      <c r="D11" s="16"/>
      <c r="E11" s="16"/>
      <c r="F11" s="16"/>
      <c r="G11" s="109"/>
      <c r="H11" s="109"/>
      <c r="I11" s="104"/>
      <c r="J11" s="104"/>
      <c r="K11" s="109"/>
      <c r="L11" s="16"/>
      <c r="M11" s="16"/>
      <c r="N11" s="16"/>
      <c r="O11" s="16"/>
      <c r="P11" s="16"/>
      <c r="Q11" s="16"/>
      <c r="R11" s="16"/>
      <c r="S11" s="16"/>
      <c r="T11" s="110"/>
      <c r="U11" s="16"/>
      <c r="V11" s="16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</row>
    <row r="12" ht="25.5" customHeight="1">
      <c r="A12" s="39"/>
      <c r="B12" s="39"/>
      <c r="C12" s="111" t="s">
        <v>86</v>
      </c>
      <c r="D12" s="61"/>
      <c r="E12" s="23"/>
      <c r="F12" s="16"/>
      <c r="G12" s="109"/>
      <c r="H12" s="39"/>
      <c r="I12" s="101"/>
      <c r="J12" s="101"/>
      <c r="K12" s="109"/>
      <c r="L12" s="16"/>
      <c r="M12" s="16"/>
      <c r="N12" s="16"/>
      <c r="O12" s="16"/>
      <c r="P12" s="16"/>
      <c r="Q12" s="16"/>
      <c r="R12" s="16"/>
      <c r="S12" s="16"/>
      <c r="T12" s="110"/>
      <c r="U12" s="16"/>
      <c r="V12" s="16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</row>
    <row r="13">
      <c r="A13" s="39"/>
      <c r="B13" s="39"/>
      <c r="C13" s="112" t="s">
        <v>87</v>
      </c>
      <c r="D13" s="113"/>
      <c r="E13" s="23"/>
      <c r="F13" s="16"/>
      <c r="G13" s="109"/>
      <c r="H13" s="39"/>
      <c r="I13" s="101"/>
      <c r="J13" s="101"/>
      <c r="K13" s="109"/>
      <c r="L13" s="16"/>
      <c r="M13" s="16"/>
      <c r="N13" s="16"/>
      <c r="O13" s="16"/>
      <c r="P13" s="16"/>
      <c r="Q13" s="16"/>
      <c r="R13" s="16"/>
      <c r="S13" s="16"/>
      <c r="T13" s="110"/>
      <c r="U13" s="16"/>
      <c r="V13" s="16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</row>
    <row r="14">
      <c r="A14" s="39"/>
      <c r="B14" s="39"/>
      <c r="C14" s="112" t="s">
        <v>63</v>
      </c>
      <c r="D14" s="113"/>
      <c r="E14" s="23"/>
      <c r="F14" s="16"/>
      <c r="G14" s="109"/>
      <c r="H14" s="39"/>
      <c r="I14" s="101"/>
      <c r="J14" s="101"/>
      <c r="K14" s="109"/>
      <c r="L14" s="16"/>
      <c r="M14" s="16"/>
      <c r="N14" s="16"/>
      <c r="O14" s="16"/>
      <c r="P14" s="16"/>
      <c r="Q14" s="16"/>
      <c r="R14" s="16"/>
      <c r="S14" s="16"/>
      <c r="T14" s="110"/>
      <c r="U14" s="16"/>
      <c r="V14" s="16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</row>
    <row r="15">
      <c r="A15" s="114"/>
      <c r="B15" s="114"/>
      <c r="C15" s="112" t="s">
        <v>64</v>
      </c>
      <c r="D15" s="113"/>
      <c r="E15" s="23"/>
      <c r="F15" s="106"/>
      <c r="G15" s="109"/>
      <c r="H15" s="39"/>
      <c r="I15" s="101"/>
      <c r="J15" s="101"/>
      <c r="K15" s="109"/>
      <c r="L15" s="16"/>
      <c r="M15" s="16"/>
      <c r="N15" s="16"/>
      <c r="O15" s="16"/>
      <c r="P15" s="16"/>
      <c r="Q15" s="16"/>
      <c r="R15" s="16"/>
      <c r="S15" s="16"/>
      <c r="T15" s="110"/>
      <c r="U15" s="16"/>
      <c r="V15" s="16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</row>
    <row r="16">
      <c r="A16" s="115"/>
      <c r="B16" s="115"/>
      <c r="C16" s="112" t="s">
        <v>88</v>
      </c>
      <c r="D16" s="116"/>
      <c r="E16" s="23"/>
      <c r="F16" s="106"/>
      <c r="G16" s="109"/>
      <c r="H16" s="39"/>
      <c r="I16" s="101"/>
      <c r="J16" s="101"/>
      <c r="K16" s="109"/>
      <c r="L16" s="16"/>
      <c r="M16" s="16"/>
      <c r="N16" s="16"/>
      <c r="O16" s="16"/>
      <c r="P16" s="16"/>
      <c r="Q16" s="16"/>
      <c r="R16" s="16"/>
      <c r="S16" s="16"/>
      <c r="T16" s="110"/>
      <c r="U16" s="16"/>
      <c r="V16" s="16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</row>
    <row r="17">
      <c r="A17" s="115"/>
      <c r="B17" s="115"/>
      <c r="C17" s="16"/>
      <c r="D17" s="16"/>
      <c r="E17" s="16"/>
      <c r="F17" s="106"/>
      <c r="G17" s="105"/>
      <c r="H17" s="105"/>
      <c r="I17" s="100"/>
      <c r="J17" s="100"/>
      <c r="K17" s="105"/>
      <c r="L17" s="16"/>
      <c r="M17" s="16"/>
      <c r="N17" s="16"/>
      <c r="O17" s="16"/>
      <c r="P17" s="16"/>
      <c r="Q17" s="16"/>
      <c r="R17" s="16"/>
      <c r="S17" s="16"/>
      <c r="T17" s="110"/>
      <c r="U17" s="16"/>
      <c r="V17" s="16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</row>
    <row r="18" ht="22.5" customHeight="1">
      <c r="A18" s="115"/>
      <c r="B18" s="115"/>
      <c r="C18" s="16"/>
      <c r="D18" s="16"/>
      <c r="E18" s="16"/>
      <c r="F18" s="105"/>
      <c r="G18" s="105"/>
      <c r="H18" s="105"/>
      <c r="I18" s="100"/>
      <c r="J18" s="100"/>
      <c r="K18" s="105"/>
      <c r="L18" s="16"/>
      <c r="M18" s="16"/>
      <c r="N18" s="16"/>
      <c r="O18" s="16"/>
      <c r="P18" s="16"/>
      <c r="Q18" s="16"/>
      <c r="R18" s="16"/>
      <c r="S18" s="16"/>
      <c r="T18" s="110"/>
      <c r="U18" s="16"/>
      <c r="V18" s="16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</row>
    <row r="19" ht="30.0" customHeight="1">
      <c r="A19" s="115"/>
      <c r="B19" s="115"/>
      <c r="C19" s="106"/>
      <c r="D19" s="117" t="s">
        <v>0</v>
      </c>
      <c r="E19" s="23"/>
      <c r="F19" s="106"/>
      <c r="G19" s="105"/>
      <c r="H19" s="105"/>
      <c r="I19" s="100"/>
      <c r="J19" s="100"/>
      <c r="K19" s="105"/>
      <c r="L19" s="118" t="s">
        <v>89</v>
      </c>
      <c r="M19" s="118" t="s">
        <v>90</v>
      </c>
      <c r="N19" s="118" t="s">
        <v>65</v>
      </c>
      <c r="O19" s="118" t="s">
        <v>91</v>
      </c>
      <c r="P19" s="118" t="s">
        <v>92</v>
      </c>
      <c r="Q19" s="119" t="s">
        <v>93</v>
      </c>
      <c r="R19" s="118" t="s">
        <v>94</v>
      </c>
      <c r="S19" s="118" t="s">
        <v>95</v>
      </c>
      <c r="T19" s="110"/>
      <c r="U19" s="16"/>
      <c r="V19" s="16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</row>
    <row r="20">
      <c r="A20" s="120"/>
      <c r="B20" s="120"/>
      <c r="C20" s="121" t="s">
        <v>96</v>
      </c>
      <c r="D20" s="118" t="s">
        <v>97</v>
      </c>
      <c r="E20" s="118" t="s">
        <v>98</v>
      </c>
      <c r="F20" s="118" t="s">
        <v>99</v>
      </c>
      <c r="G20" s="105"/>
      <c r="H20" s="122"/>
      <c r="I20" s="123" t="s">
        <v>100</v>
      </c>
      <c r="J20" s="23"/>
      <c r="K20" s="105"/>
      <c r="L20" s="124" t="s">
        <v>101</v>
      </c>
      <c r="M20" s="125">
        <v>45479.0</v>
      </c>
      <c r="N20" s="126"/>
      <c r="O20" s="126"/>
      <c r="P20" s="126"/>
      <c r="Q20" s="126"/>
      <c r="R20" s="126"/>
      <c r="S20" s="126"/>
      <c r="T20" s="110"/>
      <c r="U20" s="16"/>
      <c r="V20" s="16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</row>
    <row r="21">
      <c r="A21" s="89"/>
      <c r="B21" s="89"/>
      <c r="C21" s="127" t="s">
        <v>102</v>
      </c>
      <c r="D21" s="128"/>
      <c r="E21" s="128"/>
      <c r="F21" s="128"/>
      <c r="G21" s="105"/>
      <c r="H21" s="129"/>
      <c r="I21" s="130" t="s">
        <v>103</v>
      </c>
      <c r="J21" s="131">
        <v>1530.0</v>
      </c>
      <c r="K21" s="105"/>
      <c r="L21" s="124">
        <v>1.0</v>
      </c>
      <c r="M21" s="132">
        <f t="shared" ref="M21:M32" si="2">M20+7</f>
        <v>45486</v>
      </c>
      <c r="N21" s="133" t="str">
        <f>D28</f>
        <v>#DIV/0!</v>
      </c>
      <c r="O21" s="134" t="str">
        <f t="shared" ref="O21:S21" si="1">C32</f>
        <v/>
      </c>
      <c r="P21" s="134" t="str">
        <f t="shared" si="1"/>
        <v/>
      </c>
      <c r="Q21" s="134" t="str">
        <f t="shared" si="1"/>
        <v/>
      </c>
      <c r="R21" s="134" t="str">
        <f t="shared" si="1"/>
        <v/>
      </c>
      <c r="S21" s="134" t="str">
        <f t="shared" si="1"/>
        <v/>
      </c>
      <c r="T21" s="110"/>
      <c r="U21" s="16"/>
      <c r="V21" s="16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</row>
    <row r="22">
      <c r="A22" s="122"/>
      <c r="B22" s="122"/>
      <c r="C22" s="127" t="s">
        <v>104</v>
      </c>
      <c r="D22" s="128"/>
      <c r="E22" s="128"/>
      <c r="F22" s="128"/>
      <c r="G22" s="105"/>
      <c r="H22" s="129"/>
      <c r="I22" s="130" t="s">
        <v>105</v>
      </c>
      <c r="J22" s="131">
        <v>120.0</v>
      </c>
      <c r="K22" s="105"/>
      <c r="L22" s="124">
        <v>2.0</v>
      </c>
      <c r="M22" s="132">
        <f t="shared" si="2"/>
        <v>45493</v>
      </c>
      <c r="N22" s="135" t="str">
        <f>AVERAGE(D38:D44)</f>
        <v>#DIV/0!</v>
      </c>
      <c r="O22" s="136" t="str">
        <f t="shared" ref="O22:S22" si="3">C49</f>
        <v/>
      </c>
      <c r="P22" s="136" t="str">
        <f t="shared" si="3"/>
        <v/>
      </c>
      <c r="Q22" s="136" t="str">
        <f t="shared" si="3"/>
        <v/>
      </c>
      <c r="R22" s="136" t="str">
        <f t="shared" si="3"/>
        <v/>
      </c>
      <c r="S22" s="136" t="str">
        <f t="shared" si="3"/>
        <v/>
      </c>
      <c r="T22" s="110"/>
      <c r="U22" s="16"/>
      <c r="V22" s="16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</row>
    <row r="23">
      <c r="A23" s="137"/>
      <c r="B23" s="137"/>
      <c r="C23" s="127" t="s">
        <v>106</v>
      </c>
      <c r="D23" s="128"/>
      <c r="E23" s="128"/>
      <c r="F23" s="128"/>
      <c r="G23" s="105"/>
      <c r="H23" s="129"/>
      <c r="I23" s="130" t="s">
        <v>107</v>
      </c>
      <c r="J23" s="131">
        <v>150.0</v>
      </c>
      <c r="K23" s="105"/>
      <c r="L23" s="124">
        <v>3.0</v>
      </c>
      <c r="M23" s="132">
        <f t="shared" si="2"/>
        <v>45500</v>
      </c>
      <c r="N23" s="128" t="str">
        <f>AVERAGE(D55:D61)</f>
        <v>#DIV/0!</v>
      </c>
      <c r="O23" s="138" t="str">
        <f t="shared" ref="O23:S23" si="4">C66</f>
        <v/>
      </c>
      <c r="P23" s="138" t="str">
        <f t="shared" si="4"/>
        <v/>
      </c>
      <c r="Q23" s="138" t="str">
        <f t="shared" si="4"/>
        <v/>
      </c>
      <c r="R23" s="138" t="str">
        <f t="shared" si="4"/>
        <v/>
      </c>
      <c r="S23" s="138" t="str">
        <f t="shared" si="4"/>
        <v/>
      </c>
      <c r="T23" s="110"/>
      <c r="U23" s="16"/>
      <c r="V23" s="16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</row>
    <row r="24">
      <c r="A24" s="105"/>
      <c r="B24" s="105"/>
      <c r="C24" s="127" t="s">
        <v>108</v>
      </c>
      <c r="D24" s="128"/>
      <c r="E24" s="128"/>
      <c r="F24" s="128"/>
      <c r="G24" s="105"/>
      <c r="H24" s="129"/>
      <c r="I24" s="130" t="s">
        <v>109</v>
      </c>
      <c r="J24" s="131">
        <v>50.0</v>
      </c>
      <c r="K24" s="105"/>
      <c r="L24" s="124">
        <v>4.0</v>
      </c>
      <c r="M24" s="132">
        <f t="shared" si="2"/>
        <v>45507</v>
      </c>
      <c r="N24" s="139" t="str">
        <f>AVERAGE(D71:D77)</f>
        <v>#DIV/0!</v>
      </c>
      <c r="O24" s="136" t="str">
        <f t="shared" ref="O24:S24" si="5">C82</f>
        <v/>
      </c>
      <c r="P24" s="136" t="str">
        <f t="shared" si="5"/>
        <v/>
      </c>
      <c r="Q24" s="136" t="str">
        <f t="shared" si="5"/>
        <v/>
      </c>
      <c r="R24" s="136" t="str">
        <f t="shared" si="5"/>
        <v/>
      </c>
      <c r="S24" s="136" t="str">
        <f t="shared" si="5"/>
        <v/>
      </c>
      <c r="T24" s="110"/>
      <c r="U24" s="16"/>
      <c r="V24" s="16"/>
      <c r="W24" s="16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</row>
    <row r="25">
      <c r="A25" s="137"/>
      <c r="B25" s="137"/>
      <c r="C25" s="127" t="s">
        <v>110</v>
      </c>
      <c r="D25" s="128"/>
      <c r="E25" s="128"/>
      <c r="F25" s="128"/>
      <c r="G25" s="105"/>
      <c r="H25" s="105"/>
      <c r="I25" s="100"/>
      <c r="J25" s="100"/>
      <c r="K25" s="105"/>
      <c r="L25" s="124">
        <v>5.0</v>
      </c>
      <c r="M25" s="132">
        <f t="shared" si="2"/>
        <v>45514</v>
      </c>
      <c r="N25" s="128" t="str">
        <f>AVERAGE(D87:D93)</f>
        <v>#DIV/0!</v>
      </c>
      <c r="O25" s="138" t="str">
        <f t="shared" ref="O25:S25" si="6">C98</f>
        <v/>
      </c>
      <c r="P25" s="138" t="str">
        <f t="shared" si="6"/>
        <v/>
      </c>
      <c r="Q25" s="138" t="str">
        <f t="shared" si="6"/>
        <v/>
      </c>
      <c r="R25" s="138" t="str">
        <f t="shared" si="6"/>
        <v/>
      </c>
      <c r="S25" s="138" t="str">
        <f t="shared" si="6"/>
        <v/>
      </c>
      <c r="T25" s="110"/>
      <c r="U25" s="16"/>
      <c r="V25" s="16"/>
      <c r="W25" s="16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</row>
    <row r="26">
      <c r="A26" s="137"/>
      <c r="B26" s="137"/>
      <c r="C26" s="127" t="s">
        <v>111</v>
      </c>
      <c r="D26" s="140"/>
      <c r="E26" s="128"/>
      <c r="F26" s="128"/>
      <c r="G26" s="105"/>
      <c r="H26" s="105"/>
      <c r="I26" s="100"/>
      <c r="J26" s="100"/>
      <c r="K26" s="105"/>
      <c r="L26" s="124">
        <v>6.0</v>
      </c>
      <c r="M26" s="132">
        <f t="shared" si="2"/>
        <v>45521</v>
      </c>
      <c r="N26" s="139" t="str">
        <f>AVERAGE(D103:D109)</f>
        <v>#DIV/0!</v>
      </c>
      <c r="O26" s="136" t="str">
        <f t="shared" ref="O26:S26" si="7">C114</f>
        <v/>
      </c>
      <c r="P26" s="136" t="str">
        <f t="shared" si="7"/>
        <v/>
      </c>
      <c r="Q26" s="136" t="str">
        <f t="shared" si="7"/>
        <v/>
      </c>
      <c r="R26" s="136" t="str">
        <f t="shared" si="7"/>
        <v/>
      </c>
      <c r="S26" s="136" t="str">
        <f t="shared" si="7"/>
        <v/>
      </c>
      <c r="T26" s="110"/>
      <c r="U26" s="16"/>
      <c r="V26" s="16"/>
      <c r="W26" s="16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</row>
    <row r="27">
      <c r="A27" s="105"/>
      <c r="B27" s="105"/>
      <c r="C27" s="127" t="s">
        <v>112</v>
      </c>
      <c r="D27" s="140"/>
      <c r="E27" s="128"/>
      <c r="F27" s="140"/>
      <c r="G27" s="105"/>
      <c r="H27" s="105"/>
      <c r="I27" s="100"/>
      <c r="J27" s="100"/>
      <c r="K27" s="105"/>
      <c r="L27" s="124">
        <v>7.0</v>
      </c>
      <c r="M27" s="132">
        <f t="shared" si="2"/>
        <v>45528</v>
      </c>
      <c r="N27" s="128" t="str">
        <f>AVERAGE(D120:D126)</f>
        <v>#DIV/0!</v>
      </c>
      <c r="O27" s="138" t="str">
        <f t="shared" ref="O27:S27" si="8">C131</f>
        <v/>
      </c>
      <c r="P27" s="138" t="str">
        <f t="shared" si="8"/>
        <v/>
      </c>
      <c r="Q27" s="138" t="str">
        <f t="shared" si="8"/>
        <v/>
      </c>
      <c r="R27" s="138" t="str">
        <f t="shared" si="8"/>
        <v/>
      </c>
      <c r="S27" s="138" t="str">
        <f t="shared" si="8"/>
        <v/>
      </c>
      <c r="T27" s="110"/>
      <c r="U27" s="16"/>
      <c r="V27" s="16"/>
      <c r="W27" s="16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</row>
    <row r="28">
      <c r="A28" s="137"/>
      <c r="B28" s="137"/>
      <c r="C28" s="141" t="s">
        <v>113</v>
      </c>
      <c r="D28" s="142" t="str">
        <f t="shared" ref="D28:F28" si="9">AVERAGE(D21:D27)</f>
        <v>#DIV/0!</v>
      </c>
      <c r="E28" s="142" t="str">
        <f t="shared" si="9"/>
        <v>#DIV/0!</v>
      </c>
      <c r="F28" s="142" t="str">
        <f t="shared" si="9"/>
        <v>#DIV/0!</v>
      </c>
      <c r="G28" s="105"/>
      <c r="H28" s="105"/>
      <c r="I28" s="100"/>
      <c r="J28" s="100"/>
      <c r="K28" s="105"/>
      <c r="L28" s="124">
        <v>8.0</v>
      </c>
      <c r="M28" s="132">
        <f t="shared" si="2"/>
        <v>45535</v>
      </c>
      <c r="N28" s="139" t="str">
        <f>AVERAGE(D137:D143)</f>
        <v>#DIV/0!</v>
      </c>
      <c r="O28" s="136" t="str">
        <f t="shared" ref="O28:S28" si="10">C148</f>
        <v/>
      </c>
      <c r="P28" s="136" t="str">
        <f t="shared" si="10"/>
        <v/>
      </c>
      <c r="Q28" s="136" t="str">
        <f t="shared" si="10"/>
        <v/>
      </c>
      <c r="R28" s="136" t="str">
        <f t="shared" si="10"/>
        <v/>
      </c>
      <c r="S28" s="136" t="str">
        <f t="shared" si="10"/>
        <v/>
      </c>
      <c r="T28" s="110"/>
      <c r="U28" s="16"/>
      <c r="V28" s="16"/>
      <c r="W28" s="16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</row>
    <row r="29">
      <c r="A29" s="137"/>
      <c r="B29" s="137"/>
      <c r="C29" s="106"/>
      <c r="D29" s="106"/>
      <c r="E29" s="106"/>
      <c r="F29" s="106"/>
      <c r="G29" s="105"/>
      <c r="H29" s="105"/>
      <c r="I29" s="100"/>
      <c r="J29" s="100"/>
      <c r="K29" s="105"/>
      <c r="L29" s="124">
        <v>9.0</v>
      </c>
      <c r="M29" s="132">
        <f t="shared" si="2"/>
        <v>45542</v>
      </c>
      <c r="N29" s="128" t="str">
        <f>AVERAGE(D153:D159)</f>
        <v>#DIV/0!</v>
      </c>
      <c r="O29" s="138" t="str">
        <f t="shared" ref="O29:S29" si="11">C164</f>
        <v/>
      </c>
      <c r="P29" s="138" t="str">
        <f t="shared" si="11"/>
        <v/>
      </c>
      <c r="Q29" s="138" t="str">
        <f t="shared" si="11"/>
        <v/>
      </c>
      <c r="R29" s="138" t="str">
        <f t="shared" si="11"/>
        <v/>
      </c>
      <c r="S29" s="138" t="str">
        <f t="shared" si="11"/>
        <v/>
      </c>
      <c r="T29" s="110"/>
      <c r="U29" s="16"/>
      <c r="V29" s="16"/>
      <c r="W29" s="16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</row>
    <row r="30">
      <c r="A30" s="143"/>
      <c r="B30" s="143"/>
      <c r="C30" s="144" t="s">
        <v>114</v>
      </c>
      <c r="D30" s="61"/>
      <c r="E30" s="61"/>
      <c r="F30" s="61"/>
      <c r="G30" s="23"/>
      <c r="H30" s="145"/>
      <c r="I30" s="48"/>
      <c r="J30" s="48"/>
      <c r="K30" s="145"/>
      <c r="L30" s="124">
        <v>10.0</v>
      </c>
      <c r="M30" s="132">
        <f t="shared" si="2"/>
        <v>45549</v>
      </c>
      <c r="N30" s="139" t="str">
        <f>AVERAGE(D169:D175)</f>
        <v>#DIV/0!</v>
      </c>
      <c r="O30" s="136" t="str">
        <f>C164</f>
        <v/>
      </c>
      <c r="P30" s="136" t="str">
        <f t="shared" ref="P30:S30" si="12">D180</f>
        <v/>
      </c>
      <c r="Q30" s="136" t="str">
        <f t="shared" si="12"/>
        <v/>
      </c>
      <c r="R30" s="136" t="str">
        <f t="shared" si="12"/>
        <v/>
      </c>
      <c r="S30" s="136" t="str">
        <f t="shared" si="12"/>
        <v/>
      </c>
      <c r="T30" s="110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</row>
    <row r="31">
      <c r="A31" s="89"/>
      <c r="B31" s="89"/>
      <c r="C31" s="146" t="s">
        <v>91</v>
      </c>
      <c r="D31" s="146" t="s">
        <v>115</v>
      </c>
      <c r="E31" s="130" t="s">
        <v>93</v>
      </c>
      <c r="F31" s="146" t="s">
        <v>94</v>
      </c>
      <c r="G31" s="146" t="s">
        <v>95</v>
      </c>
      <c r="H31" s="145"/>
      <c r="I31" s="48"/>
      <c r="J31" s="48"/>
      <c r="K31" s="145"/>
      <c r="L31" s="124">
        <v>11.0</v>
      </c>
      <c r="M31" s="132">
        <f t="shared" si="2"/>
        <v>45556</v>
      </c>
      <c r="N31" s="128" t="str">
        <f>AVERAGE(D185:D191)</f>
        <v>#DIV/0!</v>
      </c>
      <c r="O31" s="138" t="str">
        <f t="shared" ref="O31:S31" si="13">C196</f>
        <v/>
      </c>
      <c r="P31" s="138" t="str">
        <f t="shared" si="13"/>
        <v/>
      </c>
      <c r="Q31" s="138" t="str">
        <f t="shared" si="13"/>
        <v/>
      </c>
      <c r="R31" s="138" t="str">
        <f t="shared" si="13"/>
        <v/>
      </c>
      <c r="S31" s="138" t="str">
        <f t="shared" si="13"/>
        <v/>
      </c>
      <c r="T31" s="110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</row>
    <row r="32">
      <c r="A32" s="122"/>
      <c r="B32" s="122"/>
      <c r="C32" s="147"/>
      <c r="D32" s="147"/>
      <c r="E32" s="147"/>
      <c r="F32" s="147"/>
      <c r="G32" s="147"/>
      <c r="H32" s="145"/>
      <c r="I32" s="48"/>
      <c r="J32" s="48"/>
      <c r="K32" s="145"/>
      <c r="L32" s="124">
        <v>12.0</v>
      </c>
      <c r="M32" s="132">
        <f t="shared" si="2"/>
        <v>45563</v>
      </c>
      <c r="N32" s="139" t="str">
        <f>AVERAGE(D201:D207)</f>
        <v>#DIV/0!</v>
      </c>
      <c r="O32" s="136" t="str">
        <f t="shared" ref="O32:S32" si="14">C212</f>
        <v/>
      </c>
      <c r="P32" s="136" t="str">
        <f t="shared" si="14"/>
        <v/>
      </c>
      <c r="Q32" s="136" t="str">
        <f t="shared" si="14"/>
        <v/>
      </c>
      <c r="R32" s="136" t="str">
        <f t="shared" si="14"/>
        <v/>
      </c>
      <c r="S32" s="136" t="str">
        <f t="shared" si="14"/>
        <v/>
      </c>
      <c r="T32" s="110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</row>
    <row r="33">
      <c r="A33" s="129"/>
      <c r="B33" s="129"/>
      <c r="C33" s="105"/>
      <c r="D33" s="105"/>
      <c r="E33" s="105"/>
      <c r="F33" s="105"/>
      <c r="G33" s="145"/>
      <c r="H33" s="145"/>
      <c r="I33" s="48"/>
      <c r="J33" s="48"/>
      <c r="K33" s="145"/>
      <c r="L33" s="105"/>
      <c r="M33" s="105"/>
      <c r="N33" s="105"/>
      <c r="O33" s="105"/>
      <c r="P33" s="105"/>
      <c r="Q33" s="105"/>
      <c r="R33" s="105"/>
      <c r="S33" s="105"/>
      <c r="T33" s="110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</row>
    <row r="34">
      <c r="A34" s="105"/>
      <c r="B34" s="105"/>
      <c r="C34" s="16"/>
      <c r="D34" s="16"/>
      <c r="E34" s="16"/>
      <c r="F34" s="16"/>
      <c r="G34" s="145"/>
      <c r="H34" s="145"/>
      <c r="I34" s="48"/>
      <c r="J34" s="48"/>
      <c r="K34" s="145"/>
      <c r="L34" s="16"/>
      <c r="M34" s="105"/>
      <c r="N34" s="88" t="s">
        <v>116</v>
      </c>
      <c r="O34" s="105"/>
      <c r="P34" s="105"/>
      <c r="Q34" s="105"/>
      <c r="R34" s="105"/>
      <c r="S34" s="105"/>
      <c r="T34" s="110"/>
      <c r="U34" s="148" t="s">
        <v>117</v>
      </c>
      <c r="V34" s="23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</row>
    <row r="35">
      <c r="A35" s="105"/>
      <c r="B35" s="105"/>
      <c r="C35" s="16"/>
      <c r="D35" s="16"/>
      <c r="E35" s="16"/>
      <c r="F35" s="16"/>
      <c r="G35" s="145"/>
      <c r="H35" s="145"/>
      <c r="I35" s="48"/>
      <c r="J35" s="48"/>
      <c r="K35" s="145"/>
      <c r="L35" s="105"/>
      <c r="M35" s="105"/>
      <c r="N35" s="105"/>
      <c r="O35" s="105"/>
      <c r="P35" s="105"/>
      <c r="Q35" s="105"/>
      <c r="R35" s="105"/>
      <c r="S35" s="105"/>
      <c r="T35" s="110"/>
      <c r="U35" s="149" t="s">
        <v>118</v>
      </c>
      <c r="V35" s="150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</row>
    <row r="36" ht="31.5" customHeight="1">
      <c r="A36" s="105"/>
      <c r="B36" s="105"/>
      <c r="C36" s="106"/>
      <c r="D36" s="151" t="s">
        <v>1</v>
      </c>
      <c r="E36" s="23"/>
      <c r="F36" s="106"/>
      <c r="G36" s="105"/>
      <c r="H36" s="105"/>
      <c r="I36" s="100"/>
      <c r="J36" s="100"/>
      <c r="K36" s="145"/>
      <c r="L36" s="105"/>
      <c r="M36" s="105"/>
      <c r="N36" s="105"/>
      <c r="O36" s="105"/>
      <c r="P36" s="105"/>
      <c r="Q36" s="105"/>
      <c r="R36" s="105"/>
      <c r="S36" s="105"/>
      <c r="T36" s="110"/>
      <c r="U36" s="149" t="s">
        <v>119</v>
      </c>
      <c r="V36" s="152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</row>
    <row r="37">
      <c r="A37" s="137"/>
      <c r="B37" s="137"/>
      <c r="C37" s="121" t="s">
        <v>96</v>
      </c>
      <c r="D37" s="118" t="s">
        <v>97</v>
      </c>
      <c r="E37" s="118" t="s">
        <v>98</v>
      </c>
      <c r="F37" s="118" t="s">
        <v>99</v>
      </c>
      <c r="G37" s="105"/>
      <c r="H37" s="122"/>
      <c r="I37" s="123" t="s">
        <v>100</v>
      </c>
      <c r="J37" s="23"/>
      <c r="K37" s="145"/>
      <c r="L37" s="105"/>
      <c r="M37" s="105"/>
      <c r="N37" s="105"/>
      <c r="O37" s="105"/>
      <c r="P37" s="105"/>
      <c r="Q37" s="105"/>
      <c r="R37" s="105"/>
      <c r="S37" s="105"/>
      <c r="T37" s="110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</row>
    <row r="38">
      <c r="A38" s="39"/>
      <c r="B38" s="39"/>
      <c r="C38" s="127" t="s">
        <v>102</v>
      </c>
      <c r="D38" s="128"/>
      <c r="E38" s="128"/>
      <c r="F38" s="128"/>
      <c r="G38" s="105"/>
      <c r="H38" s="129"/>
      <c r="I38" s="130" t="s">
        <v>103</v>
      </c>
      <c r="J38" s="131">
        <v>1530.0</v>
      </c>
      <c r="K38" s="145"/>
      <c r="L38" s="105"/>
      <c r="M38" s="105"/>
      <c r="N38" s="105"/>
      <c r="O38" s="105"/>
      <c r="P38" s="105"/>
      <c r="Q38" s="105"/>
      <c r="R38" s="105"/>
      <c r="S38" s="105"/>
      <c r="T38" s="110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</row>
    <row r="39">
      <c r="A39" s="145"/>
      <c r="B39" s="145"/>
      <c r="C39" s="127" t="s">
        <v>104</v>
      </c>
      <c r="D39" s="128"/>
      <c r="E39" s="128"/>
      <c r="F39" s="128"/>
      <c r="G39" s="105"/>
      <c r="H39" s="129"/>
      <c r="I39" s="130" t="s">
        <v>105</v>
      </c>
      <c r="J39" s="131">
        <v>120.0</v>
      </c>
      <c r="K39" s="145"/>
      <c r="L39" s="105"/>
      <c r="M39" s="105"/>
      <c r="N39" s="105"/>
      <c r="O39" s="105"/>
      <c r="P39" s="105"/>
      <c r="Q39" s="105"/>
      <c r="R39" s="105"/>
      <c r="S39" s="105"/>
      <c r="T39" s="110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</row>
    <row r="40">
      <c r="A40" s="145"/>
      <c r="B40" s="145"/>
      <c r="C40" s="127" t="s">
        <v>106</v>
      </c>
      <c r="D40" s="128"/>
      <c r="E40" s="128"/>
      <c r="F40" s="128"/>
      <c r="G40" s="105"/>
      <c r="H40" s="129"/>
      <c r="I40" s="130" t="s">
        <v>107</v>
      </c>
      <c r="J40" s="131">
        <v>150.0</v>
      </c>
      <c r="K40" s="145"/>
      <c r="L40" s="105"/>
      <c r="M40" s="105"/>
      <c r="N40" s="105"/>
      <c r="O40" s="105"/>
      <c r="P40" s="105"/>
      <c r="Q40" s="105"/>
      <c r="R40" s="105"/>
      <c r="S40" s="105"/>
      <c r="T40" s="110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</row>
    <row r="41">
      <c r="A41" s="145"/>
      <c r="B41" s="145"/>
      <c r="C41" s="127" t="s">
        <v>108</v>
      </c>
      <c r="D41" s="128"/>
      <c r="E41" s="128"/>
      <c r="F41" s="128"/>
      <c r="G41" s="105"/>
      <c r="H41" s="129"/>
      <c r="I41" s="130" t="s">
        <v>109</v>
      </c>
      <c r="J41" s="131">
        <v>50.0</v>
      </c>
      <c r="K41" s="145"/>
      <c r="L41" s="105"/>
      <c r="M41" s="105"/>
      <c r="N41" s="105"/>
      <c r="O41" s="105"/>
      <c r="P41" s="105"/>
      <c r="Q41" s="105"/>
      <c r="R41" s="105"/>
      <c r="S41" s="105"/>
      <c r="T41" s="110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</row>
    <row r="42">
      <c r="A42" s="145"/>
      <c r="B42" s="145"/>
      <c r="C42" s="127" t="s">
        <v>110</v>
      </c>
      <c r="D42" s="128"/>
      <c r="E42" s="128"/>
      <c r="F42" s="128"/>
      <c r="G42" s="105"/>
      <c r="H42" s="105"/>
      <c r="I42" s="100"/>
      <c r="J42" s="100"/>
      <c r="K42" s="145"/>
      <c r="L42" s="105"/>
      <c r="M42" s="105"/>
      <c r="N42" s="105"/>
      <c r="O42" s="105"/>
      <c r="P42" s="105"/>
      <c r="Q42" s="105"/>
      <c r="R42" s="105"/>
      <c r="S42" s="105"/>
      <c r="T42" s="110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</row>
    <row r="43">
      <c r="A43" s="98"/>
      <c r="B43" s="98"/>
      <c r="C43" s="127" t="s">
        <v>111</v>
      </c>
      <c r="D43" s="140"/>
      <c r="E43" s="128"/>
      <c r="F43" s="128"/>
      <c r="G43" s="105"/>
      <c r="H43" s="105"/>
      <c r="I43" s="100"/>
      <c r="J43" s="100"/>
      <c r="K43" s="98"/>
      <c r="L43" s="105"/>
      <c r="M43" s="105"/>
      <c r="N43" s="105"/>
      <c r="O43" s="105"/>
      <c r="P43" s="105"/>
      <c r="Q43" s="105"/>
      <c r="R43" s="105"/>
      <c r="S43" s="105"/>
      <c r="T43" s="110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</row>
    <row r="44">
      <c r="A44" s="98"/>
      <c r="B44" s="98"/>
      <c r="C44" s="127" t="s">
        <v>112</v>
      </c>
      <c r="D44" s="140"/>
      <c r="E44" s="128"/>
      <c r="F44" s="140"/>
      <c r="G44" s="105"/>
      <c r="H44" s="105"/>
      <c r="I44" s="100"/>
      <c r="J44" s="100"/>
      <c r="K44" s="98"/>
      <c r="L44" s="105"/>
      <c r="M44" s="105"/>
      <c r="N44" s="105"/>
      <c r="O44" s="105"/>
      <c r="P44" s="105"/>
      <c r="Q44" s="105"/>
      <c r="R44" s="105"/>
      <c r="S44" s="105"/>
      <c r="T44" s="110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</row>
    <row r="45">
      <c r="A45" s="98"/>
      <c r="B45" s="98"/>
      <c r="C45" s="141" t="s">
        <v>113</v>
      </c>
      <c r="D45" s="142" t="str">
        <f t="shared" ref="D45:F45" si="15">AVERAGE(D38:D44)</f>
        <v>#DIV/0!</v>
      </c>
      <c r="E45" s="142" t="str">
        <f t="shared" si="15"/>
        <v>#DIV/0!</v>
      </c>
      <c r="F45" s="142" t="str">
        <f t="shared" si="15"/>
        <v>#DIV/0!</v>
      </c>
      <c r="G45" s="105"/>
      <c r="H45" s="105"/>
      <c r="I45" s="100"/>
      <c r="J45" s="100"/>
      <c r="K45" s="98"/>
      <c r="L45" s="105"/>
      <c r="M45" s="105"/>
      <c r="N45" s="105"/>
      <c r="O45" s="105"/>
      <c r="P45" s="105"/>
      <c r="Q45" s="105"/>
      <c r="R45" s="105"/>
      <c r="S45" s="105"/>
      <c r="T45" s="110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</row>
    <row r="46">
      <c r="A46" s="98"/>
      <c r="B46" s="98"/>
      <c r="C46" s="106"/>
      <c r="D46" s="106"/>
      <c r="E46" s="106"/>
      <c r="F46" s="106"/>
      <c r="G46" s="105"/>
      <c r="H46" s="105"/>
      <c r="I46" s="100"/>
      <c r="J46" s="100"/>
      <c r="K46" s="98"/>
      <c r="L46" s="105"/>
      <c r="M46" s="105"/>
      <c r="N46" s="105"/>
      <c r="O46" s="105"/>
      <c r="P46" s="105"/>
      <c r="Q46" s="105"/>
      <c r="R46" s="105"/>
      <c r="S46" s="105"/>
      <c r="T46" s="110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</row>
    <row r="47">
      <c r="A47" s="98"/>
      <c r="B47" s="98"/>
      <c r="C47" s="144" t="s">
        <v>114</v>
      </c>
      <c r="D47" s="61"/>
      <c r="E47" s="61"/>
      <c r="F47" s="61"/>
      <c r="G47" s="23"/>
      <c r="H47" s="145"/>
      <c r="I47" s="48"/>
      <c r="J47" s="48"/>
      <c r="K47" s="98"/>
      <c r="L47" s="105"/>
      <c r="M47" s="105"/>
      <c r="N47" s="105"/>
      <c r="O47" s="105"/>
      <c r="P47" s="105"/>
      <c r="Q47" s="105"/>
      <c r="R47" s="105"/>
      <c r="S47" s="105"/>
      <c r="T47" s="110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</row>
    <row r="48">
      <c r="A48" s="98"/>
      <c r="B48" s="98"/>
      <c r="C48" s="146" t="s">
        <v>91</v>
      </c>
      <c r="D48" s="146" t="s">
        <v>115</v>
      </c>
      <c r="E48" s="130" t="s">
        <v>93</v>
      </c>
      <c r="F48" s="146" t="s">
        <v>94</v>
      </c>
      <c r="G48" s="146" t="s">
        <v>95</v>
      </c>
      <c r="H48" s="145"/>
      <c r="I48" s="48"/>
      <c r="J48" s="48"/>
      <c r="K48" s="98"/>
      <c r="L48" s="110"/>
      <c r="M48" s="110"/>
      <c r="N48" s="110"/>
      <c r="O48" s="110"/>
      <c r="P48" s="110"/>
      <c r="Q48" s="110"/>
      <c r="R48" s="110"/>
      <c r="S48" s="110"/>
      <c r="T48" s="110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>
      <c r="A49" s="98"/>
      <c r="B49" s="98"/>
      <c r="C49" s="147"/>
      <c r="D49" s="147"/>
      <c r="E49" s="147"/>
      <c r="F49" s="147"/>
      <c r="G49" s="147"/>
      <c r="H49" s="145"/>
      <c r="I49" s="48"/>
      <c r="J49" s="48"/>
      <c r="K49" s="98"/>
      <c r="L49" s="110"/>
      <c r="M49" s="110"/>
      <c r="N49" s="110"/>
      <c r="O49" s="110"/>
      <c r="P49" s="110"/>
      <c r="Q49" s="110"/>
      <c r="R49" s="110"/>
      <c r="S49" s="110"/>
      <c r="T49" s="110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</row>
    <row r="50">
      <c r="A50" s="98"/>
      <c r="B50" s="98"/>
      <c r="C50" s="98"/>
      <c r="D50" s="98"/>
      <c r="E50" s="98"/>
      <c r="F50" s="98"/>
      <c r="G50" s="98"/>
      <c r="H50" s="98"/>
      <c r="I50" s="48"/>
      <c r="J50" s="48"/>
      <c r="K50" s="98"/>
      <c r="L50" s="16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>
      <c r="A51" s="98"/>
      <c r="B51" s="98"/>
      <c r="C51" s="98"/>
      <c r="D51" s="98"/>
      <c r="E51" s="98"/>
      <c r="F51" s="98"/>
      <c r="G51" s="98"/>
      <c r="H51" s="98"/>
      <c r="I51" s="48"/>
      <c r="J51" s="48"/>
      <c r="K51" s="98"/>
      <c r="L51" s="16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</row>
    <row r="52">
      <c r="A52" s="98"/>
      <c r="B52" s="98"/>
      <c r="C52" s="98"/>
      <c r="D52" s="98"/>
      <c r="E52" s="98"/>
      <c r="F52" s="98"/>
      <c r="G52" s="98"/>
      <c r="H52" s="98"/>
      <c r="I52" s="48"/>
      <c r="J52" s="48"/>
      <c r="K52" s="98"/>
      <c r="L52" s="16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</row>
    <row r="53" ht="30.0" customHeight="1">
      <c r="A53" s="98"/>
      <c r="B53" s="98"/>
      <c r="C53" s="106"/>
      <c r="D53" s="151" t="s">
        <v>2</v>
      </c>
      <c r="E53" s="23"/>
      <c r="F53" s="106"/>
      <c r="G53" s="105"/>
      <c r="H53" s="105"/>
      <c r="I53" s="100"/>
      <c r="J53" s="100"/>
      <c r="K53" s="98"/>
      <c r="L53" s="16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>
      <c r="A54" s="98"/>
      <c r="B54" s="98"/>
      <c r="C54" s="121" t="s">
        <v>96</v>
      </c>
      <c r="D54" s="118" t="s">
        <v>97</v>
      </c>
      <c r="E54" s="118" t="s">
        <v>98</v>
      </c>
      <c r="F54" s="118" t="s">
        <v>99</v>
      </c>
      <c r="G54" s="105"/>
      <c r="H54" s="122"/>
      <c r="I54" s="123" t="s">
        <v>100</v>
      </c>
      <c r="J54" s="23"/>
      <c r="K54" s="98"/>
      <c r="L54" s="16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>
      <c r="A55" s="98"/>
      <c r="B55" s="98"/>
      <c r="C55" s="127" t="s">
        <v>102</v>
      </c>
      <c r="D55" s="128"/>
      <c r="E55" s="128"/>
      <c r="F55" s="128"/>
      <c r="G55" s="105"/>
      <c r="H55" s="129"/>
      <c r="I55" s="130" t="s">
        <v>103</v>
      </c>
      <c r="J55" s="131">
        <v>1530.0</v>
      </c>
      <c r="K55" s="98"/>
      <c r="L55" s="16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>
      <c r="A56" s="98"/>
      <c r="B56" s="98"/>
      <c r="C56" s="127" t="s">
        <v>104</v>
      </c>
      <c r="D56" s="128"/>
      <c r="E56" s="128"/>
      <c r="F56" s="128"/>
      <c r="G56" s="105"/>
      <c r="H56" s="129"/>
      <c r="I56" s="130" t="s">
        <v>105</v>
      </c>
      <c r="J56" s="131">
        <v>120.0</v>
      </c>
      <c r="K56" s="98"/>
      <c r="L56" s="16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</row>
    <row r="57">
      <c r="A57" s="98"/>
      <c r="B57" s="98"/>
      <c r="C57" s="127" t="s">
        <v>106</v>
      </c>
      <c r="D57" s="128"/>
      <c r="E57" s="128"/>
      <c r="F57" s="128"/>
      <c r="G57" s="105"/>
      <c r="H57" s="129"/>
      <c r="I57" s="130" t="s">
        <v>107</v>
      </c>
      <c r="J57" s="131">
        <v>150.0</v>
      </c>
      <c r="K57" s="98"/>
      <c r="L57" s="16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</row>
    <row r="58">
      <c r="A58" s="98"/>
      <c r="B58" s="98"/>
      <c r="C58" s="127" t="s">
        <v>108</v>
      </c>
      <c r="D58" s="128"/>
      <c r="E58" s="128"/>
      <c r="F58" s="128"/>
      <c r="G58" s="105"/>
      <c r="H58" s="129"/>
      <c r="I58" s="130" t="s">
        <v>109</v>
      </c>
      <c r="J58" s="131">
        <v>50.0</v>
      </c>
      <c r="K58" s="98"/>
      <c r="L58" s="16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</row>
    <row r="59">
      <c r="A59" s="98"/>
      <c r="B59" s="98"/>
      <c r="C59" s="127" t="s">
        <v>110</v>
      </c>
      <c r="D59" s="128"/>
      <c r="E59" s="128"/>
      <c r="F59" s="128"/>
      <c r="G59" s="105"/>
      <c r="H59" s="105"/>
      <c r="I59" s="100"/>
      <c r="J59" s="100"/>
      <c r="K59" s="98"/>
      <c r="L59" s="16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</row>
    <row r="60">
      <c r="A60" s="98"/>
      <c r="B60" s="98"/>
      <c r="C60" s="127" t="s">
        <v>111</v>
      </c>
      <c r="D60" s="140"/>
      <c r="E60" s="128"/>
      <c r="F60" s="128"/>
      <c r="G60" s="105"/>
      <c r="H60" s="105"/>
      <c r="I60" s="100"/>
      <c r="J60" s="100"/>
      <c r="K60" s="98"/>
      <c r="L60" s="16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</row>
    <row r="61">
      <c r="A61" s="98"/>
      <c r="B61" s="98"/>
      <c r="C61" s="127" t="s">
        <v>112</v>
      </c>
      <c r="D61" s="140"/>
      <c r="E61" s="128"/>
      <c r="F61" s="140"/>
      <c r="G61" s="105"/>
      <c r="H61" s="105"/>
      <c r="I61" s="100"/>
      <c r="J61" s="100"/>
      <c r="K61" s="98"/>
      <c r="L61" s="16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</row>
    <row r="62">
      <c r="A62" s="98"/>
      <c r="B62" s="98"/>
      <c r="C62" s="141" t="s">
        <v>113</v>
      </c>
      <c r="D62" s="142" t="str">
        <f t="shared" ref="D62:F62" si="16">AVERAGE(D55:D61)</f>
        <v>#DIV/0!</v>
      </c>
      <c r="E62" s="142" t="str">
        <f t="shared" si="16"/>
        <v>#DIV/0!</v>
      </c>
      <c r="F62" s="142" t="str">
        <f t="shared" si="16"/>
        <v>#DIV/0!</v>
      </c>
      <c r="G62" s="105"/>
      <c r="H62" s="105"/>
      <c r="I62" s="100"/>
      <c r="J62" s="100"/>
      <c r="K62" s="98"/>
      <c r="L62" s="16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</row>
    <row r="63">
      <c r="A63" s="98"/>
      <c r="B63" s="98"/>
      <c r="C63" s="106"/>
      <c r="D63" s="106"/>
      <c r="E63" s="106"/>
      <c r="F63" s="106"/>
      <c r="G63" s="105"/>
      <c r="H63" s="105"/>
      <c r="I63" s="100"/>
      <c r="J63" s="100"/>
      <c r="K63" s="98"/>
      <c r="L63" s="16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</row>
    <row r="64">
      <c r="A64" s="98"/>
      <c r="B64" s="98"/>
      <c r="C64" s="144" t="s">
        <v>114</v>
      </c>
      <c r="D64" s="61"/>
      <c r="E64" s="61"/>
      <c r="F64" s="61"/>
      <c r="G64" s="23"/>
      <c r="H64" s="145"/>
      <c r="I64" s="48"/>
      <c r="J64" s="48"/>
      <c r="K64" s="98"/>
      <c r="L64" s="16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</row>
    <row r="65">
      <c r="A65" s="98"/>
      <c r="B65" s="98"/>
      <c r="C65" s="146" t="s">
        <v>91</v>
      </c>
      <c r="D65" s="146" t="s">
        <v>115</v>
      </c>
      <c r="E65" s="130" t="s">
        <v>93</v>
      </c>
      <c r="F65" s="146" t="s">
        <v>94</v>
      </c>
      <c r="G65" s="146" t="s">
        <v>95</v>
      </c>
      <c r="H65" s="145"/>
      <c r="I65" s="48"/>
      <c r="J65" s="48"/>
      <c r="K65" s="98"/>
      <c r="L65" s="16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</row>
    <row r="66">
      <c r="A66" s="98"/>
      <c r="B66" s="98"/>
      <c r="C66" s="147"/>
      <c r="D66" s="147"/>
      <c r="E66" s="147"/>
      <c r="F66" s="147"/>
      <c r="G66" s="147"/>
      <c r="H66" s="145"/>
      <c r="I66" s="48"/>
      <c r="J66" s="48"/>
      <c r="K66" s="98"/>
      <c r="L66" s="16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</row>
    <row r="67" ht="21.0" customHeight="1">
      <c r="A67" s="98"/>
      <c r="B67" s="98"/>
      <c r="C67" s="98"/>
      <c r="D67" s="98"/>
      <c r="E67" s="98"/>
      <c r="F67" s="98"/>
      <c r="G67" s="98"/>
      <c r="H67" s="145"/>
      <c r="I67" s="48"/>
      <c r="J67" s="48"/>
      <c r="K67" s="98"/>
      <c r="L67" s="16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</row>
    <row r="68" ht="31.5" customHeight="1">
      <c r="A68" s="98"/>
      <c r="B68" s="98"/>
      <c r="C68" s="98"/>
      <c r="D68" s="98"/>
      <c r="E68" s="98"/>
      <c r="F68" s="98"/>
      <c r="G68" s="98"/>
      <c r="H68" s="145"/>
      <c r="I68" s="48"/>
      <c r="J68" s="48"/>
      <c r="K68" s="98"/>
      <c r="L68" s="16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</row>
    <row r="69" ht="30.0" customHeight="1">
      <c r="A69" s="98"/>
      <c r="B69" s="98"/>
      <c r="C69" s="106"/>
      <c r="D69" s="151" t="s">
        <v>3</v>
      </c>
      <c r="E69" s="23"/>
      <c r="F69" s="106"/>
      <c r="G69" s="105"/>
      <c r="H69" s="105"/>
      <c r="I69" s="100"/>
      <c r="J69" s="100"/>
      <c r="K69" s="98"/>
      <c r="L69" s="16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</row>
    <row r="70">
      <c r="A70" s="98"/>
      <c r="B70" s="98"/>
      <c r="C70" s="121" t="s">
        <v>96</v>
      </c>
      <c r="D70" s="118" t="s">
        <v>97</v>
      </c>
      <c r="E70" s="118" t="s">
        <v>98</v>
      </c>
      <c r="F70" s="118" t="s">
        <v>99</v>
      </c>
      <c r="G70" s="105"/>
      <c r="H70" s="122"/>
      <c r="I70" s="123" t="s">
        <v>100</v>
      </c>
      <c r="J70" s="23"/>
      <c r="K70" s="98"/>
      <c r="L70" s="16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</row>
    <row r="71">
      <c r="A71" s="98"/>
      <c r="B71" s="98"/>
      <c r="C71" s="127" t="s">
        <v>102</v>
      </c>
      <c r="D71" s="128"/>
      <c r="E71" s="128"/>
      <c r="F71" s="128"/>
      <c r="G71" s="105"/>
      <c r="H71" s="129"/>
      <c r="I71" s="130" t="s">
        <v>103</v>
      </c>
      <c r="J71" s="131">
        <v>1530.0</v>
      </c>
      <c r="K71" s="98"/>
      <c r="L71" s="16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>
      <c r="A72" s="98"/>
      <c r="B72" s="98"/>
      <c r="C72" s="127" t="s">
        <v>104</v>
      </c>
      <c r="D72" s="128"/>
      <c r="E72" s="128"/>
      <c r="F72" s="128"/>
      <c r="G72" s="105"/>
      <c r="H72" s="129"/>
      <c r="I72" s="130" t="s">
        <v>105</v>
      </c>
      <c r="J72" s="131">
        <v>120.0</v>
      </c>
      <c r="K72" s="98"/>
      <c r="L72" s="16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>
      <c r="A73" s="98"/>
      <c r="B73" s="98"/>
      <c r="C73" s="127" t="s">
        <v>106</v>
      </c>
      <c r="D73" s="128"/>
      <c r="E73" s="128"/>
      <c r="F73" s="128"/>
      <c r="G73" s="105"/>
      <c r="H73" s="129"/>
      <c r="I73" s="130" t="s">
        <v>107</v>
      </c>
      <c r="J73" s="131">
        <v>150.0</v>
      </c>
      <c r="K73" s="98"/>
      <c r="L73" s="16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</row>
    <row r="74">
      <c r="A74" s="98"/>
      <c r="B74" s="98"/>
      <c r="C74" s="127" t="s">
        <v>108</v>
      </c>
      <c r="D74" s="128"/>
      <c r="E74" s="128"/>
      <c r="F74" s="128"/>
      <c r="G74" s="105"/>
      <c r="H74" s="129"/>
      <c r="I74" s="130" t="s">
        <v>109</v>
      </c>
      <c r="J74" s="131">
        <v>50.0</v>
      </c>
      <c r="K74" s="98"/>
      <c r="L74" s="16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</row>
    <row r="75">
      <c r="A75" s="98"/>
      <c r="B75" s="98"/>
      <c r="C75" s="127" t="s">
        <v>110</v>
      </c>
      <c r="D75" s="128"/>
      <c r="E75" s="128"/>
      <c r="F75" s="128"/>
      <c r="G75" s="105"/>
      <c r="H75" s="105"/>
      <c r="I75" s="100"/>
      <c r="J75" s="100"/>
      <c r="K75" s="98"/>
      <c r="L75" s="16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</row>
    <row r="76">
      <c r="A76" s="98"/>
      <c r="B76" s="98"/>
      <c r="C76" s="127" t="s">
        <v>111</v>
      </c>
      <c r="D76" s="140"/>
      <c r="E76" s="128"/>
      <c r="F76" s="128"/>
      <c r="G76" s="105"/>
      <c r="H76" s="105"/>
      <c r="I76" s="100"/>
      <c r="J76" s="100"/>
      <c r="K76" s="98"/>
      <c r="L76" s="16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</row>
    <row r="77">
      <c r="A77" s="98"/>
      <c r="B77" s="98"/>
      <c r="C77" s="127" t="s">
        <v>112</v>
      </c>
      <c r="D77" s="140"/>
      <c r="E77" s="128"/>
      <c r="F77" s="140"/>
      <c r="G77" s="105"/>
      <c r="H77" s="105"/>
      <c r="I77" s="100"/>
      <c r="J77" s="100"/>
      <c r="K77" s="98"/>
      <c r="L77" s="16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</row>
    <row r="78">
      <c r="A78" s="98"/>
      <c r="B78" s="98"/>
      <c r="C78" s="141" t="s">
        <v>113</v>
      </c>
      <c r="D78" s="142" t="str">
        <f t="shared" ref="D78:F78" si="17">AVERAGE(D71:D77)</f>
        <v>#DIV/0!</v>
      </c>
      <c r="E78" s="142" t="str">
        <f t="shared" si="17"/>
        <v>#DIV/0!</v>
      </c>
      <c r="F78" s="142" t="str">
        <f t="shared" si="17"/>
        <v>#DIV/0!</v>
      </c>
      <c r="G78" s="105"/>
      <c r="H78" s="105"/>
      <c r="I78" s="100"/>
      <c r="J78" s="100"/>
      <c r="K78" s="98"/>
      <c r="L78" s="16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</row>
    <row r="79">
      <c r="A79" s="98"/>
      <c r="B79" s="98"/>
      <c r="C79" s="106"/>
      <c r="D79" s="106"/>
      <c r="E79" s="106"/>
      <c r="F79" s="106"/>
      <c r="G79" s="105"/>
      <c r="H79" s="105"/>
      <c r="I79" s="100"/>
      <c r="J79" s="100"/>
      <c r="K79" s="98"/>
      <c r="L79" s="16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</row>
    <row r="80">
      <c r="A80" s="98"/>
      <c r="B80" s="98"/>
      <c r="C80" s="144" t="s">
        <v>114</v>
      </c>
      <c r="D80" s="61"/>
      <c r="E80" s="61"/>
      <c r="F80" s="61"/>
      <c r="G80" s="23"/>
      <c r="H80" s="145"/>
      <c r="I80" s="48"/>
      <c r="J80" s="48"/>
      <c r="K80" s="98"/>
      <c r="L80" s="16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</row>
    <row r="81">
      <c r="A81" s="98"/>
      <c r="B81" s="98"/>
      <c r="C81" s="146" t="s">
        <v>91</v>
      </c>
      <c r="D81" s="146" t="s">
        <v>115</v>
      </c>
      <c r="E81" s="130" t="s">
        <v>93</v>
      </c>
      <c r="F81" s="146" t="s">
        <v>94</v>
      </c>
      <c r="G81" s="146" t="s">
        <v>95</v>
      </c>
      <c r="H81" s="145"/>
      <c r="I81" s="48"/>
      <c r="J81" s="48"/>
      <c r="K81" s="98"/>
      <c r="L81" s="16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</row>
    <row r="82">
      <c r="A82" s="98"/>
      <c r="B82" s="98"/>
      <c r="C82" s="147"/>
      <c r="D82" s="147"/>
      <c r="E82" s="147"/>
      <c r="F82" s="147"/>
      <c r="G82" s="147"/>
      <c r="H82" s="145"/>
      <c r="I82" s="48"/>
      <c r="J82" s="48"/>
      <c r="K82" s="98"/>
      <c r="L82" s="16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</row>
    <row r="83">
      <c r="A83" s="98"/>
      <c r="B83" s="98"/>
      <c r="C83" s="98"/>
      <c r="D83" s="98"/>
      <c r="E83" s="98"/>
      <c r="F83" s="98"/>
      <c r="G83" s="98"/>
      <c r="H83" s="145"/>
      <c r="I83" s="48"/>
      <c r="J83" s="48"/>
      <c r="K83" s="98"/>
      <c r="L83" s="16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</row>
    <row r="84">
      <c r="A84" s="98"/>
      <c r="B84" s="98"/>
      <c r="C84" s="98"/>
      <c r="D84" s="98"/>
      <c r="E84" s="98"/>
      <c r="F84" s="98"/>
      <c r="G84" s="98"/>
      <c r="H84" s="145"/>
      <c r="I84" s="48"/>
      <c r="J84" s="48"/>
      <c r="K84" s="98"/>
      <c r="L84" s="16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</row>
    <row r="85" ht="30.0" customHeight="1">
      <c r="A85" s="98"/>
      <c r="B85" s="98"/>
      <c r="C85" s="106"/>
      <c r="D85" s="151" t="s">
        <v>120</v>
      </c>
      <c r="E85" s="23"/>
      <c r="F85" s="106"/>
      <c r="G85" s="105"/>
      <c r="H85" s="105"/>
      <c r="I85" s="100"/>
      <c r="J85" s="100"/>
      <c r="K85" s="98"/>
      <c r="L85" s="16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</row>
    <row r="86">
      <c r="A86" s="98"/>
      <c r="B86" s="98"/>
      <c r="C86" s="121" t="s">
        <v>96</v>
      </c>
      <c r="D86" s="118" t="s">
        <v>97</v>
      </c>
      <c r="E86" s="118" t="s">
        <v>98</v>
      </c>
      <c r="F86" s="118" t="s">
        <v>99</v>
      </c>
      <c r="G86" s="105"/>
      <c r="H86" s="122"/>
      <c r="I86" s="123" t="s">
        <v>100</v>
      </c>
      <c r="J86" s="23"/>
      <c r="K86" s="98"/>
      <c r="L86" s="16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</row>
    <row r="87">
      <c r="A87" s="98"/>
      <c r="B87" s="98"/>
      <c r="C87" s="127" t="s">
        <v>102</v>
      </c>
      <c r="D87" s="128"/>
      <c r="E87" s="128"/>
      <c r="F87" s="128"/>
      <c r="G87" s="105"/>
      <c r="H87" s="129"/>
      <c r="I87" s="130" t="s">
        <v>103</v>
      </c>
      <c r="J87" s="131">
        <v>1530.0</v>
      </c>
      <c r="K87" s="98"/>
      <c r="L87" s="16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</row>
    <row r="88">
      <c r="A88" s="98"/>
      <c r="B88" s="98"/>
      <c r="C88" s="127" t="s">
        <v>104</v>
      </c>
      <c r="D88" s="128"/>
      <c r="E88" s="128"/>
      <c r="F88" s="128"/>
      <c r="G88" s="105"/>
      <c r="H88" s="129"/>
      <c r="I88" s="130" t="s">
        <v>105</v>
      </c>
      <c r="J88" s="131">
        <v>120.0</v>
      </c>
      <c r="K88" s="98"/>
      <c r="L88" s="16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</row>
    <row r="89">
      <c r="A89" s="98"/>
      <c r="B89" s="98"/>
      <c r="C89" s="127" t="s">
        <v>106</v>
      </c>
      <c r="D89" s="128"/>
      <c r="E89" s="128"/>
      <c r="F89" s="128"/>
      <c r="G89" s="105"/>
      <c r="H89" s="129"/>
      <c r="I89" s="130" t="s">
        <v>107</v>
      </c>
      <c r="J89" s="131">
        <v>150.0</v>
      </c>
      <c r="K89" s="98"/>
      <c r="L89" s="16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</row>
    <row r="90">
      <c r="A90" s="98"/>
      <c r="B90" s="98"/>
      <c r="C90" s="127" t="s">
        <v>108</v>
      </c>
      <c r="D90" s="128"/>
      <c r="E90" s="128"/>
      <c r="F90" s="128"/>
      <c r="G90" s="105"/>
      <c r="H90" s="129"/>
      <c r="I90" s="130" t="s">
        <v>109</v>
      </c>
      <c r="J90" s="131">
        <v>50.0</v>
      </c>
      <c r="K90" s="98"/>
      <c r="L90" s="16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</row>
    <row r="91">
      <c r="A91" s="98"/>
      <c r="B91" s="98"/>
      <c r="C91" s="127" t="s">
        <v>110</v>
      </c>
      <c r="D91" s="128"/>
      <c r="E91" s="128"/>
      <c r="F91" s="128"/>
      <c r="G91" s="105"/>
      <c r="H91" s="105"/>
      <c r="I91" s="100"/>
      <c r="J91" s="100"/>
      <c r="K91" s="98"/>
      <c r="L91" s="16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</row>
    <row r="92">
      <c r="A92" s="98"/>
      <c r="B92" s="98"/>
      <c r="C92" s="127" t="s">
        <v>111</v>
      </c>
      <c r="D92" s="140"/>
      <c r="E92" s="128"/>
      <c r="F92" s="128"/>
      <c r="G92" s="105"/>
      <c r="H92" s="105"/>
      <c r="I92" s="100"/>
      <c r="J92" s="100"/>
      <c r="K92" s="98"/>
      <c r="L92" s="16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</row>
    <row r="93">
      <c r="A93" s="98"/>
      <c r="B93" s="98"/>
      <c r="C93" s="127" t="s">
        <v>112</v>
      </c>
      <c r="D93" s="140"/>
      <c r="E93" s="128"/>
      <c r="F93" s="140"/>
      <c r="G93" s="105"/>
      <c r="H93" s="105"/>
      <c r="I93" s="100"/>
      <c r="J93" s="100"/>
      <c r="K93" s="98"/>
      <c r="L93" s="16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</row>
    <row r="94">
      <c r="A94" s="98"/>
      <c r="B94" s="98"/>
      <c r="C94" s="141" t="s">
        <v>113</v>
      </c>
      <c r="D94" s="142" t="str">
        <f t="shared" ref="D94:F94" si="18">AVERAGE(D87:D93)</f>
        <v>#DIV/0!</v>
      </c>
      <c r="E94" s="142" t="str">
        <f t="shared" si="18"/>
        <v>#DIV/0!</v>
      </c>
      <c r="F94" s="142" t="str">
        <f t="shared" si="18"/>
        <v>#DIV/0!</v>
      </c>
      <c r="G94" s="105"/>
      <c r="H94" s="105"/>
      <c r="I94" s="100"/>
      <c r="J94" s="100"/>
      <c r="K94" s="98"/>
      <c r="L94" s="16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</row>
    <row r="95">
      <c r="A95" s="98"/>
      <c r="B95" s="98"/>
      <c r="C95" s="106"/>
      <c r="D95" s="106"/>
      <c r="E95" s="106"/>
      <c r="F95" s="106"/>
      <c r="G95" s="105"/>
      <c r="H95" s="105"/>
      <c r="I95" s="100"/>
      <c r="J95" s="100"/>
      <c r="K95" s="98"/>
      <c r="L95" s="16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</row>
    <row r="96">
      <c r="A96" s="98"/>
      <c r="B96" s="98"/>
      <c r="C96" s="144" t="s">
        <v>114</v>
      </c>
      <c r="D96" s="61"/>
      <c r="E96" s="61"/>
      <c r="F96" s="61"/>
      <c r="G96" s="23"/>
      <c r="H96" s="145"/>
      <c r="I96" s="48"/>
      <c r="J96" s="48"/>
      <c r="K96" s="98"/>
      <c r="L96" s="16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</row>
    <row r="97">
      <c r="A97" s="98"/>
      <c r="B97" s="98"/>
      <c r="C97" s="146" t="s">
        <v>91</v>
      </c>
      <c r="D97" s="146" t="s">
        <v>115</v>
      </c>
      <c r="E97" s="130" t="s">
        <v>93</v>
      </c>
      <c r="F97" s="146" t="s">
        <v>94</v>
      </c>
      <c r="G97" s="146" t="s">
        <v>95</v>
      </c>
      <c r="H97" s="145"/>
      <c r="I97" s="48"/>
      <c r="J97" s="48"/>
      <c r="K97" s="98"/>
      <c r="L97" s="16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>
      <c r="A98" s="98"/>
      <c r="B98" s="98"/>
      <c r="C98" s="147"/>
      <c r="D98" s="147"/>
      <c r="E98" s="147"/>
      <c r="F98" s="147"/>
      <c r="G98" s="147"/>
      <c r="H98" s="145"/>
      <c r="I98" s="48"/>
      <c r="J98" s="48"/>
      <c r="K98" s="98"/>
      <c r="L98" s="16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>
      <c r="A99" s="98"/>
      <c r="B99" s="98"/>
      <c r="C99" s="98"/>
      <c r="D99" s="98"/>
      <c r="E99" s="98"/>
      <c r="F99" s="98"/>
      <c r="G99" s="98"/>
      <c r="H99" s="145"/>
      <c r="I99" s="48"/>
      <c r="J99" s="48"/>
      <c r="K99" s="98"/>
      <c r="L99" s="16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>
      <c r="A100" s="98"/>
      <c r="B100" s="98"/>
      <c r="C100" s="98"/>
      <c r="D100" s="98"/>
      <c r="E100" s="98"/>
      <c r="F100" s="98"/>
      <c r="G100" s="98"/>
      <c r="H100" s="145"/>
      <c r="I100" s="48"/>
      <c r="J100" s="48"/>
      <c r="K100" s="98"/>
      <c r="L100" s="16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ht="27.0" customHeight="1">
      <c r="A101" s="98"/>
      <c r="B101" s="98"/>
      <c r="C101" s="106"/>
      <c r="D101" s="151" t="s">
        <v>121</v>
      </c>
      <c r="E101" s="23"/>
      <c r="F101" s="106"/>
      <c r="G101" s="105"/>
      <c r="H101" s="105"/>
      <c r="I101" s="100"/>
      <c r="J101" s="100"/>
      <c r="K101" s="98"/>
      <c r="L101" s="16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>
      <c r="A102" s="98"/>
      <c r="B102" s="98"/>
      <c r="C102" s="121" t="s">
        <v>96</v>
      </c>
      <c r="D102" s="118" t="s">
        <v>97</v>
      </c>
      <c r="E102" s="118" t="s">
        <v>98</v>
      </c>
      <c r="F102" s="118" t="s">
        <v>99</v>
      </c>
      <c r="G102" s="105"/>
      <c r="H102" s="122"/>
      <c r="I102" s="123" t="s">
        <v>100</v>
      </c>
      <c r="J102" s="23"/>
      <c r="K102" s="98"/>
      <c r="L102" s="16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>
      <c r="A103" s="98"/>
      <c r="B103" s="98"/>
      <c r="C103" s="127" t="s">
        <v>102</v>
      </c>
      <c r="D103" s="128"/>
      <c r="E103" s="128"/>
      <c r="F103" s="128"/>
      <c r="G103" s="105"/>
      <c r="H103" s="129"/>
      <c r="I103" s="130" t="s">
        <v>103</v>
      </c>
      <c r="J103" s="131">
        <v>1530.0</v>
      </c>
      <c r="K103" s="98"/>
      <c r="L103" s="16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>
      <c r="A104" s="98"/>
      <c r="B104" s="98"/>
      <c r="C104" s="127" t="s">
        <v>104</v>
      </c>
      <c r="D104" s="128"/>
      <c r="E104" s="128"/>
      <c r="F104" s="128"/>
      <c r="G104" s="105"/>
      <c r="H104" s="129"/>
      <c r="I104" s="130" t="s">
        <v>105</v>
      </c>
      <c r="J104" s="131">
        <v>120.0</v>
      </c>
      <c r="K104" s="98"/>
      <c r="L104" s="16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>
      <c r="A105" s="98"/>
      <c r="B105" s="98"/>
      <c r="C105" s="127" t="s">
        <v>106</v>
      </c>
      <c r="D105" s="128"/>
      <c r="E105" s="128"/>
      <c r="F105" s="128"/>
      <c r="G105" s="105"/>
      <c r="H105" s="129"/>
      <c r="I105" s="130" t="s">
        <v>107</v>
      </c>
      <c r="J105" s="131">
        <v>150.0</v>
      </c>
      <c r="K105" s="98"/>
      <c r="L105" s="16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>
      <c r="A106" s="98"/>
      <c r="B106" s="98"/>
      <c r="C106" s="127" t="s">
        <v>108</v>
      </c>
      <c r="D106" s="128"/>
      <c r="E106" s="128"/>
      <c r="F106" s="128"/>
      <c r="G106" s="105"/>
      <c r="H106" s="129"/>
      <c r="I106" s="130" t="s">
        <v>109</v>
      </c>
      <c r="J106" s="131">
        <v>50.0</v>
      </c>
      <c r="K106" s="98"/>
      <c r="L106" s="16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>
      <c r="A107" s="98"/>
      <c r="B107" s="98"/>
      <c r="C107" s="127" t="s">
        <v>110</v>
      </c>
      <c r="D107" s="128"/>
      <c r="E107" s="128"/>
      <c r="F107" s="128"/>
      <c r="G107" s="105"/>
      <c r="H107" s="105"/>
      <c r="I107" s="100"/>
      <c r="J107" s="100"/>
      <c r="K107" s="98"/>
      <c r="L107" s="16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>
      <c r="A108" s="98"/>
      <c r="B108" s="98"/>
      <c r="C108" s="127" t="s">
        <v>111</v>
      </c>
      <c r="D108" s="140"/>
      <c r="E108" s="128"/>
      <c r="F108" s="128"/>
      <c r="G108" s="105"/>
      <c r="H108" s="105"/>
      <c r="I108" s="100"/>
      <c r="J108" s="100"/>
      <c r="K108" s="98"/>
      <c r="L108" s="16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>
      <c r="A109" s="98"/>
      <c r="B109" s="98"/>
      <c r="C109" s="127" t="s">
        <v>112</v>
      </c>
      <c r="D109" s="140"/>
      <c r="E109" s="128"/>
      <c r="F109" s="140"/>
      <c r="G109" s="105"/>
      <c r="H109" s="105"/>
      <c r="I109" s="100"/>
      <c r="J109" s="100"/>
      <c r="K109" s="98"/>
      <c r="L109" s="16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>
      <c r="A110" s="98"/>
      <c r="B110" s="98"/>
      <c r="C110" s="141" t="s">
        <v>113</v>
      </c>
      <c r="D110" s="142" t="str">
        <f t="shared" ref="D110:F110" si="19">AVERAGE(D103:D109)</f>
        <v>#DIV/0!</v>
      </c>
      <c r="E110" s="142" t="str">
        <f t="shared" si="19"/>
        <v>#DIV/0!</v>
      </c>
      <c r="F110" s="142" t="str">
        <f t="shared" si="19"/>
        <v>#DIV/0!</v>
      </c>
      <c r="G110" s="105"/>
      <c r="H110" s="105"/>
      <c r="I110" s="100"/>
      <c r="J110" s="100"/>
      <c r="K110" s="98"/>
      <c r="L110" s="16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>
      <c r="A111" s="98"/>
      <c r="B111" s="98"/>
      <c r="C111" s="106"/>
      <c r="D111" s="106"/>
      <c r="E111" s="106"/>
      <c r="F111" s="106"/>
      <c r="G111" s="105"/>
      <c r="H111" s="105"/>
      <c r="I111" s="100"/>
      <c r="J111" s="100"/>
      <c r="K111" s="98"/>
      <c r="L111" s="16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>
      <c r="A112" s="98"/>
      <c r="B112" s="98"/>
      <c r="C112" s="144" t="s">
        <v>114</v>
      </c>
      <c r="D112" s="61"/>
      <c r="E112" s="61"/>
      <c r="F112" s="61"/>
      <c r="G112" s="23"/>
      <c r="H112" s="145"/>
      <c r="I112" s="48"/>
      <c r="J112" s="48"/>
      <c r="K112" s="98"/>
      <c r="L112" s="16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</row>
    <row r="113">
      <c r="A113" s="98"/>
      <c r="B113" s="98"/>
      <c r="C113" s="146" t="s">
        <v>91</v>
      </c>
      <c r="D113" s="146" t="s">
        <v>115</v>
      </c>
      <c r="E113" s="130" t="s">
        <v>93</v>
      </c>
      <c r="F113" s="146" t="s">
        <v>94</v>
      </c>
      <c r="G113" s="146" t="s">
        <v>95</v>
      </c>
      <c r="H113" s="145"/>
      <c r="I113" s="48"/>
      <c r="J113" s="48"/>
      <c r="K113" s="98"/>
      <c r="L113" s="16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>
      <c r="A114" s="98"/>
      <c r="B114" s="98"/>
      <c r="C114" s="147"/>
      <c r="D114" s="147"/>
      <c r="E114" s="147"/>
      <c r="F114" s="147"/>
      <c r="G114" s="147"/>
      <c r="H114" s="145"/>
      <c r="I114" s="48"/>
      <c r="J114" s="48"/>
      <c r="K114" s="98"/>
      <c r="L114" s="16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>
      <c r="A115" s="98"/>
      <c r="B115" s="98"/>
      <c r="C115" s="105"/>
      <c r="D115" s="105"/>
      <c r="E115" s="105"/>
      <c r="F115" s="105"/>
      <c r="G115" s="98"/>
      <c r="H115" s="98"/>
      <c r="I115" s="48"/>
      <c r="J115" s="48"/>
      <c r="K115" s="98"/>
      <c r="L115" s="16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>
      <c r="A116" s="98"/>
      <c r="B116" s="98"/>
      <c r="C116" s="16"/>
      <c r="D116" s="16"/>
      <c r="E116" s="16"/>
      <c r="F116" s="16"/>
      <c r="G116" s="98"/>
      <c r="H116" s="98"/>
      <c r="I116" s="48"/>
      <c r="J116" s="48"/>
      <c r="K116" s="98"/>
      <c r="L116" s="16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>
      <c r="A117" s="98"/>
      <c r="B117" s="98"/>
      <c r="C117" s="16"/>
      <c r="D117" s="16"/>
      <c r="E117" s="16"/>
      <c r="F117" s="16"/>
      <c r="G117" s="98"/>
      <c r="H117" s="98"/>
      <c r="I117" s="48"/>
      <c r="J117" s="48"/>
      <c r="K117" s="98"/>
      <c r="L117" s="16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ht="30.0" customHeight="1">
      <c r="A118" s="98"/>
      <c r="B118" s="98"/>
      <c r="C118" s="106"/>
      <c r="D118" s="151" t="s">
        <v>122</v>
      </c>
      <c r="E118" s="23"/>
      <c r="F118" s="106"/>
      <c r="G118" s="105"/>
      <c r="H118" s="105"/>
      <c r="I118" s="100"/>
      <c r="J118" s="100"/>
      <c r="K118" s="98"/>
      <c r="L118" s="16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>
      <c r="A119" s="98"/>
      <c r="B119" s="98"/>
      <c r="C119" s="121" t="s">
        <v>96</v>
      </c>
      <c r="D119" s="118" t="s">
        <v>97</v>
      </c>
      <c r="E119" s="118" t="s">
        <v>98</v>
      </c>
      <c r="F119" s="118" t="s">
        <v>99</v>
      </c>
      <c r="G119" s="105"/>
      <c r="H119" s="122"/>
      <c r="I119" s="123" t="s">
        <v>100</v>
      </c>
      <c r="J119" s="23"/>
      <c r="K119" s="98"/>
      <c r="L119" s="16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>
      <c r="A120" s="98"/>
      <c r="B120" s="98"/>
      <c r="C120" s="127" t="s">
        <v>102</v>
      </c>
      <c r="D120" s="128"/>
      <c r="E120" s="128"/>
      <c r="F120" s="128"/>
      <c r="G120" s="105"/>
      <c r="H120" s="129"/>
      <c r="I120" s="130" t="s">
        <v>103</v>
      </c>
      <c r="J120" s="131">
        <v>1530.0</v>
      </c>
      <c r="K120" s="98"/>
      <c r="L120" s="16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>
      <c r="A121" s="98"/>
      <c r="B121" s="98"/>
      <c r="C121" s="127" t="s">
        <v>104</v>
      </c>
      <c r="D121" s="128"/>
      <c r="E121" s="128"/>
      <c r="F121" s="128"/>
      <c r="G121" s="105"/>
      <c r="H121" s="129"/>
      <c r="I121" s="130" t="s">
        <v>105</v>
      </c>
      <c r="J121" s="131">
        <v>120.0</v>
      </c>
      <c r="K121" s="98"/>
      <c r="L121" s="16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>
      <c r="A122" s="98"/>
      <c r="B122" s="98"/>
      <c r="C122" s="127" t="s">
        <v>106</v>
      </c>
      <c r="D122" s="128"/>
      <c r="E122" s="128"/>
      <c r="F122" s="128"/>
      <c r="G122" s="105"/>
      <c r="H122" s="129"/>
      <c r="I122" s="130" t="s">
        <v>107</v>
      </c>
      <c r="J122" s="131">
        <v>150.0</v>
      </c>
      <c r="K122" s="98"/>
      <c r="L122" s="16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>
      <c r="A123" s="98"/>
      <c r="B123" s="98"/>
      <c r="C123" s="127" t="s">
        <v>108</v>
      </c>
      <c r="D123" s="128"/>
      <c r="E123" s="128"/>
      <c r="F123" s="128"/>
      <c r="G123" s="105"/>
      <c r="H123" s="129"/>
      <c r="I123" s="130" t="s">
        <v>109</v>
      </c>
      <c r="J123" s="131">
        <v>50.0</v>
      </c>
      <c r="K123" s="98"/>
      <c r="L123" s="16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>
      <c r="A124" s="98"/>
      <c r="B124" s="98"/>
      <c r="C124" s="127" t="s">
        <v>110</v>
      </c>
      <c r="D124" s="128"/>
      <c r="E124" s="128"/>
      <c r="F124" s="128"/>
      <c r="G124" s="105"/>
      <c r="H124" s="105"/>
      <c r="I124" s="100"/>
      <c r="J124" s="100"/>
      <c r="K124" s="98"/>
      <c r="L124" s="16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>
      <c r="A125" s="98"/>
      <c r="B125" s="98"/>
      <c r="C125" s="127" t="s">
        <v>111</v>
      </c>
      <c r="D125" s="140"/>
      <c r="E125" s="128"/>
      <c r="F125" s="128"/>
      <c r="G125" s="105"/>
      <c r="H125" s="105"/>
      <c r="I125" s="100"/>
      <c r="J125" s="100"/>
      <c r="K125" s="98"/>
      <c r="L125" s="16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>
      <c r="A126" s="98"/>
      <c r="B126" s="98"/>
      <c r="C126" s="127" t="s">
        <v>112</v>
      </c>
      <c r="D126" s="140"/>
      <c r="E126" s="128"/>
      <c r="F126" s="140"/>
      <c r="G126" s="105"/>
      <c r="H126" s="105"/>
      <c r="I126" s="100"/>
      <c r="J126" s="100"/>
      <c r="K126" s="98"/>
      <c r="L126" s="16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>
      <c r="A127" s="98"/>
      <c r="B127" s="98"/>
      <c r="C127" s="141" t="s">
        <v>113</v>
      </c>
      <c r="D127" s="142" t="str">
        <f t="shared" ref="D127:F127" si="20">AVERAGE(D120:D126)</f>
        <v>#DIV/0!</v>
      </c>
      <c r="E127" s="142" t="str">
        <f t="shared" si="20"/>
        <v>#DIV/0!</v>
      </c>
      <c r="F127" s="142" t="str">
        <f t="shared" si="20"/>
        <v>#DIV/0!</v>
      </c>
      <c r="G127" s="105"/>
      <c r="H127" s="105"/>
      <c r="I127" s="100"/>
      <c r="J127" s="100"/>
      <c r="K127" s="98"/>
      <c r="L127" s="16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>
      <c r="A128" s="98"/>
      <c r="B128" s="98"/>
      <c r="C128" s="106"/>
      <c r="D128" s="106"/>
      <c r="E128" s="106"/>
      <c r="F128" s="106"/>
      <c r="G128" s="105"/>
      <c r="H128" s="105"/>
      <c r="I128" s="100"/>
      <c r="J128" s="100"/>
      <c r="K128" s="98"/>
      <c r="L128" s="16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>
      <c r="A129" s="98"/>
      <c r="B129" s="98"/>
      <c r="C129" s="144" t="s">
        <v>114</v>
      </c>
      <c r="D129" s="61"/>
      <c r="E129" s="61"/>
      <c r="F129" s="61"/>
      <c r="G129" s="23"/>
      <c r="H129" s="145"/>
      <c r="I129" s="48"/>
      <c r="J129" s="48"/>
      <c r="K129" s="98"/>
      <c r="L129" s="16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>
      <c r="A130" s="98"/>
      <c r="B130" s="98"/>
      <c r="C130" s="146" t="s">
        <v>91</v>
      </c>
      <c r="D130" s="146" t="s">
        <v>115</v>
      </c>
      <c r="E130" s="130" t="s">
        <v>93</v>
      </c>
      <c r="F130" s="146" t="s">
        <v>94</v>
      </c>
      <c r="G130" s="146" t="s">
        <v>95</v>
      </c>
      <c r="H130" s="145"/>
      <c r="I130" s="48"/>
      <c r="J130" s="48"/>
      <c r="K130" s="98"/>
      <c r="L130" s="16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>
      <c r="A131" s="98"/>
      <c r="B131" s="98"/>
      <c r="C131" s="147"/>
      <c r="D131" s="147"/>
      <c r="E131" s="147"/>
      <c r="F131" s="147"/>
      <c r="G131" s="147"/>
      <c r="H131" s="145"/>
      <c r="I131" s="48"/>
      <c r="J131" s="48"/>
      <c r="K131" s="98"/>
      <c r="L131" s="16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>
      <c r="A132" s="98"/>
      <c r="B132" s="98"/>
      <c r="C132" s="98"/>
      <c r="D132" s="98"/>
      <c r="E132" s="98"/>
      <c r="F132" s="98"/>
      <c r="G132" s="98"/>
      <c r="H132" s="145"/>
      <c r="I132" s="48"/>
      <c r="J132" s="48"/>
      <c r="K132" s="98"/>
      <c r="L132" s="16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>
      <c r="A133" s="98"/>
      <c r="B133" s="98"/>
      <c r="C133" s="98"/>
      <c r="D133" s="98"/>
      <c r="E133" s="98"/>
      <c r="F133" s="98"/>
      <c r="G133" s="98"/>
      <c r="H133" s="145"/>
      <c r="I133" s="48"/>
      <c r="J133" s="48"/>
      <c r="K133" s="98"/>
      <c r="L133" s="16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>
      <c r="A134" s="98"/>
      <c r="B134" s="98"/>
      <c r="C134" s="98"/>
      <c r="D134" s="98"/>
      <c r="E134" s="98"/>
      <c r="F134" s="98"/>
      <c r="G134" s="98"/>
      <c r="H134" s="145"/>
      <c r="I134" s="48"/>
      <c r="J134" s="48"/>
      <c r="K134" s="98"/>
      <c r="L134" s="16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ht="31.5" customHeight="1">
      <c r="A135" s="98"/>
      <c r="B135" s="98"/>
      <c r="C135" s="106"/>
      <c r="D135" s="151" t="s">
        <v>123</v>
      </c>
      <c r="E135" s="23"/>
      <c r="F135" s="106"/>
      <c r="G135" s="105"/>
      <c r="H135" s="105"/>
      <c r="I135" s="100"/>
      <c r="J135" s="100"/>
      <c r="K135" s="98"/>
      <c r="L135" s="16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>
      <c r="A136" s="98"/>
      <c r="B136" s="98"/>
      <c r="C136" s="121" t="s">
        <v>96</v>
      </c>
      <c r="D136" s="118" t="s">
        <v>97</v>
      </c>
      <c r="E136" s="118" t="s">
        <v>98</v>
      </c>
      <c r="F136" s="118" t="s">
        <v>99</v>
      </c>
      <c r="G136" s="105"/>
      <c r="H136" s="122"/>
      <c r="I136" s="123" t="s">
        <v>100</v>
      </c>
      <c r="J136" s="23"/>
      <c r="K136" s="98"/>
      <c r="L136" s="16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>
      <c r="A137" s="98"/>
      <c r="B137" s="98"/>
      <c r="C137" s="127" t="s">
        <v>102</v>
      </c>
      <c r="D137" s="128"/>
      <c r="E137" s="128"/>
      <c r="F137" s="128"/>
      <c r="G137" s="105"/>
      <c r="H137" s="129"/>
      <c r="I137" s="130" t="s">
        <v>103</v>
      </c>
      <c r="J137" s="131">
        <v>1530.0</v>
      </c>
      <c r="K137" s="98"/>
      <c r="L137" s="16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>
      <c r="A138" s="98"/>
      <c r="B138" s="98"/>
      <c r="C138" s="127" t="s">
        <v>104</v>
      </c>
      <c r="D138" s="128"/>
      <c r="E138" s="128"/>
      <c r="F138" s="128"/>
      <c r="G138" s="105"/>
      <c r="H138" s="129"/>
      <c r="I138" s="130" t="s">
        <v>105</v>
      </c>
      <c r="J138" s="131">
        <v>120.0</v>
      </c>
      <c r="K138" s="98"/>
      <c r="L138" s="16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>
      <c r="A139" s="98"/>
      <c r="B139" s="98"/>
      <c r="C139" s="127" t="s">
        <v>106</v>
      </c>
      <c r="D139" s="128"/>
      <c r="E139" s="128"/>
      <c r="F139" s="128"/>
      <c r="G139" s="105"/>
      <c r="H139" s="129"/>
      <c r="I139" s="130" t="s">
        <v>107</v>
      </c>
      <c r="J139" s="131">
        <v>150.0</v>
      </c>
      <c r="K139" s="98"/>
      <c r="L139" s="16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>
      <c r="A140" s="98"/>
      <c r="B140" s="98"/>
      <c r="C140" s="127" t="s">
        <v>108</v>
      </c>
      <c r="D140" s="128"/>
      <c r="E140" s="128"/>
      <c r="F140" s="128"/>
      <c r="G140" s="105"/>
      <c r="H140" s="129"/>
      <c r="I140" s="130" t="s">
        <v>109</v>
      </c>
      <c r="J140" s="131">
        <v>50.0</v>
      </c>
      <c r="K140" s="98"/>
      <c r="L140" s="16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>
      <c r="A141" s="98"/>
      <c r="B141" s="98"/>
      <c r="C141" s="127" t="s">
        <v>110</v>
      </c>
      <c r="D141" s="128"/>
      <c r="E141" s="128"/>
      <c r="F141" s="128"/>
      <c r="G141" s="105"/>
      <c r="H141" s="105"/>
      <c r="I141" s="100"/>
      <c r="J141" s="100"/>
      <c r="K141" s="98"/>
      <c r="L141" s="16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>
      <c r="A142" s="98"/>
      <c r="B142" s="98"/>
      <c r="C142" s="127" t="s">
        <v>111</v>
      </c>
      <c r="D142" s="140"/>
      <c r="E142" s="128"/>
      <c r="F142" s="128"/>
      <c r="G142" s="105"/>
      <c r="H142" s="105"/>
      <c r="I142" s="100"/>
      <c r="J142" s="100"/>
      <c r="K142" s="98"/>
      <c r="L142" s="16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>
      <c r="A143" s="98"/>
      <c r="B143" s="98"/>
      <c r="C143" s="127" t="s">
        <v>112</v>
      </c>
      <c r="D143" s="140"/>
      <c r="E143" s="128"/>
      <c r="F143" s="140"/>
      <c r="G143" s="105"/>
      <c r="H143" s="105"/>
      <c r="I143" s="100"/>
      <c r="J143" s="100"/>
      <c r="K143" s="98"/>
      <c r="L143" s="16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>
      <c r="A144" s="98"/>
      <c r="B144" s="98"/>
      <c r="C144" s="141" t="s">
        <v>113</v>
      </c>
      <c r="D144" s="142" t="str">
        <f t="shared" ref="D144:F144" si="21">AVERAGE(D137:D143)</f>
        <v>#DIV/0!</v>
      </c>
      <c r="E144" s="142" t="str">
        <f t="shared" si="21"/>
        <v>#DIV/0!</v>
      </c>
      <c r="F144" s="142" t="str">
        <f t="shared" si="21"/>
        <v>#DIV/0!</v>
      </c>
      <c r="G144" s="105"/>
      <c r="H144" s="105"/>
      <c r="I144" s="100"/>
      <c r="J144" s="100"/>
      <c r="K144" s="98"/>
      <c r="L144" s="16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>
      <c r="A145" s="98"/>
      <c r="B145" s="98"/>
      <c r="C145" s="106"/>
      <c r="D145" s="106"/>
      <c r="E145" s="106"/>
      <c r="F145" s="106"/>
      <c r="G145" s="105"/>
      <c r="H145" s="105"/>
      <c r="I145" s="100"/>
      <c r="J145" s="100"/>
      <c r="K145" s="98"/>
      <c r="L145" s="16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>
      <c r="A146" s="98"/>
      <c r="B146" s="98"/>
      <c r="C146" s="144" t="s">
        <v>114</v>
      </c>
      <c r="D146" s="61"/>
      <c r="E146" s="61"/>
      <c r="F146" s="61"/>
      <c r="G146" s="23"/>
      <c r="H146" s="145"/>
      <c r="I146" s="48"/>
      <c r="J146" s="48"/>
      <c r="K146" s="98"/>
      <c r="L146" s="16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>
      <c r="A147" s="98"/>
      <c r="B147" s="98"/>
      <c r="C147" s="146" t="s">
        <v>91</v>
      </c>
      <c r="D147" s="146" t="s">
        <v>115</v>
      </c>
      <c r="E147" s="130" t="s">
        <v>93</v>
      </c>
      <c r="F147" s="146" t="s">
        <v>94</v>
      </c>
      <c r="G147" s="146" t="s">
        <v>95</v>
      </c>
      <c r="H147" s="145"/>
      <c r="I147" s="48"/>
      <c r="J147" s="48"/>
      <c r="K147" s="98"/>
      <c r="L147" s="16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>
      <c r="A148" s="98"/>
      <c r="B148" s="98"/>
      <c r="C148" s="147"/>
      <c r="D148" s="147"/>
      <c r="E148" s="147"/>
      <c r="F148" s="147"/>
      <c r="G148" s="147"/>
      <c r="H148" s="145"/>
      <c r="I148" s="48"/>
      <c r="J148" s="48"/>
      <c r="K148" s="98"/>
      <c r="L148" s="16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48"/>
      <c r="J149" s="48"/>
      <c r="K149" s="98"/>
      <c r="L149" s="16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>
      <c r="A150" s="98"/>
      <c r="B150" s="98"/>
      <c r="C150" s="98"/>
      <c r="D150" s="98"/>
      <c r="E150" s="98"/>
      <c r="F150" s="98"/>
      <c r="G150" s="98"/>
      <c r="H150" s="98"/>
      <c r="I150" s="48"/>
      <c r="J150" s="48"/>
      <c r="K150" s="98"/>
      <c r="L150" s="16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ht="28.5" customHeight="1">
      <c r="A151" s="98"/>
      <c r="B151" s="98"/>
      <c r="C151" s="106"/>
      <c r="D151" s="151" t="s">
        <v>124</v>
      </c>
      <c r="E151" s="23"/>
      <c r="F151" s="106"/>
      <c r="G151" s="105"/>
      <c r="H151" s="105"/>
      <c r="I151" s="100"/>
      <c r="J151" s="100"/>
      <c r="K151" s="98"/>
      <c r="L151" s="16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>
      <c r="A152" s="98"/>
      <c r="B152" s="98"/>
      <c r="C152" s="121" t="s">
        <v>96</v>
      </c>
      <c r="D152" s="118" t="s">
        <v>97</v>
      </c>
      <c r="E152" s="118" t="s">
        <v>98</v>
      </c>
      <c r="F152" s="118" t="s">
        <v>99</v>
      </c>
      <c r="G152" s="105"/>
      <c r="H152" s="122"/>
      <c r="I152" s="123" t="s">
        <v>100</v>
      </c>
      <c r="J152" s="23"/>
      <c r="K152" s="98"/>
      <c r="L152" s="16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>
      <c r="A153" s="98"/>
      <c r="B153" s="98"/>
      <c r="C153" s="127" t="s">
        <v>102</v>
      </c>
      <c r="D153" s="128"/>
      <c r="E153" s="128"/>
      <c r="F153" s="128"/>
      <c r="G153" s="105"/>
      <c r="H153" s="129"/>
      <c r="I153" s="130" t="s">
        <v>103</v>
      </c>
      <c r="J153" s="131">
        <v>1530.0</v>
      </c>
      <c r="K153" s="98"/>
      <c r="L153" s="16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>
      <c r="A154" s="98"/>
      <c r="B154" s="98"/>
      <c r="C154" s="127" t="s">
        <v>104</v>
      </c>
      <c r="D154" s="128"/>
      <c r="E154" s="128"/>
      <c r="F154" s="128"/>
      <c r="G154" s="105"/>
      <c r="H154" s="129"/>
      <c r="I154" s="130" t="s">
        <v>105</v>
      </c>
      <c r="J154" s="131">
        <v>120.0</v>
      </c>
      <c r="K154" s="98"/>
      <c r="L154" s="16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>
      <c r="A155" s="98"/>
      <c r="B155" s="98"/>
      <c r="C155" s="127" t="s">
        <v>106</v>
      </c>
      <c r="D155" s="128"/>
      <c r="E155" s="128"/>
      <c r="F155" s="128"/>
      <c r="G155" s="105"/>
      <c r="H155" s="129"/>
      <c r="I155" s="130" t="s">
        <v>107</v>
      </c>
      <c r="J155" s="131">
        <v>150.0</v>
      </c>
      <c r="K155" s="98"/>
      <c r="L155" s="16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>
      <c r="A156" s="98"/>
      <c r="B156" s="98"/>
      <c r="C156" s="127" t="s">
        <v>108</v>
      </c>
      <c r="D156" s="128"/>
      <c r="E156" s="128"/>
      <c r="F156" s="128"/>
      <c r="G156" s="105"/>
      <c r="H156" s="129"/>
      <c r="I156" s="130" t="s">
        <v>109</v>
      </c>
      <c r="J156" s="131">
        <v>50.0</v>
      </c>
      <c r="K156" s="98"/>
      <c r="L156" s="16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>
      <c r="A157" s="98"/>
      <c r="B157" s="98"/>
      <c r="C157" s="127" t="s">
        <v>110</v>
      </c>
      <c r="D157" s="128"/>
      <c r="E157" s="128"/>
      <c r="F157" s="128"/>
      <c r="G157" s="105"/>
      <c r="H157" s="105"/>
      <c r="I157" s="100"/>
      <c r="J157" s="100"/>
      <c r="K157" s="98"/>
      <c r="L157" s="16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>
      <c r="A158" s="98"/>
      <c r="B158" s="98"/>
      <c r="C158" s="127" t="s">
        <v>111</v>
      </c>
      <c r="D158" s="140"/>
      <c r="E158" s="128"/>
      <c r="F158" s="128"/>
      <c r="G158" s="105"/>
      <c r="H158" s="105"/>
      <c r="I158" s="100"/>
      <c r="J158" s="100"/>
      <c r="K158" s="98"/>
      <c r="L158" s="16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>
      <c r="A159" s="98"/>
      <c r="B159" s="98"/>
      <c r="C159" s="127" t="s">
        <v>112</v>
      </c>
      <c r="D159" s="140"/>
      <c r="E159" s="128"/>
      <c r="F159" s="140"/>
      <c r="G159" s="105"/>
      <c r="H159" s="105"/>
      <c r="I159" s="100"/>
      <c r="J159" s="100"/>
      <c r="K159" s="98"/>
      <c r="L159" s="16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160">
      <c r="A160" s="98"/>
      <c r="B160" s="98"/>
      <c r="C160" s="141" t="s">
        <v>113</v>
      </c>
      <c r="D160" s="142" t="str">
        <f t="shared" ref="D160:F160" si="22">AVERAGE(D153:D159)</f>
        <v>#DIV/0!</v>
      </c>
      <c r="E160" s="142" t="str">
        <f t="shared" si="22"/>
        <v>#DIV/0!</v>
      </c>
      <c r="F160" s="142" t="str">
        <f t="shared" si="22"/>
        <v>#DIV/0!</v>
      </c>
      <c r="G160" s="105"/>
      <c r="H160" s="105"/>
      <c r="I160" s="100"/>
      <c r="J160" s="100"/>
      <c r="K160" s="98"/>
      <c r="L160" s="16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</row>
    <row r="161">
      <c r="A161" s="98"/>
      <c r="B161" s="98"/>
      <c r="C161" s="106"/>
      <c r="D161" s="106"/>
      <c r="E161" s="106"/>
      <c r="F161" s="106"/>
      <c r="G161" s="105"/>
      <c r="H161" s="105"/>
      <c r="I161" s="100"/>
      <c r="J161" s="100"/>
      <c r="K161" s="98"/>
      <c r="L161" s="16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</row>
    <row r="162">
      <c r="A162" s="98"/>
      <c r="B162" s="98"/>
      <c r="C162" s="144" t="s">
        <v>114</v>
      </c>
      <c r="D162" s="61"/>
      <c r="E162" s="61"/>
      <c r="F162" s="61"/>
      <c r="G162" s="23"/>
      <c r="H162" s="145"/>
      <c r="I162" s="48"/>
      <c r="J162" s="48"/>
      <c r="K162" s="98"/>
      <c r="L162" s="16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</row>
    <row r="163">
      <c r="A163" s="98"/>
      <c r="B163" s="98"/>
      <c r="C163" s="146" t="s">
        <v>91</v>
      </c>
      <c r="D163" s="146" t="s">
        <v>115</v>
      </c>
      <c r="E163" s="130" t="s">
        <v>93</v>
      </c>
      <c r="F163" s="146" t="s">
        <v>94</v>
      </c>
      <c r="G163" s="146" t="s">
        <v>95</v>
      </c>
      <c r="H163" s="145"/>
      <c r="I163" s="48"/>
      <c r="J163" s="48"/>
      <c r="K163" s="98"/>
      <c r="L163" s="16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</row>
    <row r="164">
      <c r="A164" s="98"/>
      <c r="B164" s="98"/>
      <c r="C164" s="147"/>
      <c r="D164" s="147"/>
      <c r="E164" s="147"/>
      <c r="F164" s="147"/>
      <c r="G164" s="147"/>
      <c r="H164" s="145"/>
      <c r="I164" s="48"/>
      <c r="J164" s="48"/>
      <c r="K164" s="98"/>
      <c r="L164" s="16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</row>
    <row r="165">
      <c r="A165" s="98"/>
      <c r="B165" s="98"/>
      <c r="C165" s="98"/>
      <c r="D165" s="98"/>
      <c r="E165" s="98"/>
      <c r="F165" s="98"/>
      <c r="G165" s="98"/>
      <c r="H165" s="145"/>
      <c r="I165" s="48"/>
      <c r="J165" s="48"/>
      <c r="K165" s="98"/>
      <c r="L165" s="16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</row>
    <row r="166">
      <c r="A166" s="98"/>
      <c r="B166" s="98"/>
      <c r="C166" s="98"/>
      <c r="D166" s="98"/>
      <c r="E166" s="98"/>
      <c r="F166" s="98"/>
      <c r="G166" s="98"/>
      <c r="H166" s="145"/>
      <c r="I166" s="48"/>
      <c r="J166" s="48"/>
      <c r="K166" s="98"/>
      <c r="L166" s="16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</row>
    <row r="167" ht="31.5" customHeight="1">
      <c r="A167" s="98"/>
      <c r="B167" s="98"/>
      <c r="C167" s="106"/>
      <c r="D167" s="151" t="s">
        <v>125</v>
      </c>
      <c r="E167" s="23"/>
      <c r="F167" s="106"/>
      <c r="G167" s="105"/>
      <c r="H167" s="105"/>
      <c r="I167" s="100"/>
      <c r="J167" s="100"/>
      <c r="K167" s="98"/>
      <c r="L167" s="16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</row>
    <row r="168">
      <c r="A168" s="98"/>
      <c r="B168" s="98"/>
      <c r="C168" s="121" t="s">
        <v>96</v>
      </c>
      <c r="D168" s="118" t="s">
        <v>97</v>
      </c>
      <c r="E168" s="118" t="s">
        <v>98</v>
      </c>
      <c r="F168" s="118" t="s">
        <v>99</v>
      </c>
      <c r="G168" s="105"/>
      <c r="H168" s="122"/>
      <c r="I168" s="123" t="s">
        <v>100</v>
      </c>
      <c r="J168" s="23"/>
      <c r="K168" s="98"/>
      <c r="L168" s="16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</row>
    <row r="169">
      <c r="A169" s="98"/>
      <c r="B169" s="98"/>
      <c r="C169" s="127" t="s">
        <v>102</v>
      </c>
      <c r="D169" s="128"/>
      <c r="E169" s="128"/>
      <c r="F169" s="128"/>
      <c r="G169" s="105"/>
      <c r="H169" s="129"/>
      <c r="I169" s="130" t="s">
        <v>103</v>
      </c>
      <c r="J169" s="131">
        <v>1530.0</v>
      </c>
      <c r="K169" s="98"/>
      <c r="L169" s="16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</row>
    <row r="170">
      <c r="A170" s="98"/>
      <c r="B170" s="98"/>
      <c r="C170" s="127" t="s">
        <v>104</v>
      </c>
      <c r="D170" s="128"/>
      <c r="E170" s="128"/>
      <c r="F170" s="128"/>
      <c r="G170" s="105"/>
      <c r="H170" s="129"/>
      <c r="I170" s="130" t="s">
        <v>105</v>
      </c>
      <c r="J170" s="131">
        <v>120.0</v>
      </c>
      <c r="K170" s="98"/>
      <c r="L170" s="16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</row>
    <row r="171">
      <c r="A171" s="98"/>
      <c r="B171" s="98"/>
      <c r="C171" s="127" t="s">
        <v>106</v>
      </c>
      <c r="D171" s="128"/>
      <c r="E171" s="128"/>
      <c r="F171" s="128"/>
      <c r="G171" s="105"/>
      <c r="H171" s="129"/>
      <c r="I171" s="130" t="s">
        <v>107</v>
      </c>
      <c r="J171" s="131">
        <v>150.0</v>
      </c>
      <c r="K171" s="98"/>
      <c r="L171" s="16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</row>
    <row r="172">
      <c r="A172" s="98"/>
      <c r="B172" s="98"/>
      <c r="C172" s="127" t="s">
        <v>108</v>
      </c>
      <c r="D172" s="128"/>
      <c r="E172" s="128"/>
      <c r="F172" s="128"/>
      <c r="G172" s="105"/>
      <c r="H172" s="129"/>
      <c r="I172" s="130" t="s">
        <v>109</v>
      </c>
      <c r="J172" s="131">
        <v>50.0</v>
      </c>
      <c r="K172" s="98"/>
      <c r="L172" s="16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</row>
    <row r="173">
      <c r="A173" s="98"/>
      <c r="B173" s="98"/>
      <c r="C173" s="127" t="s">
        <v>110</v>
      </c>
      <c r="D173" s="128"/>
      <c r="E173" s="128"/>
      <c r="F173" s="128"/>
      <c r="G173" s="105"/>
      <c r="H173" s="105"/>
      <c r="I173" s="100"/>
      <c r="J173" s="100"/>
      <c r="K173" s="98"/>
      <c r="L173" s="16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</row>
    <row r="174">
      <c r="A174" s="98"/>
      <c r="B174" s="98"/>
      <c r="C174" s="127" t="s">
        <v>111</v>
      </c>
      <c r="D174" s="140"/>
      <c r="E174" s="128"/>
      <c r="F174" s="128"/>
      <c r="G174" s="105"/>
      <c r="H174" s="105"/>
      <c r="I174" s="100"/>
      <c r="J174" s="100"/>
      <c r="K174" s="98"/>
      <c r="L174" s="16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</row>
    <row r="175">
      <c r="A175" s="98"/>
      <c r="B175" s="98"/>
      <c r="C175" s="127" t="s">
        <v>112</v>
      </c>
      <c r="D175" s="140"/>
      <c r="E175" s="128"/>
      <c r="F175" s="140"/>
      <c r="G175" s="105"/>
      <c r="H175" s="105"/>
      <c r="I175" s="100"/>
      <c r="J175" s="100"/>
      <c r="K175" s="98"/>
      <c r="L175" s="16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</row>
    <row r="176">
      <c r="A176" s="98"/>
      <c r="B176" s="98"/>
      <c r="C176" s="141" t="s">
        <v>113</v>
      </c>
      <c r="D176" s="142" t="str">
        <f t="shared" ref="D176:F176" si="23">AVERAGE(D169:D175)</f>
        <v>#DIV/0!</v>
      </c>
      <c r="E176" s="142" t="str">
        <f t="shared" si="23"/>
        <v>#DIV/0!</v>
      </c>
      <c r="F176" s="142" t="str">
        <f t="shared" si="23"/>
        <v>#DIV/0!</v>
      </c>
      <c r="G176" s="105"/>
      <c r="H176" s="105"/>
      <c r="I176" s="100"/>
      <c r="J176" s="100"/>
      <c r="K176" s="98"/>
      <c r="L176" s="16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</row>
    <row r="177">
      <c r="A177" s="98"/>
      <c r="B177" s="98"/>
      <c r="C177" s="106"/>
      <c r="D177" s="106"/>
      <c r="E177" s="106"/>
      <c r="F177" s="106"/>
      <c r="G177" s="105"/>
      <c r="H177" s="105"/>
      <c r="I177" s="100"/>
      <c r="J177" s="100"/>
      <c r="K177" s="98"/>
      <c r="L177" s="16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</row>
    <row r="178">
      <c r="A178" s="98"/>
      <c r="B178" s="98"/>
      <c r="C178" s="144" t="s">
        <v>114</v>
      </c>
      <c r="D178" s="61"/>
      <c r="E178" s="61"/>
      <c r="F178" s="61"/>
      <c r="G178" s="23"/>
      <c r="H178" s="145"/>
      <c r="I178" s="48"/>
      <c r="J178" s="48"/>
      <c r="K178" s="98"/>
      <c r="L178" s="16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</row>
    <row r="179">
      <c r="A179" s="98"/>
      <c r="B179" s="98"/>
      <c r="C179" s="146" t="s">
        <v>91</v>
      </c>
      <c r="D179" s="146" t="s">
        <v>115</v>
      </c>
      <c r="E179" s="130" t="s">
        <v>93</v>
      </c>
      <c r="F179" s="146" t="s">
        <v>94</v>
      </c>
      <c r="G179" s="146" t="s">
        <v>95</v>
      </c>
      <c r="H179" s="145"/>
      <c r="I179" s="48"/>
      <c r="J179" s="48"/>
      <c r="K179" s="98"/>
      <c r="L179" s="16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</row>
    <row r="180">
      <c r="A180" s="98"/>
      <c r="B180" s="98"/>
      <c r="C180" s="147"/>
      <c r="D180" s="147"/>
      <c r="E180" s="147"/>
      <c r="F180" s="147"/>
      <c r="G180" s="147"/>
      <c r="H180" s="145"/>
      <c r="I180" s="48"/>
      <c r="J180" s="48"/>
      <c r="K180" s="98"/>
      <c r="L180" s="16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</row>
    <row r="181">
      <c r="A181" s="98"/>
      <c r="B181" s="98"/>
      <c r="C181" s="98"/>
      <c r="D181" s="98"/>
      <c r="E181" s="98"/>
      <c r="F181" s="98"/>
      <c r="G181" s="98"/>
      <c r="H181" s="145"/>
      <c r="I181" s="48"/>
      <c r="J181" s="48"/>
      <c r="K181" s="98"/>
      <c r="L181" s="16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</row>
    <row r="182">
      <c r="A182" s="98"/>
      <c r="B182" s="98"/>
      <c r="C182" s="98"/>
      <c r="D182" s="98"/>
      <c r="E182" s="98"/>
      <c r="F182" s="98"/>
      <c r="G182" s="98"/>
      <c r="H182" s="145"/>
      <c r="I182" s="48"/>
      <c r="J182" s="48"/>
      <c r="K182" s="98"/>
      <c r="L182" s="16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</row>
    <row r="183" ht="30.0" customHeight="1">
      <c r="A183" s="98"/>
      <c r="B183" s="98"/>
      <c r="C183" s="106"/>
      <c r="D183" s="151" t="s">
        <v>126</v>
      </c>
      <c r="E183" s="23"/>
      <c r="F183" s="106"/>
      <c r="G183" s="105"/>
      <c r="H183" s="105"/>
      <c r="I183" s="100"/>
      <c r="J183" s="100"/>
      <c r="K183" s="98"/>
      <c r="L183" s="16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</row>
    <row r="184">
      <c r="A184" s="98"/>
      <c r="B184" s="98"/>
      <c r="C184" s="121" t="s">
        <v>96</v>
      </c>
      <c r="D184" s="118" t="s">
        <v>97</v>
      </c>
      <c r="E184" s="118" t="s">
        <v>98</v>
      </c>
      <c r="F184" s="118" t="s">
        <v>99</v>
      </c>
      <c r="G184" s="105"/>
      <c r="H184" s="122"/>
      <c r="I184" s="123" t="s">
        <v>100</v>
      </c>
      <c r="J184" s="23"/>
      <c r="K184" s="98"/>
      <c r="L184" s="16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</row>
    <row r="185">
      <c r="A185" s="98"/>
      <c r="B185" s="98"/>
      <c r="C185" s="127" t="s">
        <v>102</v>
      </c>
      <c r="D185" s="128"/>
      <c r="E185" s="128"/>
      <c r="F185" s="128"/>
      <c r="G185" s="105"/>
      <c r="H185" s="129"/>
      <c r="I185" s="130" t="s">
        <v>103</v>
      </c>
      <c r="J185" s="131">
        <v>1530.0</v>
      </c>
      <c r="K185" s="98"/>
      <c r="L185" s="16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</row>
    <row r="186">
      <c r="A186" s="98"/>
      <c r="B186" s="98"/>
      <c r="C186" s="127" t="s">
        <v>104</v>
      </c>
      <c r="D186" s="128"/>
      <c r="E186" s="128"/>
      <c r="F186" s="128"/>
      <c r="G186" s="105"/>
      <c r="H186" s="129"/>
      <c r="I186" s="130" t="s">
        <v>105</v>
      </c>
      <c r="J186" s="131">
        <v>120.0</v>
      </c>
      <c r="K186" s="98"/>
      <c r="L186" s="16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</row>
    <row r="187">
      <c r="A187" s="98"/>
      <c r="B187" s="98"/>
      <c r="C187" s="127" t="s">
        <v>106</v>
      </c>
      <c r="D187" s="128"/>
      <c r="E187" s="128"/>
      <c r="F187" s="128"/>
      <c r="G187" s="105"/>
      <c r="H187" s="129"/>
      <c r="I187" s="130" t="s">
        <v>107</v>
      </c>
      <c r="J187" s="131">
        <v>150.0</v>
      </c>
      <c r="K187" s="98"/>
      <c r="L187" s="16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</row>
    <row r="188">
      <c r="A188" s="98"/>
      <c r="B188" s="98"/>
      <c r="C188" s="127" t="s">
        <v>108</v>
      </c>
      <c r="D188" s="128"/>
      <c r="E188" s="128"/>
      <c r="F188" s="128"/>
      <c r="G188" s="105"/>
      <c r="H188" s="129"/>
      <c r="I188" s="130" t="s">
        <v>109</v>
      </c>
      <c r="J188" s="131">
        <v>50.0</v>
      </c>
      <c r="K188" s="98"/>
      <c r="L188" s="16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</row>
    <row r="189">
      <c r="A189" s="98"/>
      <c r="B189" s="98"/>
      <c r="C189" s="127" t="s">
        <v>110</v>
      </c>
      <c r="D189" s="128"/>
      <c r="E189" s="128"/>
      <c r="F189" s="128"/>
      <c r="G189" s="105"/>
      <c r="H189" s="105"/>
      <c r="I189" s="100"/>
      <c r="J189" s="100"/>
      <c r="K189" s="98"/>
      <c r="L189" s="16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</row>
    <row r="190">
      <c r="A190" s="98"/>
      <c r="B190" s="98"/>
      <c r="C190" s="127" t="s">
        <v>111</v>
      </c>
      <c r="D190" s="140"/>
      <c r="E190" s="128"/>
      <c r="F190" s="128"/>
      <c r="G190" s="105"/>
      <c r="H190" s="105"/>
      <c r="I190" s="100"/>
      <c r="J190" s="100"/>
      <c r="K190" s="98"/>
      <c r="L190" s="16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</row>
    <row r="191">
      <c r="A191" s="98"/>
      <c r="B191" s="98"/>
      <c r="C191" s="127" t="s">
        <v>112</v>
      </c>
      <c r="D191" s="140"/>
      <c r="E191" s="128"/>
      <c r="F191" s="140"/>
      <c r="G191" s="105"/>
      <c r="H191" s="105"/>
      <c r="I191" s="100"/>
      <c r="J191" s="100"/>
      <c r="K191" s="98"/>
      <c r="L191" s="16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</row>
    <row r="192">
      <c r="A192" s="98"/>
      <c r="B192" s="98"/>
      <c r="C192" s="141" t="s">
        <v>113</v>
      </c>
      <c r="D192" s="142" t="str">
        <f t="shared" ref="D192:F192" si="24">AVERAGE(D185:D191)</f>
        <v>#DIV/0!</v>
      </c>
      <c r="E192" s="142" t="str">
        <f t="shared" si="24"/>
        <v>#DIV/0!</v>
      </c>
      <c r="F192" s="142" t="str">
        <f t="shared" si="24"/>
        <v>#DIV/0!</v>
      </c>
      <c r="G192" s="105"/>
      <c r="H192" s="105"/>
      <c r="I192" s="100"/>
      <c r="J192" s="100"/>
      <c r="K192" s="98"/>
      <c r="L192" s="16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</row>
    <row r="193">
      <c r="A193" s="98"/>
      <c r="B193" s="98"/>
      <c r="C193" s="106"/>
      <c r="D193" s="106"/>
      <c r="E193" s="106"/>
      <c r="F193" s="106"/>
      <c r="G193" s="105"/>
      <c r="H193" s="105"/>
      <c r="I193" s="100"/>
      <c r="J193" s="100"/>
      <c r="K193" s="98"/>
      <c r="L193" s="16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</row>
    <row r="194">
      <c r="A194" s="98"/>
      <c r="B194" s="98"/>
      <c r="C194" s="144" t="s">
        <v>114</v>
      </c>
      <c r="D194" s="61"/>
      <c r="E194" s="61"/>
      <c r="F194" s="61"/>
      <c r="G194" s="23"/>
      <c r="H194" s="145"/>
      <c r="I194" s="48"/>
      <c r="J194" s="48"/>
      <c r="K194" s="98"/>
      <c r="L194" s="16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</row>
    <row r="195">
      <c r="A195" s="98"/>
      <c r="B195" s="98"/>
      <c r="C195" s="146" t="s">
        <v>91</v>
      </c>
      <c r="D195" s="146" t="s">
        <v>115</v>
      </c>
      <c r="E195" s="130" t="s">
        <v>93</v>
      </c>
      <c r="F195" s="146" t="s">
        <v>94</v>
      </c>
      <c r="G195" s="146" t="s">
        <v>95</v>
      </c>
      <c r="H195" s="145"/>
      <c r="I195" s="48"/>
      <c r="J195" s="48"/>
      <c r="K195" s="98"/>
      <c r="L195" s="16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</row>
    <row r="196">
      <c r="A196" s="98"/>
      <c r="B196" s="98"/>
      <c r="C196" s="147"/>
      <c r="D196" s="147"/>
      <c r="E196" s="147"/>
      <c r="F196" s="147"/>
      <c r="G196" s="147"/>
      <c r="H196" s="145"/>
      <c r="I196" s="48"/>
      <c r="J196" s="48"/>
      <c r="K196" s="98"/>
      <c r="L196" s="16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</row>
    <row r="197">
      <c r="A197" s="98"/>
      <c r="B197" s="98"/>
      <c r="C197" s="98"/>
      <c r="D197" s="98"/>
      <c r="E197" s="98"/>
      <c r="F197" s="98"/>
      <c r="G197" s="98"/>
      <c r="H197" s="145"/>
      <c r="I197" s="48"/>
      <c r="J197" s="48"/>
      <c r="K197" s="98"/>
      <c r="L197" s="16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</row>
    <row r="198">
      <c r="A198" s="98"/>
      <c r="B198" s="98"/>
      <c r="C198" s="98"/>
      <c r="D198" s="98"/>
      <c r="E198" s="98"/>
      <c r="F198" s="98"/>
      <c r="G198" s="98"/>
      <c r="H198" s="145"/>
      <c r="I198" s="48"/>
      <c r="J198" s="48"/>
      <c r="K198" s="98"/>
      <c r="L198" s="16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</row>
    <row r="199" ht="25.5" customHeight="1">
      <c r="A199" s="98"/>
      <c r="B199" s="98"/>
      <c r="C199" s="106"/>
      <c r="D199" s="151" t="s">
        <v>127</v>
      </c>
      <c r="E199" s="23"/>
      <c r="F199" s="106"/>
      <c r="G199" s="105"/>
      <c r="H199" s="105"/>
      <c r="I199" s="100"/>
      <c r="J199" s="100"/>
      <c r="K199" s="98"/>
      <c r="L199" s="16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</row>
    <row r="200">
      <c r="A200" s="98"/>
      <c r="B200" s="98"/>
      <c r="C200" s="121" t="s">
        <v>96</v>
      </c>
      <c r="D200" s="118" t="s">
        <v>97</v>
      </c>
      <c r="E200" s="118" t="s">
        <v>98</v>
      </c>
      <c r="F200" s="118" t="s">
        <v>99</v>
      </c>
      <c r="G200" s="105"/>
      <c r="H200" s="122"/>
      <c r="I200" s="123" t="s">
        <v>100</v>
      </c>
      <c r="J200" s="23"/>
      <c r="K200" s="98"/>
      <c r="L200" s="16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</row>
    <row r="201">
      <c r="A201" s="98"/>
      <c r="B201" s="98"/>
      <c r="C201" s="127" t="s">
        <v>102</v>
      </c>
      <c r="D201" s="128"/>
      <c r="E201" s="128"/>
      <c r="F201" s="128"/>
      <c r="G201" s="105"/>
      <c r="H201" s="129"/>
      <c r="I201" s="130" t="s">
        <v>103</v>
      </c>
      <c r="J201" s="131">
        <v>1530.0</v>
      </c>
      <c r="K201" s="98"/>
      <c r="L201" s="16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</row>
    <row r="202">
      <c r="A202" s="98"/>
      <c r="B202" s="98"/>
      <c r="C202" s="127" t="s">
        <v>104</v>
      </c>
      <c r="D202" s="128"/>
      <c r="E202" s="128"/>
      <c r="F202" s="128"/>
      <c r="G202" s="105"/>
      <c r="H202" s="129"/>
      <c r="I202" s="130" t="s">
        <v>105</v>
      </c>
      <c r="J202" s="131">
        <v>120.0</v>
      </c>
      <c r="K202" s="98"/>
      <c r="L202" s="16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</row>
    <row r="203">
      <c r="A203" s="98"/>
      <c r="B203" s="98"/>
      <c r="C203" s="127" t="s">
        <v>106</v>
      </c>
      <c r="D203" s="128"/>
      <c r="E203" s="128"/>
      <c r="F203" s="128"/>
      <c r="G203" s="105"/>
      <c r="H203" s="129"/>
      <c r="I203" s="130" t="s">
        <v>107</v>
      </c>
      <c r="J203" s="131">
        <v>150.0</v>
      </c>
      <c r="K203" s="98"/>
      <c r="L203" s="16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</row>
    <row r="204">
      <c r="A204" s="98"/>
      <c r="B204" s="98"/>
      <c r="C204" s="127" t="s">
        <v>108</v>
      </c>
      <c r="D204" s="128"/>
      <c r="E204" s="128"/>
      <c r="F204" s="128"/>
      <c r="G204" s="105"/>
      <c r="H204" s="129"/>
      <c r="I204" s="130" t="s">
        <v>109</v>
      </c>
      <c r="J204" s="131">
        <v>50.0</v>
      </c>
      <c r="K204" s="98"/>
      <c r="L204" s="16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</row>
    <row r="205">
      <c r="A205" s="98"/>
      <c r="B205" s="98"/>
      <c r="C205" s="127" t="s">
        <v>110</v>
      </c>
      <c r="D205" s="128"/>
      <c r="E205" s="128"/>
      <c r="F205" s="128"/>
      <c r="G205" s="105"/>
      <c r="H205" s="105"/>
      <c r="I205" s="100"/>
      <c r="J205" s="100"/>
      <c r="K205" s="98"/>
      <c r="L205" s="16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</row>
    <row r="206">
      <c r="A206" s="98"/>
      <c r="B206" s="98"/>
      <c r="C206" s="127" t="s">
        <v>111</v>
      </c>
      <c r="D206" s="140"/>
      <c r="E206" s="128"/>
      <c r="F206" s="128"/>
      <c r="G206" s="105"/>
      <c r="H206" s="105"/>
      <c r="I206" s="100"/>
      <c r="J206" s="100"/>
      <c r="K206" s="98"/>
      <c r="L206" s="16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</row>
    <row r="207">
      <c r="A207" s="98"/>
      <c r="B207" s="98"/>
      <c r="C207" s="127" t="s">
        <v>112</v>
      </c>
      <c r="D207" s="140"/>
      <c r="E207" s="128"/>
      <c r="F207" s="140"/>
      <c r="G207" s="105"/>
      <c r="H207" s="105"/>
      <c r="I207" s="100"/>
      <c r="J207" s="100"/>
      <c r="K207" s="98"/>
      <c r="L207" s="16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</row>
    <row r="208">
      <c r="A208" s="98"/>
      <c r="B208" s="98"/>
      <c r="C208" s="141" t="s">
        <v>113</v>
      </c>
      <c r="D208" s="142" t="str">
        <f t="shared" ref="D208:F208" si="25">AVERAGE(D201:D207)</f>
        <v>#DIV/0!</v>
      </c>
      <c r="E208" s="142" t="str">
        <f t="shared" si="25"/>
        <v>#DIV/0!</v>
      </c>
      <c r="F208" s="142" t="str">
        <f t="shared" si="25"/>
        <v>#DIV/0!</v>
      </c>
      <c r="G208" s="105"/>
      <c r="H208" s="105"/>
      <c r="I208" s="100"/>
      <c r="J208" s="100"/>
      <c r="K208" s="98"/>
      <c r="L208" s="16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</row>
    <row r="209">
      <c r="A209" s="98"/>
      <c r="B209" s="98"/>
      <c r="C209" s="106"/>
      <c r="D209" s="106"/>
      <c r="E209" s="106"/>
      <c r="F209" s="106"/>
      <c r="G209" s="105"/>
      <c r="H209" s="105"/>
      <c r="I209" s="100"/>
      <c r="J209" s="100"/>
      <c r="K209" s="98"/>
      <c r="L209" s="16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</row>
    <row r="210">
      <c r="A210" s="98"/>
      <c r="B210" s="98"/>
      <c r="C210" s="144" t="s">
        <v>114</v>
      </c>
      <c r="D210" s="61"/>
      <c r="E210" s="61"/>
      <c r="F210" s="61"/>
      <c r="G210" s="23"/>
      <c r="H210" s="145"/>
      <c r="I210" s="48"/>
      <c r="J210" s="48"/>
      <c r="K210" s="98"/>
      <c r="L210" s="16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</row>
    <row r="211">
      <c r="A211" s="98"/>
      <c r="B211" s="98"/>
      <c r="C211" s="146" t="s">
        <v>91</v>
      </c>
      <c r="D211" s="146" t="s">
        <v>115</v>
      </c>
      <c r="E211" s="130" t="s">
        <v>93</v>
      </c>
      <c r="F211" s="146" t="s">
        <v>94</v>
      </c>
      <c r="G211" s="146" t="s">
        <v>95</v>
      </c>
      <c r="H211" s="145"/>
      <c r="I211" s="48"/>
      <c r="J211" s="48"/>
      <c r="K211" s="98"/>
      <c r="L211" s="16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</row>
    <row r="212">
      <c r="A212" s="98"/>
      <c r="B212" s="98"/>
      <c r="C212" s="147"/>
      <c r="D212" s="147"/>
      <c r="E212" s="147"/>
      <c r="F212" s="147"/>
      <c r="G212" s="147"/>
      <c r="H212" s="145"/>
      <c r="I212" s="48"/>
      <c r="J212" s="48"/>
      <c r="K212" s="98"/>
      <c r="L212" s="16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48"/>
      <c r="J213" s="48"/>
      <c r="K213" s="98"/>
      <c r="L213" s="16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48"/>
      <c r="J214" s="48"/>
      <c r="K214" s="98"/>
      <c r="L214" s="16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48"/>
      <c r="J215" s="48"/>
      <c r="K215" s="98"/>
      <c r="L215" s="16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48"/>
      <c r="J216" s="48"/>
      <c r="K216" s="98"/>
      <c r="L216" s="16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48"/>
      <c r="J217" s="48"/>
      <c r="K217" s="98"/>
      <c r="L217" s="16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48"/>
      <c r="J218" s="48"/>
      <c r="K218" s="98"/>
      <c r="L218" s="16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48"/>
      <c r="J219" s="48"/>
      <c r="K219" s="98"/>
      <c r="L219" s="16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48"/>
      <c r="J220" s="48"/>
      <c r="K220" s="98"/>
      <c r="L220" s="16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48"/>
      <c r="J221" s="48"/>
      <c r="K221" s="98"/>
      <c r="L221" s="16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48"/>
      <c r="J222" s="48"/>
      <c r="K222" s="98"/>
      <c r="L222" s="16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48"/>
      <c r="J223" s="48"/>
      <c r="K223" s="98"/>
      <c r="L223" s="16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48"/>
      <c r="J224" s="48"/>
      <c r="K224" s="98"/>
      <c r="L224" s="16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48"/>
      <c r="J225" s="48"/>
      <c r="K225" s="98"/>
      <c r="L225" s="16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48"/>
      <c r="J226" s="48"/>
      <c r="K226" s="98"/>
      <c r="L226" s="16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48"/>
      <c r="J227" s="48"/>
      <c r="K227" s="98"/>
      <c r="L227" s="16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48"/>
      <c r="J228" s="48"/>
      <c r="K228" s="98"/>
      <c r="L228" s="16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48"/>
      <c r="J229" s="48"/>
      <c r="K229" s="98"/>
      <c r="L229" s="16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48"/>
      <c r="J230" s="48"/>
      <c r="K230" s="98"/>
      <c r="L230" s="16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48"/>
      <c r="J231" s="48"/>
      <c r="K231" s="98"/>
      <c r="L231" s="16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48"/>
      <c r="J232" s="48"/>
      <c r="K232" s="98"/>
      <c r="L232" s="16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48"/>
      <c r="J233" s="48"/>
      <c r="K233" s="98"/>
      <c r="L233" s="16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48"/>
      <c r="J234" s="48"/>
      <c r="K234" s="98"/>
      <c r="L234" s="16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48"/>
      <c r="J235" s="48"/>
      <c r="K235" s="98"/>
      <c r="L235" s="16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48"/>
      <c r="J236" s="48"/>
      <c r="K236" s="98"/>
      <c r="L236" s="16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48"/>
      <c r="J237" s="48"/>
      <c r="K237" s="98"/>
      <c r="L237" s="16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48"/>
      <c r="J238" s="48"/>
      <c r="K238" s="98"/>
      <c r="L238" s="16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48"/>
      <c r="J239" s="48"/>
      <c r="K239" s="98"/>
      <c r="L239" s="16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48"/>
      <c r="J240" s="48"/>
      <c r="K240" s="98"/>
      <c r="L240" s="16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48"/>
      <c r="J241" s="48"/>
      <c r="K241" s="98"/>
      <c r="L241" s="16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48"/>
      <c r="J242" s="48"/>
      <c r="K242" s="98"/>
      <c r="L242" s="16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48"/>
      <c r="J243" s="48"/>
      <c r="K243" s="98"/>
      <c r="L243" s="16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48"/>
      <c r="J244" s="48"/>
      <c r="K244" s="98"/>
      <c r="L244" s="16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48"/>
      <c r="J245" s="48"/>
      <c r="K245" s="98"/>
      <c r="L245" s="16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48"/>
      <c r="J246" s="48"/>
      <c r="K246" s="98"/>
      <c r="L246" s="16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48"/>
      <c r="J247" s="48"/>
      <c r="K247" s="98"/>
      <c r="L247" s="16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48"/>
      <c r="J248" s="48"/>
      <c r="K248" s="98"/>
      <c r="L248" s="16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48"/>
      <c r="J249" s="48"/>
      <c r="K249" s="98"/>
      <c r="L249" s="16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48"/>
      <c r="J250" s="48"/>
      <c r="K250" s="98"/>
      <c r="L250" s="16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48"/>
      <c r="J251" s="48"/>
      <c r="K251" s="98"/>
      <c r="L251" s="16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48"/>
      <c r="J252" s="48"/>
      <c r="K252" s="98"/>
      <c r="L252" s="16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48"/>
      <c r="J253" s="48"/>
      <c r="K253" s="98"/>
      <c r="L253" s="16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48"/>
      <c r="J254" s="48"/>
      <c r="K254" s="98"/>
      <c r="L254" s="16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48"/>
      <c r="J255" s="48"/>
      <c r="K255" s="98"/>
      <c r="L255" s="16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48"/>
      <c r="J256" s="48"/>
      <c r="K256" s="98"/>
      <c r="L256" s="16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48"/>
      <c r="J257" s="48"/>
      <c r="K257" s="98"/>
      <c r="L257" s="16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48"/>
      <c r="J258" s="48"/>
      <c r="K258" s="98"/>
      <c r="L258" s="16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48"/>
      <c r="J259" s="48"/>
      <c r="K259" s="98"/>
      <c r="L259" s="16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48"/>
      <c r="J260" s="48"/>
      <c r="K260" s="98"/>
      <c r="L260" s="16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48"/>
      <c r="J261" s="48"/>
      <c r="K261" s="98"/>
      <c r="L261" s="16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48"/>
      <c r="J262" s="48"/>
      <c r="K262" s="98"/>
      <c r="L262" s="16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48"/>
      <c r="J263" s="48"/>
      <c r="K263" s="98"/>
      <c r="L263" s="16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48"/>
      <c r="J264" s="48"/>
      <c r="K264" s="98"/>
      <c r="L264" s="16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48"/>
      <c r="J265" s="48"/>
      <c r="K265" s="98"/>
      <c r="L265" s="16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48"/>
      <c r="J266" s="48"/>
      <c r="K266" s="98"/>
      <c r="L266" s="16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48"/>
      <c r="J267" s="48"/>
      <c r="K267" s="98"/>
      <c r="L267" s="16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48"/>
      <c r="J268" s="48"/>
      <c r="K268" s="98"/>
      <c r="L268" s="16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48"/>
      <c r="J269" s="48"/>
      <c r="K269" s="98"/>
      <c r="L269" s="16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48"/>
      <c r="J270" s="48"/>
      <c r="K270" s="98"/>
      <c r="L270" s="16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48"/>
      <c r="J271" s="48"/>
      <c r="K271" s="98"/>
      <c r="L271" s="16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48"/>
      <c r="J272" s="48"/>
      <c r="K272" s="98"/>
      <c r="L272" s="16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48"/>
      <c r="J273" s="48"/>
      <c r="K273" s="98"/>
      <c r="L273" s="16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48"/>
      <c r="J274" s="48"/>
      <c r="K274" s="98"/>
      <c r="L274" s="16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48"/>
      <c r="J275" s="48"/>
      <c r="K275" s="98"/>
      <c r="L275" s="16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48"/>
      <c r="J276" s="48"/>
      <c r="K276" s="98"/>
      <c r="L276" s="16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48"/>
      <c r="J277" s="48"/>
      <c r="K277" s="98"/>
      <c r="L277" s="16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48"/>
      <c r="J278" s="48"/>
      <c r="K278" s="98"/>
      <c r="L278" s="16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48"/>
      <c r="J279" s="48"/>
      <c r="K279" s="98"/>
      <c r="L279" s="16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48"/>
      <c r="J280" s="48"/>
      <c r="K280" s="98"/>
      <c r="L280" s="16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48"/>
      <c r="J281" s="48"/>
      <c r="K281" s="98"/>
      <c r="L281" s="16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48"/>
      <c r="J282" s="48"/>
      <c r="K282" s="98"/>
      <c r="L282" s="16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48"/>
      <c r="J283" s="48"/>
      <c r="K283" s="98"/>
      <c r="L283" s="16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48"/>
      <c r="J284" s="48"/>
      <c r="K284" s="98"/>
      <c r="L284" s="16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48"/>
      <c r="J285" s="48"/>
      <c r="K285" s="98"/>
      <c r="L285" s="16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48"/>
      <c r="J286" s="48"/>
      <c r="K286" s="98"/>
      <c r="L286" s="16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48"/>
      <c r="J287" s="48"/>
      <c r="K287" s="98"/>
      <c r="L287" s="16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48"/>
      <c r="J288" s="48"/>
      <c r="K288" s="98"/>
      <c r="L288" s="16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48"/>
      <c r="J289" s="48"/>
      <c r="K289" s="98"/>
      <c r="L289" s="16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48"/>
      <c r="J290" s="48"/>
      <c r="K290" s="98"/>
      <c r="L290" s="16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48"/>
      <c r="J291" s="48"/>
      <c r="K291" s="98"/>
      <c r="L291" s="16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48"/>
      <c r="J292" s="48"/>
      <c r="K292" s="98"/>
      <c r="L292" s="16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48"/>
      <c r="J293" s="48"/>
      <c r="K293" s="98"/>
      <c r="L293" s="16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48"/>
      <c r="J294" s="48"/>
      <c r="K294" s="98"/>
      <c r="L294" s="16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48"/>
      <c r="J295" s="48"/>
      <c r="K295" s="98"/>
      <c r="L295" s="16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48"/>
      <c r="J296" s="48"/>
      <c r="K296" s="98"/>
      <c r="L296" s="16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48"/>
      <c r="J297" s="48"/>
      <c r="K297" s="98"/>
      <c r="L297" s="16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48"/>
      <c r="J298" s="48"/>
      <c r="K298" s="98"/>
      <c r="L298" s="16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48"/>
      <c r="J299" s="48"/>
      <c r="K299" s="98"/>
      <c r="L299" s="16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48"/>
      <c r="J300" s="48"/>
      <c r="K300" s="98"/>
      <c r="L300" s="16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48"/>
      <c r="J301" s="48"/>
      <c r="K301" s="98"/>
      <c r="L301" s="16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48"/>
      <c r="J302" s="48"/>
      <c r="K302" s="98"/>
      <c r="L302" s="16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48"/>
      <c r="J303" s="48"/>
      <c r="K303" s="98"/>
      <c r="L303" s="16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48"/>
      <c r="J304" s="48"/>
      <c r="K304" s="98"/>
      <c r="L304" s="16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48"/>
      <c r="J305" s="48"/>
      <c r="K305" s="98"/>
      <c r="L305" s="16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48"/>
      <c r="J306" s="48"/>
      <c r="K306" s="98"/>
      <c r="L306" s="16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48"/>
      <c r="J307" s="48"/>
      <c r="K307" s="98"/>
      <c r="L307" s="16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48"/>
      <c r="J308" s="48"/>
      <c r="K308" s="98"/>
      <c r="L308" s="16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48"/>
      <c r="J309" s="48"/>
      <c r="K309" s="98"/>
      <c r="L309" s="16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48"/>
      <c r="J310" s="48"/>
      <c r="K310" s="98"/>
      <c r="L310" s="16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48"/>
      <c r="J311" s="48"/>
      <c r="K311" s="98"/>
      <c r="L311" s="16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48"/>
      <c r="J312" s="48"/>
      <c r="K312" s="98"/>
      <c r="L312" s="16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48"/>
      <c r="J313" s="48"/>
      <c r="K313" s="98"/>
      <c r="L313" s="16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48"/>
      <c r="J314" s="48"/>
      <c r="K314" s="98"/>
      <c r="L314" s="16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48"/>
      <c r="J315" s="48"/>
      <c r="K315" s="98"/>
      <c r="L315" s="16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48"/>
      <c r="J316" s="48"/>
      <c r="K316" s="98"/>
      <c r="L316" s="16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48"/>
      <c r="J317" s="48"/>
      <c r="K317" s="98"/>
      <c r="L317" s="16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48"/>
      <c r="J318" s="48"/>
      <c r="K318" s="98"/>
      <c r="L318" s="16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48"/>
      <c r="J319" s="48"/>
      <c r="K319" s="98"/>
      <c r="L319" s="16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48"/>
      <c r="J320" s="48"/>
      <c r="K320" s="98"/>
      <c r="L320" s="16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48"/>
      <c r="J321" s="48"/>
      <c r="K321" s="98"/>
      <c r="L321" s="16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48"/>
      <c r="J322" s="48"/>
      <c r="K322" s="98"/>
      <c r="L322" s="16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48"/>
      <c r="J323" s="48"/>
      <c r="K323" s="98"/>
      <c r="L323" s="16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48"/>
      <c r="J324" s="48"/>
      <c r="K324" s="98"/>
      <c r="L324" s="16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48"/>
      <c r="J325" s="48"/>
      <c r="K325" s="98"/>
      <c r="L325" s="16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48"/>
      <c r="J326" s="48"/>
      <c r="K326" s="98"/>
      <c r="L326" s="16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48"/>
      <c r="J327" s="48"/>
      <c r="K327" s="98"/>
      <c r="L327" s="16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48"/>
      <c r="J328" s="48"/>
      <c r="K328" s="98"/>
      <c r="L328" s="16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48"/>
      <c r="J329" s="48"/>
      <c r="K329" s="98"/>
      <c r="L329" s="16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48"/>
      <c r="J330" s="48"/>
      <c r="K330" s="98"/>
      <c r="L330" s="16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48"/>
      <c r="J331" s="48"/>
      <c r="K331" s="98"/>
      <c r="L331" s="16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48"/>
      <c r="J332" s="48"/>
      <c r="K332" s="98"/>
      <c r="L332" s="16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48"/>
      <c r="J333" s="48"/>
      <c r="K333" s="98"/>
      <c r="L333" s="16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48"/>
      <c r="J334" s="48"/>
      <c r="K334" s="98"/>
      <c r="L334" s="16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48"/>
      <c r="J335" s="48"/>
      <c r="K335" s="98"/>
      <c r="L335" s="16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48"/>
      <c r="J336" s="48"/>
      <c r="K336" s="98"/>
      <c r="L336" s="16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48"/>
      <c r="J337" s="48"/>
      <c r="K337" s="98"/>
      <c r="L337" s="16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48"/>
      <c r="J338" s="48"/>
      <c r="K338" s="98"/>
      <c r="L338" s="16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48"/>
      <c r="J339" s="48"/>
      <c r="K339" s="98"/>
      <c r="L339" s="16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48"/>
      <c r="J340" s="48"/>
      <c r="K340" s="98"/>
      <c r="L340" s="16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48"/>
      <c r="J341" s="48"/>
      <c r="K341" s="98"/>
      <c r="L341" s="16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48"/>
      <c r="J342" s="48"/>
      <c r="K342" s="98"/>
      <c r="L342" s="16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48"/>
      <c r="J343" s="48"/>
      <c r="K343" s="98"/>
      <c r="L343" s="16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48"/>
      <c r="J344" s="48"/>
      <c r="K344" s="98"/>
      <c r="L344" s="16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48"/>
      <c r="J345" s="48"/>
      <c r="K345" s="98"/>
      <c r="L345" s="16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48"/>
      <c r="J346" s="48"/>
      <c r="K346" s="98"/>
      <c r="L346" s="16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48"/>
      <c r="J347" s="48"/>
      <c r="K347" s="98"/>
      <c r="L347" s="16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48"/>
      <c r="J348" s="48"/>
      <c r="K348" s="98"/>
      <c r="L348" s="16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48"/>
      <c r="J349" s="48"/>
      <c r="K349" s="98"/>
      <c r="L349" s="16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48"/>
      <c r="J350" s="48"/>
      <c r="K350" s="98"/>
      <c r="L350" s="16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48"/>
      <c r="J351" s="48"/>
      <c r="K351" s="98"/>
      <c r="L351" s="16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48"/>
      <c r="J352" s="48"/>
      <c r="K352" s="98"/>
      <c r="L352" s="16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48"/>
      <c r="J353" s="48"/>
      <c r="K353" s="98"/>
      <c r="L353" s="16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48"/>
      <c r="J354" s="48"/>
      <c r="K354" s="98"/>
      <c r="L354" s="16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48"/>
      <c r="J355" s="48"/>
      <c r="K355" s="98"/>
      <c r="L355" s="16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48"/>
      <c r="J356" s="48"/>
      <c r="K356" s="98"/>
      <c r="L356" s="16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48"/>
      <c r="J357" s="48"/>
      <c r="K357" s="98"/>
      <c r="L357" s="16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48"/>
      <c r="J358" s="48"/>
      <c r="K358" s="98"/>
      <c r="L358" s="16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48"/>
      <c r="J359" s="48"/>
      <c r="K359" s="98"/>
      <c r="L359" s="16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48"/>
      <c r="J360" s="48"/>
      <c r="K360" s="98"/>
      <c r="L360" s="16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48"/>
      <c r="J361" s="48"/>
      <c r="K361" s="98"/>
      <c r="L361" s="16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48"/>
      <c r="J362" s="48"/>
      <c r="K362" s="98"/>
      <c r="L362" s="16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48"/>
      <c r="J363" s="48"/>
      <c r="K363" s="98"/>
      <c r="L363" s="16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48"/>
      <c r="J364" s="48"/>
      <c r="K364" s="98"/>
      <c r="L364" s="16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48"/>
      <c r="J365" s="48"/>
      <c r="K365" s="98"/>
      <c r="L365" s="16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48"/>
      <c r="J366" s="48"/>
      <c r="K366" s="98"/>
      <c r="L366" s="16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48"/>
      <c r="J367" s="48"/>
      <c r="K367" s="98"/>
      <c r="L367" s="16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48"/>
      <c r="J368" s="48"/>
      <c r="K368" s="98"/>
      <c r="L368" s="16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48"/>
      <c r="J369" s="48"/>
      <c r="K369" s="98"/>
      <c r="L369" s="16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48"/>
      <c r="J370" s="48"/>
      <c r="K370" s="98"/>
      <c r="L370" s="16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48"/>
      <c r="J371" s="48"/>
      <c r="K371" s="98"/>
      <c r="L371" s="16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48"/>
      <c r="J372" s="48"/>
      <c r="K372" s="98"/>
      <c r="L372" s="16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48"/>
      <c r="J373" s="48"/>
      <c r="K373" s="98"/>
      <c r="L373" s="16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48"/>
      <c r="J374" s="48"/>
      <c r="K374" s="98"/>
      <c r="L374" s="16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48"/>
      <c r="J375" s="48"/>
      <c r="K375" s="98"/>
      <c r="L375" s="16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48"/>
      <c r="J376" s="48"/>
      <c r="K376" s="98"/>
      <c r="L376" s="16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48"/>
      <c r="J377" s="48"/>
      <c r="K377" s="98"/>
      <c r="L377" s="16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48"/>
      <c r="J378" s="48"/>
      <c r="K378" s="98"/>
      <c r="L378" s="16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48"/>
      <c r="J379" s="48"/>
      <c r="K379" s="98"/>
      <c r="L379" s="16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48"/>
      <c r="J380" s="48"/>
      <c r="K380" s="98"/>
      <c r="L380" s="16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48"/>
      <c r="J381" s="48"/>
      <c r="K381" s="98"/>
      <c r="L381" s="16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48"/>
      <c r="J382" s="48"/>
      <c r="K382" s="98"/>
      <c r="L382" s="16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48"/>
      <c r="J383" s="48"/>
      <c r="K383" s="98"/>
      <c r="L383" s="16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48"/>
      <c r="J384" s="48"/>
      <c r="K384" s="98"/>
      <c r="L384" s="16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48"/>
      <c r="J385" s="48"/>
      <c r="K385" s="98"/>
      <c r="L385" s="16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48"/>
      <c r="J386" s="48"/>
      <c r="K386" s="98"/>
      <c r="L386" s="16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48"/>
      <c r="J387" s="48"/>
      <c r="K387" s="98"/>
      <c r="L387" s="16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48"/>
      <c r="J388" s="48"/>
      <c r="K388" s="98"/>
      <c r="L388" s="16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48"/>
      <c r="J389" s="48"/>
      <c r="K389" s="98"/>
      <c r="L389" s="16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48"/>
      <c r="J390" s="48"/>
      <c r="K390" s="98"/>
      <c r="L390" s="16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48"/>
      <c r="J391" s="48"/>
      <c r="K391" s="98"/>
      <c r="L391" s="16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48"/>
      <c r="J392" s="48"/>
      <c r="K392" s="98"/>
      <c r="L392" s="16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48"/>
      <c r="J393" s="48"/>
      <c r="K393" s="98"/>
      <c r="L393" s="16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48"/>
      <c r="J394" s="48"/>
      <c r="K394" s="98"/>
      <c r="L394" s="16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48"/>
      <c r="J395" s="48"/>
      <c r="K395" s="98"/>
      <c r="L395" s="16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48"/>
      <c r="J396" s="48"/>
      <c r="K396" s="98"/>
      <c r="L396" s="16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48"/>
      <c r="J397" s="48"/>
      <c r="K397" s="98"/>
      <c r="L397" s="16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48"/>
      <c r="J398" s="48"/>
      <c r="K398" s="98"/>
      <c r="L398" s="16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48"/>
      <c r="J399" s="48"/>
      <c r="K399" s="98"/>
      <c r="L399" s="16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48"/>
      <c r="J400" s="48"/>
      <c r="K400" s="98"/>
      <c r="L400" s="16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48"/>
      <c r="J401" s="48"/>
      <c r="K401" s="98"/>
      <c r="L401" s="16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48"/>
      <c r="J402" s="48"/>
      <c r="K402" s="98"/>
      <c r="L402" s="16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48"/>
      <c r="J403" s="48"/>
      <c r="K403" s="98"/>
      <c r="L403" s="16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48"/>
      <c r="J404" s="48"/>
      <c r="K404" s="98"/>
      <c r="L404" s="16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48"/>
      <c r="J405" s="48"/>
      <c r="K405" s="98"/>
      <c r="L405" s="16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48"/>
      <c r="J406" s="48"/>
      <c r="K406" s="98"/>
      <c r="L406" s="16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48"/>
      <c r="J407" s="48"/>
      <c r="K407" s="98"/>
      <c r="L407" s="16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48"/>
      <c r="J408" s="48"/>
      <c r="K408" s="98"/>
      <c r="L408" s="16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48"/>
      <c r="J409" s="48"/>
      <c r="K409" s="98"/>
      <c r="L409" s="16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48"/>
      <c r="J410" s="48"/>
      <c r="K410" s="98"/>
      <c r="L410" s="16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48"/>
      <c r="J411" s="48"/>
      <c r="K411" s="98"/>
      <c r="L411" s="16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48"/>
      <c r="J412" s="48"/>
      <c r="K412" s="98"/>
      <c r="L412" s="16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48"/>
      <c r="J413" s="48"/>
      <c r="K413" s="98"/>
      <c r="L413" s="16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48"/>
      <c r="J414" s="48"/>
      <c r="K414" s="98"/>
      <c r="L414" s="16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48"/>
      <c r="J415" s="48"/>
      <c r="K415" s="98"/>
      <c r="L415" s="16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48"/>
      <c r="J416" s="48"/>
      <c r="K416" s="98"/>
      <c r="L416" s="16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48"/>
      <c r="J417" s="48"/>
      <c r="K417" s="98"/>
      <c r="L417" s="16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48"/>
      <c r="J418" s="48"/>
      <c r="K418" s="98"/>
      <c r="L418" s="16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48"/>
      <c r="J419" s="48"/>
      <c r="K419" s="98"/>
      <c r="L419" s="16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48"/>
      <c r="J420" s="48"/>
      <c r="K420" s="98"/>
      <c r="L420" s="16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48"/>
      <c r="J421" s="48"/>
      <c r="K421" s="98"/>
      <c r="L421" s="16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48"/>
      <c r="J422" s="48"/>
      <c r="K422" s="98"/>
      <c r="L422" s="16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48"/>
      <c r="J423" s="48"/>
      <c r="K423" s="98"/>
      <c r="L423" s="16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48"/>
      <c r="J424" s="48"/>
      <c r="K424" s="98"/>
      <c r="L424" s="16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48"/>
      <c r="J425" s="48"/>
      <c r="K425" s="98"/>
      <c r="L425" s="16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48"/>
      <c r="J426" s="48"/>
      <c r="K426" s="98"/>
      <c r="L426" s="16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48"/>
      <c r="J427" s="48"/>
      <c r="K427" s="98"/>
      <c r="L427" s="16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48"/>
      <c r="J428" s="48"/>
      <c r="K428" s="98"/>
      <c r="L428" s="16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48"/>
      <c r="J429" s="48"/>
      <c r="K429" s="98"/>
      <c r="L429" s="16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48"/>
      <c r="J430" s="48"/>
      <c r="K430" s="98"/>
      <c r="L430" s="16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48"/>
      <c r="J431" s="48"/>
      <c r="K431" s="98"/>
      <c r="L431" s="16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48"/>
      <c r="J432" s="48"/>
      <c r="K432" s="98"/>
      <c r="L432" s="16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48"/>
      <c r="J433" s="48"/>
      <c r="K433" s="98"/>
      <c r="L433" s="16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48"/>
      <c r="J434" s="48"/>
      <c r="K434" s="98"/>
      <c r="L434" s="16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48"/>
      <c r="J435" s="48"/>
      <c r="K435" s="98"/>
      <c r="L435" s="16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48"/>
      <c r="J436" s="48"/>
      <c r="K436" s="98"/>
      <c r="L436" s="16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48"/>
      <c r="J437" s="48"/>
      <c r="K437" s="98"/>
      <c r="L437" s="16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48"/>
      <c r="J438" s="48"/>
      <c r="K438" s="98"/>
      <c r="L438" s="16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48"/>
      <c r="J439" s="48"/>
      <c r="K439" s="98"/>
      <c r="L439" s="16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48"/>
      <c r="J440" s="48"/>
      <c r="K440" s="98"/>
      <c r="L440" s="16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48"/>
      <c r="J441" s="48"/>
      <c r="K441" s="98"/>
      <c r="L441" s="16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48"/>
      <c r="J442" s="48"/>
      <c r="K442" s="98"/>
      <c r="L442" s="16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48"/>
      <c r="J443" s="48"/>
      <c r="K443" s="98"/>
      <c r="L443" s="16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48"/>
      <c r="J444" s="48"/>
      <c r="K444" s="98"/>
      <c r="L444" s="16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48"/>
      <c r="J445" s="48"/>
      <c r="K445" s="98"/>
      <c r="L445" s="16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48"/>
      <c r="J446" s="48"/>
      <c r="K446" s="98"/>
      <c r="L446" s="16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48"/>
      <c r="J447" s="48"/>
      <c r="K447" s="98"/>
      <c r="L447" s="16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48"/>
      <c r="J448" s="48"/>
      <c r="K448" s="98"/>
      <c r="L448" s="16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48"/>
      <c r="J449" s="48"/>
      <c r="K449" s="98"/>
      <c r="L449" s="16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48"/>
      <c r="J450" s="48"/>
      <c r="K450" s="98"/>
      <c r="L450" s="16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48"/>
      <c r="J451" s="48"/>
      <c r="K451" s="98"/>
      <c r="L451" s="16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48"/>
      <c r="J452" s="48"/>
      <c r="K452" s="98"/>
      <c r="L452" s="16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48"/>
      <c r="J453" s="48"/>
      <c r="K453" s="98"/>
      <c r="L453" s="16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48"/>
      <c r="J454" s="48"/>
      <c r="K454" s="98"/>
      <c r="L454" s="16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48"/>
      <c r="J455" s="48"/>
      <c r="K455" s="98"/>
      <c r="L455" s="16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48"/>
      <c r="J456" s="48"/>
      <c r="K456" s="98"/>
      <c r="L456" s="16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48"/>
      <c r="J457" s="48"/>
      <c r="K457" s="98"/>
      <c r="L457" s="16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48"/>
      <c r="J458" s="48"/>
      <c r="K458" s="98"/>
      <c r="L458" s="16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48"/>
      <c r="J459" s="48"/>
      <c r="K459" s="98"/>
      <c r="L459" s="16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48"/>
      <c r="J460" s="48"/>
      <c r="K460" s="98"/>
      <c r="L460" s="16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48"/>
      <c r="J461" s="48"/>
      <c r="K461" s="98"/>
      <c r="L461" s="16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48"/>
      <c r="J462" s="48"/>
      <c r="K462" s="98"/>
      <c r="L462" s="16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48"/>
      <c r="J463" s="48"/>
      <c r="K463" s="98"/>
      <c r="L463" s="16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48"/>
      <c r="J464" s="48"/>
      <c r="K464" s="98"/>
      <c r="L464" s="16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48"/>
      <c r="J465" s="48"/>
      <c r="K465" s="98"/>
      <c r="L465" s="16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48"/>
      <c r="J466" s="48"/>
      <c r="K466" s="98"/>
      <c r="L466" s="16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48"/>
      <c r="J467" s="48"/>
      <c r="K467" s="98"/>
      <c r="L467" s="16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48"/>
      <c r="J468" s="48"/>
      <c r="K468" s="98"/>
      <c r="L468" s="16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48"/>
      <c r="J469" s="48"/>
      <c r="K469" s="98"/>
      <c r="L469" s="16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48"/>
      <c r="J470" s="48"/>
      <c r="K470" s="98"/>
      <c r="L470" s="16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48"/>
      <c r="J471" s="48"/>
      <c r="K471" s="98"/>
      <c r="L471" s="16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48"/>
      <c r="J472" s="48"/>
      <c r="K472" s="98"/>
      <c r="L472" s="16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48"/>
      <c r="J473" s="48"/>
      <c r="K473" s="98"/>
      <c r="L473" s="16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48"/>
      <c r="J474" s="48"/>
      <c r="K474" s="98"/>
      <c r="L474" s="16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48"/>
      <c r="J475" s="48"/>
      <c r="K475" s="98"/>
      <c r="L475" s="16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48"/>
      <c r="J476" s="48"/>
      <c r="K476" s="98"/>
      <c r="L476" s="16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48"/>
      <c r="J477" s="48"/>
      <c r="K477" s="98"/>
      <c r="L477" s="16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48"/>
      <c r="J478" s="48"/>
      <c r="K478" s="98"/>
      <c r="L478" s="16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48"/>
      <c r="J479" s="48"/>
      <c r="K479" s="98"/>
      <c r="L479" s="16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48"/>
      <c r="J480" s="48"/>
      <c r="K480" s="98"/>
      <c r="L480" s="16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48"/>
      <c r="J481" s="48"/>
      <c r="K481" s="98"/>
      <c r="L481" s="16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48"/>
      <c r="J482" s="48"/>
      <c r="K482" s="98"/>
      <c r="L482" s="16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48"/>
      <c r="J483" s="48"/>
      <c r="K483" s="98"/>
      <c r="L483" s="16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48"/>
      <c r="J484" s="48"/>
      <c r="K484" s="98"/>
      <c r="L484" s="16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48"/>
      <c r="J485" s="48"/>
      <c r="K485" s="98"/>
      <c r="L485" s="16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48"/>
      <c r="J486" s="48"/>
      <c r="K486" s="98"/>
      <c r="L486" s="16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48"/>
      <c r="J487" s="48"/>
      <c r="K487" s="98"/>
      <c r="L487" s="16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48"/>
      <c r="J488" s="48"/>
      <c r="K488" s="98"/>
      <c r="L488" s="16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48"/>
      <c r="J489" s="48"/>
      <c r="K489" s="98"/>
      <c r="L489" s="16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48"/>
      <c r="J490" s="48"/>
      <c r="K490" s="98"/>
      <c r="L490" s="16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48"/>
      <c r="J491" s="48"/>
      <c r="K491" s="98"/>
      <c r="L491" s="16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48"/>
      <c r="J492" s="48"/>
      <c r="K492" s="98"/>
      <c r="L492" s="16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48"/>
      <c r="J493" s="48"/>
      <c r="K493" s="98"/>
      <c r="L493" s="16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48"/>
      <c r="J494" s="48"/>
      <c r="K494" s="98"/>
      <c r="L494" s="16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48"/>
      <c r="J495" s="48"/>
      <c r="K495" s="98"/>
      <c r="L495" s="16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48"/>
      <c r="J496" s="48"/>
      <c r="K496" s="98"/>
      <c r="L496" s="16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48"/>
      <c r="J497" s="48"/>
      <c r="K497" s="98"/>
      <c r="L497" s="16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48"/>
      <c r="J498" s="48"/>
      <c r="K498" s="98"/>
      <c r="L498" s="16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48"/>
      <c r="J499" s="48"/>
      <c r="K499" s="98"/>
      <c r="L499" s="16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48"/>
      <c r="J500" s="48"/>
      <c r="K500" s="98"/>
      <c r="L500" s="16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48"/>
      <c r="J501" s="48"/>
      <c r="K501" s="98"/>
      <c r="L501" s="16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48"/>
      <c r="J502" s="48"/>
      <c r="K502" s="98"/>
      <c r="L502" s="16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48"/>
      <c r="J503" s="48"/>
      <c r="K503" s="98"/>
      <c r="L503" s="16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48"/>
      <c r="J504" s="48"/>
      <c r="K504" s="98"/>
      <c r="L504" s="16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48"/>
      <c r="J505" s="48"/>
      <c r="K505" s="98"/>
      <c r="L505" s="16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48"/>
      <c r="J506" s="48"/>
      <c r="K506" s="98"/>
      <c r="L506" s="16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48"/>
      <c r="J507" s="48"/>
      <c r="K507" s="98"/>
      <c r="L507" s="16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48"/>
      <c r="J508" s="48"/>
      <c r="K508" s="98"/>
      <c r="L508" s="16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48"/>
      <c r="J509" s="48"/>
      <c r="K509" s="98"/>
      <c r="L509" s="16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48"/>
      <c r="J510" s="48"/>
      <c r="K510" s="98"/>
      <c r="L510" s="16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48"/>
      <c r="J511" s="48"/>
      <c r="K511" s="98"/>
      <c r="L511" s="16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48"/>
      <c r="J512" s="48"/>
      <c r="K512" s="98"/>
      <c r="L512" s="16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48"/>
      <c r="J513" s="48"/>
      <c r="K513" s="98"/>
      <c r="L513" s="16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48"/>
      <c r="J514" s="48"/>
      <c r="K514" s="98"/>
      <c r="L514" s="16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48"/>
      <c r="J515" s="48"/>
      <c r="K515" s="98"/>
      <c r="L515" s="16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48"/>
      <c r="J516" s="48"/>
      <c r="K516" s="98"/>
      <c r="L516" s="16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48"/>
      <c r="J517" s="48"/>
      <c r="K517" s="98"/>
      <c r="L517" s="16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48"/>
      <c r="J518" s="48"/>
      <c r="K518" s="98"/>
      <c r="L518" s="16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48"/>
      <c r="J519" s="48"/>
      <c r="K519" s="98"/>
      <c r="L519" s="16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48"/>
      <c r="J520" s="48"/>
      <c r="K520" s="98"/>
      <c r="L520" s="16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48"/>
      <c r="J521" s="48"/>
      <c r="K521" s="98"/>
      <c r="L521" s="16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48"/>
      <c r="J522" s="48"/>
      <c r="K522" s="98"/>
      <c r="L522" s="16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48"/>
      <c r="J523" s="48"/>
      <c r="K523" s="98"/>
      <c r="L523" s="16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48"/>
      <c r="J524" s="48"/>
      <c r="K524" s="98"/>
      <c r="L524" s="16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48"/>
      <c r="J525" s="48"/>
      <c r="K525" s="98"/>
      <c r="L525" s="16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48"/>
      <c r="J526" s="48"/>
      <c r="K526" s="98"/>
      <c r="L526" s="16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48"/>
      <c r="J527" s="48"/>
      <c r="K527" s="98"/>
      <c r="L527" s="16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48"/>
      <c r="J528" s="48"/>
      <c r="K528" s="98"/>
      <c r="L528" s="16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48"/>
      <c r="J529" s="48"/>
      <c r="K529" s="98"/>
      <c r="L529" s="16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48"/>
      <c r="J530" s="48"/>
      <c r="K530" s="98"/>
      <c r="L530" s="16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48"/>
      <c r="J531" s="48"/>
      <c r="K531" s="98"/>
      <c r="L531" s="16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48"/>
      <c r="J532" s="48"/>
      <c r="K532" s="98"/>
      <c r="L532" s="16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48"/>
      <c r="J533" s="48"/>
      <c r="K533" s="98"/>
      <c r="L533" s="16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48"/>
      <c r="J534" s="48"/>
      <c r="K534" s="98"/>
      <c r="L534" s="16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48"/>
      <c r="J535" s="48"/>
      <c r="K535" s="98"/>
      <c r="L535" s="16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48"/>
      <c r="J536" s="48"/>
      <c r="K536" s="98"/>
      <c r="L536" s="16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48"/>
      <c r="J537" s="48"/>
      <c r="K537" s="98"/>
      <c r="L537" s="16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48"/>
      <c r="J538" s="48"/>
      <c r="K538" s="98"/>
      <c r="L538" s="16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48"/>
      <c r="J539" s="48"/>
      <c r="K539" s="98"/>
      <c r="L539" s="16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48"/>
      <c r="J540" s="48"/>
      <c r="K540" s="98"/>
      <c r="L540" s="16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48"/>
      <c r="J541" s="48"/>
      <c r="K541" s="98"/>
      <c r="L541" s="16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48"/>
      <c r="J542" s="48"/>
      <c r="K542" s="98"/>
      <c r="L542" s="16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48"/>
      <c r="J543" s="48"/>
      <c r="K543" s="98"/>
      <c r="L543" s="16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48"/>
      <c r="J544" s="48"/>
      <c r="K544" s="98"/>
      <c r="L544" s="16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48"/>
      <c r="J545" s="48"/>
      <c r="K545" s="98"/>
      <c r="L545" s="16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48"/>
      <c r="J546" s="48"/>
      <c r="K546" s="98"/>
      <c r="L546" s="16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48"/>
      <c r="J547" s="48"/>
      <c r="K547" s="98"/>
      <c r="L547" s="16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48"/>
      <c r="J548" s="48"/>
      <c r="K548" s="98"/>
      <c r="L548" s="16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48"/>
      <c r="J549" s="48"/>
      <c r="K549" s="98"/>
      <c r="L549" s="16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48"/>
      <c r="J550" s="48"/>
      <c r="K550" s="98"/>
      <c r="L550" s="16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48"/>
      <c r="J551" s="48"/>
      <c r="K551" s="98"/>
      <c r="L551" s="16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48"/>
      <c r="J552" s="48"/>
      <c r="K552" s="98"/>
      <c r="L552" s="16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48"/>
      <c r="J553" s="48"/>
      <c r="K553" s="98"/>
      <c r="L553" s="16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48"/>
      <c r="J554" s="48"/>
      <c r="K554" s="98"/>
      <c r="L554" s="16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48"/>
      <c r="J555" s="48"/>
      <c r="K555" s="98"/>
      <c r="L555" s="16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48"/>
      <c r="J556" s="48"/>
      <c r="K556" s="98"/>
      <c r="L556" s="16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48"/>
      <c r="J557" s="48"/>
      <c r="K557" s="98"/>
      <c r="L557" s="16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48"/>
      <c r="J558" s="48"/>
      <c r="K558" s="98"/>
      <c r="L558" s="16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48"/>
      <c r="J559" s="48"/>
      <c r="K559" s="98"/>
      <c r="L559" s="16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48"/>
      <c r="J560" s="48"/>
      <c r="K560" s="98"/>
      <c r="L560" s="16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48"/>
      <c r="J561" s="48"/>
      <c r="K561" s="98"/>
      <c r="L561" s="16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48"/>
      <c r="J562" s="48"/>
      <c r="K562" s="98"/>
      <c r="L562" s="16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48"/>
      <c r="J563" s="48"/>
      <c r="K563" s="98"/>
      <c r="L563" s="16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48"/>
      <c r="J564" s="48"/>
      <c r="K564" s="98"/>
      <c r="L564" s="16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48"/>
      <c r="J565" s="48"/>
      <c r="K565" s="98"/>
      <c r="L565" s="16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48"/>
      <c r="J566" s="48"/>
      <c r="K566" s="98"/>
      <c r="L566" s="16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48"/>
      <c r="J567" s="48"/>
      <c r="K567" s="98"/>
      <c r="L567" s="16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48"/>
      <c r="J568" s="48"/>
      <c r="K568" s="98"/>
      <c r="L568" s="16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48"/>
      <c r="J569" s="48"/>
      <c r="K569" s="98"/>
      <c r="L569" s="16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48"/>
      <c r="J570" s="48"/>
      <c r="K570" s="98"/>
      <c r="L570" s="16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48"/>
      <c r="J571" s="48"/>
      <c r="K571" s="98"/>
      <c r="L571" s="16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48"/>
      <c r="J572" s="48"/>
      <c r="K572" s="98"/>
      <c r="L572" s="16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48"/>
      <c r="J573" s="48"/>
      <c r="K573" s="98"/>
      <c r="L573" s="16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48"/>
      <c r="J574" s="48"/>
      <c r="K574" s="98"/>
      <c r="L574" s="16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48"/>
      <c r="J575" s="48"/>
      <c r="K575" s="98"/>
      <c r="L575" s="16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48"/>
      <c r="J576" s="48"/>
      <c r="K576" s="98"/>
      <c r="L576" s="16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48"/>
      <c r="J577" s="48"/>
      <c r="K577" s="98"/>
      <c r="L577" s="16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48"/>
      <c r="J578" s="48"/>
      <c r="K578" s="98"/>
      <c r="L578" s="16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48"/>
      <c r="J579" s="48"/>
      <c r="K579" s="98"/>
      <c r="L579" s="16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48"/>
      <c r="J580" s="48"/>
      <c r="K580" s="98"/>
      <c r="L580" s="16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48"/>
      <c r="J581" s="48"/>
      <c r="K581" s="98"/>
      <c r="L581" s="16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48"/>
      <c r="J582" s="48"/>
      <c r="K582" s="98"/>
      <c r="L582" s="16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48"/>
      <c r="J583" s="48"/>
      <c r="K583" s="98"/>
      <c r="L583" s="16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48"/>
      <c r="J584" s="48"/>
      <c r="K584" s="98"/>
      <c r="L584" s="16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48"/>
      <c r="J585" s="48"/>
      <c r="K585" s="98"/>
      <c r="L585" s="16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48"/>
      <c r="J586" s="48"/>
      <c r="K586" s="98"/>
      <c r="L586" s="16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48"/>
      <c r="J587" s="48"/>
      <c r="K587" s="98"/>
      <c r="L587" s="16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48"/>
      <c r="J588" s="48"/>
      <c r="K588" s="98"/>
      <c r="L588" s="16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48"/>
      <c r="J589" s="48"/>
      <c r="K589" s="98"/>
      <c r="L589" s="16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48"/>
      <c r="J590" s="48"/>
      <c r="K590" s="98"/>
      <c r="L590" s="16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48"/>
      <c r="J591" s="48"/>
      <c r="K591" s="98"/>
      <c r="L591" s="16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48"/>
      <c r="J592" s="48"/>
      <c r="K592" s="98"/>
      <c r="L592" s="16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48"/>
      <c r="J593" s="48"/>
      <c r="K593" s="98"/>
      <c r="L593" s="16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48"/>
      <c r="J594" s="48"/>
      <c r="K594" s="98"/>
      <c r="L594" s="16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48"/>
      <c r="J595" s="48"/>
      <c r="K595" s="98"/>
      <c r="L595" s="16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48"/>
      <c r="J596" s="48"/>
      <c r="K596" s="98"/>
      <c r="L596" s="16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48"/>
      <c r="J597" s="48"/>
      <c r="K597" s="98"/>
      <c r="L597" s="16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48"/>
      <c r="J598" s="48"/>
      <c r="K598" s="98"/>
      <c r="L598" s="16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48"/>
      <c r="J599" s="48"/>
      <c r="K599" s="98"/>
      <c r="L599" s="16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48"/>
      <c r="J600" s="48"/>
      <c r="K600" s="98"/>
      <c r="L600" s="16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48"/>
      <c r="J601" s="48"/>
      <c r="K601" s="98"/>
      <c r="L601" s="16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48"/>
      <c r="J602" s="48"/>
      <c r="K602" s="98"/>
      <c r="L602" s="16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48"/>
      <c r="J603" s="48"/>
      <c r="K603" s="98"/>
      <c r="L603" s="16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48"/>
      <c r="J604" s="48"/>
      <c r="K604" s="98"/>
      <c r="L604" s="16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48"/>
      <c r="J605" s="48"/>
      <c r="K605" s="98"/>
      <c r="L605" s="16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48"/>
      <c r="J606" s="48"/>
      <c r="K606" s="98"/>
      <c r="L606" s="16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48"/>
      <c r="J607" s="48"/>
      <c r="K607" s="98"/>
      <c r="L607" s="16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48"/>
      <c r="J608" s="48"/>
      <c r="K608" s="98"/>
      <c r="L608" s="16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48"/>
      <c r="J609" s="48"/>
      <c r="K609" s="98"/>
      <c r="L609" s="16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48"/>
      <c r="J610" s="48"/>
      <c r="K610" s="98"/>
      <c r="L610" s="16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48"/>
      <c r="J611" s="48"/>
      <c r="K611" s="98"/>
      <c r="L611" s="16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48"/>
      <c r="J612" s="48"/>
      <c r="K612" s="98"/>
      <c r="L612" s="16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48"/>
      <c r="J613" s="48"/>
      <c r="K613" s="98"/>
      <c r="L613" s="16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48"/>
      <c r="J614" s="48"/>
      <c r="K614" s="98"/>
      <c r="L614" s="16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48"/>
      <c r="J615" s="48"/>
      <c r="K615" s="98"/>
      <c r="L615" s="16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48"/>
      <c r="J616" s="48"/>
      <c r="K616" s="98"/>
      <c r="L616" s="16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48"/>
      <c r="J617" s="48"/>
      <c r="K617" s="98"/>
      <c r="L617" s="16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48"/>
      <c r="J618" s="48"/>
      <c r="K618" s="98"/>
      <c r="L618" s="16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48"/>
      <c r="J619" s="48"/>
      <c r="K619" s="98"/>
      <c r="L619" s="16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48"/>
      <c r="J620" s="48"/>
      <c r="K620" s="98"/>
      <c r="L620" s="16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48"/>
      <c r="J621" s="48"/>
      <c r="K621" s="98"/>
      <c r="L621" s="16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48"/>
      <c r="J622" s="48"/>
      <c r="K622" s="98"/>
      <c r="L622" s="16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48"/>
      <c r="J623" s="48"/>
      <c r="K623" s="98"/>
      <c r="L623" s="16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48"/>
      <c r="J624" s="48"/>
      <c r="K624" s="98"/>
      <c r="L624" s="16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48"/>
      <c r="J625" s="48"/>
      <c r="K625" s="98"/>
      <c r="L625" s="16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48"/>
      <c r="J626" s="48"/>
      <c r="K626" s="98"/>
      <c r="L626" s="16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48"/>
      <c r="J627" s="48"/>
      <c r="K627" s="98"/>
      <c r="L627" s="16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48"/>
      <c r="J628" s="48"/>
      <c r="K628" s="98"/>
      <c r="L628" s="16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48"/>
      <c r="J629" s="48"/>
      <c r="K629" s="98"/>
      <c r="L629" s="16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48"/>
      <c r="J630" s="48"/>
      <c r="K630" s="98"/>
      <c r="L630" s="16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48"/>
      <c r="J631" s="48"/>
      <c r="K631" s="98"/>
      <c r="L631" s="16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48"/>
      <c r="J632" s="48"/>
      <c r="K632" s="98"/>
      <c r="L632" s="16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48"/>
      <c r="J633" s="48"/>
      <c r="K633" s="98"/>
      <c r="L633" s="16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48"/>
      <c r="J634" s="48"/>
      <c r="K634" s="98"/>
      <c r="L634" s="16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48"/>
      <c r="J635" s="48"/>
      <c r="K635" s="98"/>
      <c r="L635" s="16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48"/>
      <c r="J636" s="48"/>
      <c r="K636" s="98"/>
      <c r="L636" s="16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48"/>
      <c r="J637" s="48"/>
      <c r="K637" s="98"/>
      <c r="L637" s="16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48"/>
      <c r="J638" s="48"/>
      <c r="K638" s="98"/>
      <c r="L638" s="16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48"/>
      <c r="J639" s="48"/>
      <c r="K639" s="98"/>
      <c r="L639" s="16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48"/>
      <c r="J640" s="48"/>
      <c r="K640" s="98"/>
      <c r="L640" s="16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48"/>
      <c r="J641" s="48"/>
      <c r="K641" s="98"/>
      <c r="L641" s="16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48"/>
      <c r="J642" s="48"/>
      <c r="K642" s="98"/>
      <c r="L642" s="16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48"/>
      <c r="J643" s="48"/>
      <c r="K643" s="98"/>
      <c r="L643" s="16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48"/>
      <c r="J644" s="48"/>
      <c r="K644" s="98"/>
      <c r="L644" s="16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48"/>
      <c r="J645" s="48"/>
      <c r="K645" s="98"/>
      <c r="L645" s="16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48"/>
      <c r="J646" s="48"/>
      <c r="K646" s="98"/>
      <c r="L646" s="16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48"/>
      <c r="J647" s="48"/>
      <c r="K647" s="98"/>
      <c r="L647" s="16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48"/>
      <c r="J648" s="48"/>
      <c r="K648" s="98"/>
      <c r="L648" s="16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48"/>
      <c r="J649" s="48"/>
      <c r="K649" s="98"/>
      <c r="L649" s="16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48"/>
      <c r="J650" s="48"/>
      <c r="K650" s="98"/>
      <c r="L650" s="16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48"/>
      <c r="J651" s="48"/>
      <c r="K651" s="98"/>
      <c r="L651" s="16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48"/>
      <c r="J652" s="48"/>
      <c r="K652" s="98"/>
      <c r="L652" s="16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48"/>
      <c r="J653" s="48"/>
      <c r="K653" s="98"/>
      <c r="L653" s="16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48"/>
      <c r="J654" s="48"/>
      <c r="K654" s="98"/>
      <c r="L654" s="16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48"/>
      <c r="J655" s="48"/>
      <c r="K655" s="98"/>
      <c r="L655" s="16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48"/>
      <c r="J656" s="48"/>
      <c r="K656" s="98"/>
      <c r="L656" s="16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48"/>
      <c r="J657" s="48"/>
      <c r="K657" s="98"/>
      <c r="L657" s="16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48"/>
      <c r="J658" s="48"/>
      <c r="K658" s="98"/>
      <c r="L658" s="16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48"/>
      <c r="J659" s="48"/>
      <c r="K659" s="98"/>
      <c r="L659" s="16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48"/>
      <c r="J660" s="48"/>
      <c r="K660" s="98"/>
      <c r="L660" s="16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48"/>
      <c r="J661" s="48"/>
      <c r="K661" s="98"/>
      <c r="L661" s="16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48"/>
      <c r="J662" s="48"/>
      <c r="K662" s="98"/>
      <c r="L662" s="16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48"/>
      <c r="J663" s="48"/>
      <c r="K663" s="98"/>
      <c r="L663" s="16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48"/>
      <c r="J664" s="48"/>
      <c r="K664" s="98"/>
      <c r="L664" s="16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48"/>
      <c r="J665" s="48"/>
      <c r="K665" s="98"/>
      <c r="L665" s="16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48"/>
      <c r="J666" s="48"/>
      <c r="K666" s="98"/>
      <c r="L666" s="16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48"/>
      <c r="J667" s="48"/>
      <c r="K667" s="98"/>
      <c r="L667" s="16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48"/>
      <c r="J668" s="48"/>
      <c r="K668" s="98"/>
      <c r="L668" s="16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48"/>
      <c r="J669" s="48"/>
      <c r="K669" s="98"/>
      <c r="L669" s="16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48"/>
      <c r="J670" s="48"/>
      <c r="K670" s="98"/>
      <c r="L670" s="16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48"/>
      <c r="J671" s="48"/>
      <c r="K671" s="98"/>
      <c r="L671" s="16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48"/>
      <c r="J672" s="48"/>
      <c r="K672" s="98"/>
      <c r="L672" s="16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48"/>
      <c r="J673" s="48"/>
      <c r="K673" s="98"/>
      <c r="L673" s="16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48"/>
      <c r="J674" s="48"/>
      <c r="K674" s="98"/>
      <c r="L674" s="16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48"/>
      <c r="J675" s="48"/>
      <c r="K675" s="98"/>
      <c r="L675" s="16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48"/>
      <c r="J676" s="48"/>
      <c r="K676" s="98"/>
      <c r="L676" s="16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48"/>
      <c r="J677" s="48"/>
      <c r="K677" s="98"/>
      <c r="L677" s="16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48"/>
      <c r="J678" s="48"/>
      <c r="K678" s="98"/>
      <c r="L678" s="16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48"/>
      <c r="J679" s="48"/>
      <c r="K679" s="98"/>
      <c r="L679" s="16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48"/>
      <c r="J680" s="48"/>
      <c r="K680" s="98"/>
      <c r="L680" s="16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48"/>
      <c r="J681" s="48"/>
      <c r="K681" s="98"/>
      <c r="L681" s="16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48"/>
      <c r="J682" s="48"/>
      <c r="K682" s="98"/>
      <c r="L682" s="16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48"/>
      <c r="J683" s="48"/>
      <c r="K683" s="98"/>
      <c r="L683" s="16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48"/>
      <c r="J684" s="48"/>
      <c r="K684" s="98"/>
      <c r="L684" s="16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48"/>
      <c r="J685" s="48"/>
      <c r="K685" s="98"/>
      <c r="L685" s="16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48"/>
      <c r="J686" s="48"/>
      <c r="K686" s="98"/>
      <c r="L686" s="16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48"/>
      <c r="J687" s="48"/>
      <c r="K687" s="98"/>
      <c r="L687" s="16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48"/>
      <c r="J688" s="48"/>
      <c r="K688" s="98"/>
      <c r="L688" s="16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48"/>
      <c r="J689" s="48"/>
      <c r="K689" s="98"/>
      <c r="L689" s="16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48"/>
      <c r="J690" s="48"/>
      <c r="K690" s="98"/>
      <c r="L690" s="16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48"/>
      <c r="J691" s="48"/>
      <c r="K691" s="98"/>
      <c r="L691" s="16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48"/>
      <c r="J692" s="48"/>
      <c r="K692" s="98"/>
      <c r="L692" s="16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48"/>
      <c r="J693" s="48"/>
      <c r="K693" s="98"/>
      <c r="L693" s="16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48"/>
      <c r="J694" s="48"/>
      <c r="K694" s="98"/>
      <c r="L694" s="16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48"/>
      <c r="J695" s="48"/>
      <c r="K695" s="98"/>
      <c r="L695" s="16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48"/>
      <c r="J696" s="48"/>
      <c r="K696" s="98"/>
      <c r="L696" s="16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48"/>
      <c r="J697" s="48"/>
      <c r="K697" s="98"/>
      <c r="L697" s="16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48"/>
      <c r="J698" s="48"/>
      <c r="K698" s="98"/>
      <c r="L698" s="16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48"/>
      <c r="J699" s="48"/>
      <c r="K699" s="98"/>
      <c r="L699" s="16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48"/>
      <c r="J700" s="48"/>
      <c r="K700" s="98"/>
      <c r="L700" s="16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48"/>
      <c r="J701" s="48"/>
      <c r="K701" s="98"/>
      <c r="L701" s="16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48"/>
      <c r="J702" s="48"/>
      <c r="K702" s="98"/>
      <c r="L702" s="16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48"/>
      <c r="J703" s="48"/>
      <c r="K703" s="98"/>
      <c r="L703" s="16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48"/>
      <c r="J704" s="48"/>
      <c r="K704" s="98"/>
      <c r="L704" s="16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48"/>
      <c r="J705" s="48"/>
      <c r="K705" s="98"/>
      <c r="L705" s="16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48"/>
      <c r="J706" s="48"/>
      <c r="K706" s="98"/>
      <c r="L706" s="16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48"/>
      <c r="J707" s="48"/>
      <c r="K707" s="98"/>
      <c r="L707" s="16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48"/>
      <c r="J708" s="48"/>
      <c r="K708" s="98"/>
      <c r="L708" s="16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48"/>
      <c r="J709" s="48"/>
      <c r="K709" s="98"/>
      <c r="L709" s="16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48"/>
      <c r="J710" s="48"/>
      <c r="K710" s="98"/>
      <c r="L710" s="16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48"/>
      <c r="J711" s="48"/>
      <c r="K711" s="98"/>
      <c r="L711" s="16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48"/>
      <c r="J712" s="48"/>
      <c r="K712" s="98"/>
      <c r="L712" s="16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48"/>
      <c r="J713" s="48"/>
      <c r="K713" s="98"/>
      <c r="L713" s="16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48"/>
      <c r="J714" s="48"/>
      <c r="K714" s="98"/>
      <c r="L714" s="16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48"/>
      <c r="J715" s="48"/>
      <c r="K715" s="98"/>
      <c r="L715" s="16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48"/>
      <c r="J716" s="48"/>
      <c r="K716" s="98"/>
      <c r="L716" s="16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48"/>
      <c r="J717" s="48"/>
      <c r="K717" s="98"/>
      <c r="L717" s="16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48"/>
      <c r="J718" s="48"/>
      <c r="K718" s="98"/>
      <c r="L718" s="16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48"/>
      <c r="J719" s="48"/>
      <c r="K719" s="98"/>
      <c r="L719" s="16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48"/>
      <c r="J720" s="48"/>
      <c r="K720" s="98"/>
      <c r="L720" s="16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48"/>
      <c r="J721" s="48"/>
      <c r="K721" s="98"/>
      <c r="L721" s="16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48"/>
      <c r="J722" s="48"/>
      <c r="K722" s="98"/>
      <c r="L722" s="16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48"/>
      <c r="J723" s="48"/>
      <c r="K723" s="98"/>
      <c r="L723" s="16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48"/>
      <c r="J724" s="48"/>
      <c r="K724" s="98"/>
      <c r="L724" s="16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48"/>
      <c r="J725" s="48"/>
      <c r="K725" s="98"/>
      <c r="L725" s="16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48"/>
      <c r="J726" s="48"/>
      <c r="K726" s="98"/>
      <c r="L726" s="16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48"/>
      <c r="J727" s="48"/>
      <c r="K727" s="98"/>
      <c r="L727" s="16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48"/>
      <c r="J728" s="48"/>
      <c r="K728" s="98"/>
      <c r="L728" s="16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48"/>
      <c r="J729" s="48"/>
      <c r="K729" s="98"/>
      <c r="L729" s="16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48"/>
      <c r="J730" s="48"/>
      <c r="K730" s="98"/>
      <c r="L730" s="16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48"/>
      <c r="J731" s="48"/>
      <c r="K731" s="98"/>
      <c r="L731" s="16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48"/>
      <c r="J732" s="48"/>
      <c r="K732" s="98"/>
      <c r="L732" s="16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48"/>
      <c r="J733" s="48"/>
      <c r="K733" s="98"/>
      <c r="L733" s="16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48"/>
      <c r="J734" s="48"/>
      <c r="K734" s="98"/>
      <c r="L734" s="16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48"/>
      <c r="J735" s="48"/>
      <c r="K735" s="98"/>
      <c r="L735" s="16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48"/>
      <c r="J736" s="48"/>
      <c r="K736" s="98"/>
      <c r="L736" s="16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48"/>
      <c r="J737" s="48"/>
      <c r="K737" s="98"/>
      <c r="L737" s="16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48"/>
      <c r="J738" s="48"/>
      <c r="K738" s="98"/>
      <c r="L738" s="16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48"/>
      <c r="J739" s="48"/>
      <c r="K739" s="98"/>
      <c r="L739" s="16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48"/>
      <c r="J740" s="48"/>
      <c r="K740" s="98"/>
      <c r="L740" s="16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48"/>
      <c r="J741" s="48"/>
      <c r="K741" s="98"/>
      <c r="L741" s="16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48"/>
      <c r="J742" s="48"/>
      <c r="K742" s="98"/>
      <c r="L742" s="16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48"/>
      <c r="J743" s="48"/>
      <c r="K743" s="98"/>
      <c r="L743" s="16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48"/>
      <c r="J744" s="48"/>
      <c r="K744" s="98"/>
      <c r="L744" s="16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48"/>
      <c r="J745" s="48"/>
      <c r="K745" s="98"/>
      <c r="L745" s="16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48"/>
      <c r="J746" s="48"/>
      <c r="K746" s="98"/>
      <c r="L746" s="16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48"/>
      <c r="J747" s="48"/>
      <c r="K747" s="98"/>
      <c r="L747" s="16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48"/>
      <c r="J748" s="48"/>
      <c r="K748" s="98"/>
      <c r="L748" s="16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48"/>
      <c r="J749" s="48"/>
      <c r="K749" s="98"/>
      <c r="L749" s="16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48"/>
      <c r="J750" s="48"/>
      <c r="K750" s="98"/>
      <c r="L750" s="16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48"/>
      <c r="J751" s="48"/>
      <c r="K751" s="98"/>
      <c r="L751" s="16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48"/>
      <c r="J752" s="48"/>
      <c r="K752" s="98"/>
      <c r="L752" s="16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48"/>
      <c r="J753" s="48"/>
      <c r="K753" s="98"/>
      <c r="L753" s="16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48"/>
      <c r="J754" s="48"/>
      <c r="K754" s="98"/>
      <c r="L754" s="16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48"/>
      <c r="J755" s="48"/>
      <c r="K755" s="98"/>
      <c r="L755" s="16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48"/>
      <c r="J756" s="48"/>
      <c r="K756" s="98"/>
      <c r="L756" s="16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48"/>
      <c r="J757" s="48"/>
      <c r="K757" s="98"/>
      <c r="L757" s="16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48"/>
      <c r="J758" s="48"/>
      <c r="K758" s="98"/>
      <c r="L758" s="16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48"/>
      <c r="J759" s="48"/>
      <c r="K759" s="98"/>
      <c r="L759" s="16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48"/>
      <c r="J760" s="48"/>
      <c r="K760" s="98"/>
      <c r="L760" s="16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48"/>
      <c r="J761" s="48"/>
      <c r="K761" s="98"/>
      <c r="L761" s="16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48"/>
      <c r="J762" s="48"/>
      <c r="K762" s="98"/>
      <c r="L762" s="16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48"/>
      <c r="J763" s="48"/>
      <c r="K763" s="98"/>
      <c r="L763" s="16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48"/>
      <c r="J764" s="48"/>
      <c r="K764" s="98"/>
      <c r="L764" s="16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48"/>
      <c r="J765" s="48"/>
      <c r="K765" s="98"/>
      <c r="L765" s="16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48"/>
      <c r="J766" s="48"/>
      <c r="K766" s="98"/>
      <c r="L766" s="16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48"/>
      <c r="J767" s="48"/>
      <c r="K767" s="98"/>
      <c r="L767" s="16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48"/>
      <c r="J768" s="48"/>
      <c r="K768" s="98"/>
      <c r="L768" s="16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48"/>
      <c r="J769" s="48"/>
      <c r="K769" s="98"/>
      <c r="L769" s="16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48"/>
      <c r="J770" s="48"/>
      <c r="K770" s="98"/>
      <c r="L770" s="16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48"/>
      <c r="J771" s="48"/>
      <c r="K771" s="98"/>
      <c r="L771" s="16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48"/>
      <c r="J772" s="48"/>
      <c r="K772" s="98"/>
      <c r="L772" s="16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48"/>
      <c r="J773" s="48"/>
      <c r="K773" s="98"/>
      <c r="L773" s="16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48"/>
      <c r="J774" s="48"/>
      <c r="K774" s="98"/>
      <c r="L774" s="16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48"/>
      <c r="J775" s="48"/>
      <c r="K775" s="98"/>
      <c r="L775" s="16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48"/>
      <c r="J776" s="48"/>
      <c r="K776" s="98"/>
      <c r="L776" s="16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48"/>
      <c r="J777" s="48"/>
      <c r="K777" s="98"/>
      <c r="L777" s="16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48"/>
      <c r="J778" s="48"/>
      <c r="K778" s="98"/>
      <c r="L778" s="16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48"/>
      <c r="J779" s="48"/>
      <c r="K779" s="98"/>
      <c r="L779" s="16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48"/>
      <c r="J780" s="48"/>
      <c r="K780" s="98"/>
      <c r="L780" s="16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48"/>
      <c r="J781" s="48"/>
      <c r="K781" s="98"/>
      <c r="L781" s="16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48"/>
      <c r="J782" s="48"/>
      <c r="K782" s="98"/>
      <c r="L782" s="16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48"/>
      <c r="J783" s="48"/>
      <c r="K783" s="98"/>
      <c r="L783" s="16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48"/>
      <c r="J784" s="48"/>
      <c r="K784" s="98"/>
      <c r="L784" s="16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48"/>
      <c r="J785" s="48"/>
      <c r="K785" s="98"/>
      <c r="L785" s="16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48"/>
      <c r="J786" s="48"/>
      <c r="K786" s="98"/>
      <c r="L786" s="16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48"/>
      <c r="J787" s="48"/>
      <c r="K787" s="98"/>
      <c r="L787" s="16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48"/>
      <c r="J788" s="48"/>
      <c r="K788" s="98"/>
      <c r="L788" s="16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48"/>
      <c r="J789" s="48"/>
      <c r="K789" s="98"/>
      <c r="L789" s="16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48"/>
      <c r="J790" s="48"/>
      <c r="K790" s="98"/>
      <c r="L790" s="16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48"/>
      <c r="J791" s="48"/>
      <c r="K791" s="98"/>
      <c r="L791" s="16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48"/>
      <c r="J792" s="48"/>
      <c r="K792" s="98"/>
      <c r="L792" s="16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48"/>
      <c r="J793" s="48"/>
      <c r="K793" s="98"/>
      <c r="L793" s="16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48"/>
      <c r="J794" s="48"/>
      <c r="K794" s="98"/>
      <c r="L794" s="16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48"/>
      <c r="J795" s="48"/>
      <c r="K795" s="98"/>
      <c r="L795" s="16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48"/>
      <c r="J796" s="48"/>
      <c r="K796" s="98"/>
      <c r="L796" s="16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48"/>
      <c r="J797" s="48"/>
      <c r="K797" s="98"/>
      <c r="L797" s="16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48"/>
      <c r="J798" s="48"/>
      <c r="K798" s="98"/>
      <c r="L798" s="16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48"/>
      <c r="J799" s="48"/>
      <c r="K799" s="98"/>
      <c r="L799" s="16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48"/>
      <c r="J800" s="48"/>
      <c r="K800" s="98"/>
      <c r="L800" s="16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48"/>
      <c r="J801" s="48"/>
      <c r="K801" s="98"/>
      <c r="L801" s="16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48"/>
      <c r="J802" s="48"/>
      <c r="K802" s="98"/>
      <c r="L802" s="16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48"/>
      <c r="J803" s="48"/>
      <c r="K803" s="98"/>
      <c r="L803" s="16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48"/>
      <c r="J804" s="48"/>
      <c r="K804" s="98"/>
      <c r="L804" s="16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48"/>
      <c r="J805" s="48"/>
      <c r="K805" s="98"/>
      <c r="L805" s="16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48"/>
      <c r="J806" s="48"/>
      <c r="K806" s="98"/>
      <c r="L806" s="16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48"/>
      <c r="J807" s="48"/>
      <c r="K807" s="98"/>
      <c r="L807" s="16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48"/>
      <c r="J808" s="48"/>
      <c r="K808" s="98"/>
      <c r="L808" s="16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48"/>
      <c r="J809" s="48"/>
      <c r="K809" s="98"/>
      <c r="L809" s="16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48"/>
      <c r="J810" s="48"/>
      <c r="K810" s="98"/>
      <c r="L810" s="16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48"/>
      <c r="J811" s="48"/>
      <c r="K811" s="98"/>
      <c r="L811" s="16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48"/>
      <c r="J812" s="48"/>
      <c r="K812" s="98"/>
      <c r="L812" s="16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48"/>
      <c r="J813" s="48"/>
      <c r="K813" s="98"/>
      <c r="L813" s="16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48"/>
      <c r="J814" s="48"/>
      <c r="K814" s="98"/>
      <c r="L814" s="16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48"/>
      <c r="J815" s="48"/>
      <c r="K815" s="98"/>
      <c r="L815" s="16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48"/>
      <c r="J816" s="48"/>
      <c r="K816" s="98"/>
      <c r="L816" s="16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48"/>
      <c r="J817" s="48"/>
      <c r="K817" s="98"/>
      <c r="L817" s="16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48"/>
      <c r="J818" s="48"/>
      <c r="K818" s="98"/>
      <c r="L818" s="16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48"/>
      <c r="J819" s="48"/>
      <c r="K819" s="98"/>
      <c r="L819" s="16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48"/>
      <c r="J820" s="48"/>
      <c r="K820" s="98"/>
      <c r="L820" s="16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48"/>
      <c r="J821" s="48"/>
      <c r="K821" s="98"/>
      <c r="L821" s="16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48"/>
      <c r="J822" s="48"/>
      <c r="K822" s="98"/>
      <c r="L822" s="16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48"/>
      <c r="J823" s="48"/>
      <c r="K823" s="98"/>
      <c r="L823" s="16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48"/>
      <c r="J824" s="48"/>
      <c r="K824" s="98"/>
      <c r="L824" s="16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48"/>
      <c r="J825" s="48"/>
      <c r="K825" s="98"/>
      <c r="L825" s="16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48"/>
      <c r="J826" s="48"/>
      <c r="K826" s="98"/>
      <c r="L826" s="16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48"/>
      <c r="J827" s="48"/>
      <c r="K827" s="98"/>
      <c r="L827" s="16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48"/>
      <c r="J828" s="48"/>
      <c r="K828" s="98"/>
      <c r="L828" s="16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48"/>
      <c r="J829" s="48"/>
      <c r="K829" s="98"/>
      <c r="L829" s="16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48"/>
      <c r="J830" s="48"/>
      <c r="K830" s="98"/>
      <c r="L830" s="16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48"/>
      <c r="J831" s="48"/>
      <c r="K831" s="98"/>
      <c r="L831" s="16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48"/>
      <c r="J832" s="48"/>
      <c r="K832" s="98"/>
      <c r="L832" s="16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48"/>
      <c r="J833" s="48"/>
      <c r="K833" s="98"/>
      <c r="L833" s="16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48"/>
      <c r="J834" s="48"/>
      <c r="K834" s="98"/>
      <c r="L834" s="16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48"/>
      <c r="J835" s="48"/>
      <c r="K835" s="98"/>
      <c r="L835" s="16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48"/>
      <c r="J836" s="48"/>
      <c r="K836" s="98"/>
      <c r="L836" s="16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48"/>
      <c r="J837" s="48"/>
      <c r="K837" s="98"/>
      <c r="L837" s="16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48"/>
      <c r="J838" s="48"/>
      <c r="K838" s="98"/>
      <c r="L838" s="16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48"/>
      <c r="J839" s="48"/>
      <c r="K839" s="98"/>
      <c r="L839" s="16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48"/>
      <c r="J840" s="48"/>
      <c r="K840" s="98"/>
      <c r="L840" s="16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48"/>
      <c r="J841" s="48"/>
      <c r="K841" s="98"/>
      <c r="L841" s="16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48"/>
      <c r="J842" s="48"/>
      <c r="K842" s="98"/>
      <c r="L842" s="16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48"/>
      <c r="J843" s="48"/>
      <c r="K843" s="98"/>
      <c r="L843" s="16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48"/>
      <c r="J844" s="48"/>
      <c r="K844" s="98"/>
      <c r="L844" s="16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48"/>
      <c r="J845" s="48"/>
      <c r="K845" s="98"/>
      <c r="L845" s="16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48"/>
      <c r="J846" s="48"/>
      <c r="K846" s="98"/>
      <c r="L846" s="16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48"/>
      <c r="J847" s="48"/>
      <c r="K847" s="98"/>
      <c r="L847" s="16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48"/>
      <c r="J848" s="48"/>
      <c r="K848" s="98"/>
      <c r="L848" s="16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48"/>
      <c r="J849" s="48"/>
      <c r="K849" s="98"/>
      <c r="L849" s="16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48"/>
      <c r="J850" s="48"/>
      <c r="K850" s="98"/>
      <c r="L850" s="16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48"/>
      <c r="J851" s="48"/>
      <c r="K851" s="98"/>
      <c r="L851" s="16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48"/>
      <c r="J852" s="48"/>
      <c r="K852" s="98"/>
      <c r="L852" s="16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48"/>
      <c r="J853" s="48"/>
      <c r="K853" s="98"/>
      <c r="L853" s="16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48"/>
      <c r="J854" s="48"/>
      <c r="K854" s="98"/>
      <c r="L854" s="16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48"/>
      <c r="J855" s="48"/>
      <c r="K855" s="98"/>
      <c r="L855" s="16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48"/>
      <c r="J856" s="48"/>
      <c r="K856" s="98"/>
      <c r="L856" s="16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48"/>
      <c r="J857" s="48"/>
      <c r="K857" s="98"/>
      <c r="L857" s="16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48"/>
      <c r="J858" s="48"/>
      <c r="K858" s="98"/>
      <c r="L858" s="16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48"/>
      <c r="J859" s="48"/>
      <c r="K859" s="98"/>
      <c r="L859" s="16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48"/>
      <c r="J860" s="48"/>
      <c r="K860" s="98"/>
      <c r="L860" s="16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48"/>
      <c r="J861" s="48"/>
      <c r="K861" s="98"/>
      <c r="L861" s="16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48"/>
      <c r="J862" s="48"/>
      <c r="K862" s="98"/>
      <c r="L862" s="16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48"/>
      <c r="J863" s="48"/>
      <c r="K863" s="98"/>
      <c r="L863" s="16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48"/>
      <c r="J864" s="48"/>
      <c r="K864" s="98"/>
      <c r="L864" s="16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48"/>
      <c r="J865" s="48"/>
      <c r="K865" s="98"/>
      <c r="L865" s="16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48"/>
      <c r="J866" s="48"/>
      <c r="K866" s="98"/>
      <c r="L866" s="16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48"/>
      <c r="J867" s="48"/>
      <c r="K867" s="98"/>
      <c r="L867" s="16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48"/>
      <c r="J868" s="48"/>
      <c r="K868" s="98"/>
      <c r="L868" s="16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48"/>
      <c r="J869" s="48"/>
      <c r="K869" s="98"/>
      <c r="L869" s="16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48"/>
      <c r="J870" s="48"/>
      <c r="K870" s="98"/>
      <c r="L870" s="16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48"/>
      <c r="J871" s="48"/>
      <c r="K871" s="98"/>
      <c r="L871" s="16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48"/>
      <c r="J872" s="48"/>
      <c r="K872" s="98"/>
      <c r="L872" s="16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48"/>
      <c r="J873" s="48"/>
      <c r="K873" s="98"/>
      <c r="L873" s="16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48"/>
      <c r="J874" s="48"/>
      <c r="K874" s="98"/>
      <c r="L874" s="16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48"/>
      <c r="J875" s="48"/>
      <c r="K875" s="98"/>
      <c r="L875" s="16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48"/>
      <c r="J876" s="48"/>
      <c r="K876" s="98"/>
      <c r="L876" s="16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48"/>
      <c r="J877" s="48"/>
      <c r="K877" s="98"/>
      <c r="L877" s="16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48"/>
      <c r="J878" s="48"/>
      <c r="K878" s="98"/>
      <c r="L878" s="16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48"/>
      <c r="J879" s="48"/>
      <c r="K879" s="98"/>
      <c r="L879" s="16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48"/>
      <c r="J880" s="48"/>
      <c r="K880" s="98"/>
      <c r="L880" s="16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48"/>
      <c r="J881" s="48"/>
      <c r="K881" s="98"/>
      <c r="L881" s="16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48"/>
      <c r="J882" s="48"/>
      <c r="K882" s="98"/>
      <c r="L882" s="16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48"/>
      <c r="J883" s="48"/>
      <c r="K883" s="98"/>
      <c r="L883" s="16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48"/>
      <c r="J884" s="48"/>
      <c r="K884" s="98"/>
      <c r="L884" s="16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48"/>
      <c r="J885" s="48"/>
      <c r="K885" s="98"/>
      <c r="L885" s="16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48"/>
      <c r="J886" s="48"/>
      <c r="K886" s="98"/>
      <c r="L886" s="16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48"/>
      <c r="J887" s="48"/>
      <c r="K887" s="98"/>
      <c r="L887" s="16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48"/>
      <c r="J888" s="48"/>
      <c r="K888" s="98"/>
      <c r="L888" s="16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48"/>
      <c r="J889" s="48"/>
      <c r="K889" s="98"/>
      <c r="L889" s="16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48"/>
      <c r="J890" s="48"/>
      <c r="K890" s="98"/>
      <c r="L890" s="16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48"/>
      <c r="J891" s="48"/>
      <c r="K891" s="98"/>
      <c r="L891" s="16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48"/>
      <c r="J892" s="48"/>
      <c r="K892" s="98"/>
      <c r="L892" s="16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48"/>
      <c r="J893" s="48"/>
      <c r="K893" s="98"/>
      <c r="L893" s="16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48"/>
      <c r="J894" s="48"/>
      <c r="K894" s="98"/>
      <c r="L894" s="16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48"/>
      <c r="J895" s="48"/>
      <c r="K895" s="98"/>
      <c r="L895" s="16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48"/>
      <c r="J896" s="48"/>
      <c r="K896" s="98"/>
      <c r="L896" s="16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48"/>
      <c r="J897" s="48"/>
      <c r="K897" s="98"/>
      <c r="L897" s="16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48"/>
      <c r="J898" s="48"/>
      <c r="K898" s="98"/>
      <c r="L898" s="16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48"/>
      <c r="J899" s="48"/>
      <c r="K899" s="98"/>
      <c r="L899" s="16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48"/>
      <c r="J900" s="48"/>
      <c r="K900" s="98"/>
      <c r="L900" s="16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48"/>
      <c r="J901" s="48"/>
      <c r="K901" s="98"/>
      <c r="L901" s="16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48"/>
      <c r="J902" s="48"/>
      <c r="K902" s="98"/>
      <c r="L902" s="16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48"/>
      <c r="J903" s="48"/>
      <c r="K903" s="98"/>
      <c r="L903" s="16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48"/>
      <c r="J904" s="48"/>
      <c r="K904" s="98"/>
      <c r="L904" s="16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48"/>
      <c r="J905" s="48"/>
      <c r="K905" s="98"/>
      <c r="L905" s="16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48"/>
      <c r="J906" s="48"/>
      <c r="K906" s="98"/>
      <c r="L906" s="16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48"/>
      <c r="J907" s="48"/>
      <c r="K907" s="98"/>
      <c r="L907" s="16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48"/>
      <c r="J908" s="48"/>
      <c r="K908" s="98"/>
      <c r="L908" s="16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48"/>
      <c r="J909" s="48"/>
      <c r="K909" s="98"/>
      <c r="L909" s="16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48"/>
      <c r="J910" s="48"/>
      <c r="K910" s="98"/>
      <c r="L910" s="16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48"/>
      <c r="J911" s="48"/>
      <c r="K911" s="98"/>
      <c r="L911" s="16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48"/>
      <c r="J912" s="48"/>
      <c r="K912" s="98"/>
      <c r="L912" s="16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48"/>
      <c r="J913" s="48"/>
      <c r="K913" s="98"/>
      <c r="L913" s="16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48"/>
      <c r="J914" s="48"/>
      <c r="K914" s="98"/>
      <c r="L914" s="16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48"/>
      <c r="J915" s="48"/>
      <c r="K915" s="98"/>
      <c r="L915" s="16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48"/>
      <c r="J916" s="48"/>
      <c r="K916" s="98"/>
      <c r="L916" s="16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48"/>
      <c r="J917" s="48"/>
      <c r="K917" s="98"/>
      <c r="L917" s="16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48"/>
      <c r="J918" s="48"/>
      <c r="K918" s="98"/>
      <c r="L918" s="16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48"/>
      <c r="J919" s="48"/>
      <c r="K919" s="98"/>
      <c r="L919" s="16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48"/>
      <c r="J920" s="48"/>
      <c r="K920" s="98"/>
      <c r="L920" s="16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48"/>
      <c r="J921" s="48"/>
      <c r="K921" s="98"/>
      <c r="L921" s="16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48"/>
      <c r="J922" s="48"/>
      <c r="K922" s="98"/>
      <c r="L922" s="16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48"/>
      <c r="J923" s="48"/>
      <c r="K923" s="98"/>
      <c r="L923" s="16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48"/>
      <c r="J924" s="48"/>
      <c r="K924" s="98"/>
      <c r="L924" s="16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48"/>
      <c r="J925" s="48"/>
      <c r="K925" s="98"/>
      <c r="L925" s="16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48"/>
      <c r="J926" s="48"/>
      <c r="K926" s="98"/>
      <c r="L926" s="16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48"/>
      <c r="J927" s="48"/>
      <c r="K927" s="98"/>
      <c r="L927" s="16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48"/>
      <c r="J928" s="48"/>
      <c r="K928" s="98"/>
      <c r="L928" s="16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48"/>
      <c r="J929" s="48"/>
      <c r="K929" s="98"/>
      <c r="L929" s="16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48"/>
      <c r="J930" s="48"/>
      <c r="K930" s="98"/>
      <c r="L930" s="16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48"/>
      <c r="J931" s="48"/>
      <c r="K931" s="98"/>
      <c r="L931" s="16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48"/>
      <c r="J932" s="48"/>
      <c r="K932" s="98"/>
      <c r="L932" s="16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48"/>
      <c r="J933" s="48"/>
      <c r="K933" s="98"/>
      <c r="L933" s="16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48"/>
      <c r="J934" s="48"/>
      <c r="K934" s="98"/>
      <c r="L934" s="16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48"/>
      <c r="J935" s="48"/>
      <c r="K935" s="98"/>
      <c r="L935" s="16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48"/>
      <c r="J936" s="48"/>
      <c r="K936" s="98"/>
      <c r="L936" s="16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</row>
    <row r="937">
      <c r="A937" s="98"/>
      <c r="B937" s="98"/>
      <c r="C937" s="153"/>
      <c r="D937" s="153"/>
      <c r="E937" s="153"/>
      <c r="F937" s="153"/>
      <c r="G937" s="153"/>
      <c r="H937" s="153"/>
      <c r="I937" s="154"/>
      <c r="J937" s="154"/>
      <c r="K937" s="153"/>
      <c r="L937" s="16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  <c r="AD937" s="153"/>
      <c r="AE937" s="153"/>
      <c r="AF937" s="153"/>
      <c r="AG937" s="153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