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  <sheet state="hidden" name="Copy of البلوك 1 ( التركيز علي 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<sst xmlns="http://schemas.openxmlformats.org/spreadsheetml/2006/main" count="1280" uniqueCount="149">
  <si>
    <t>الاسبوع 1</t>
  </si>
  <si>
    <t>الاسبوع 2</t>
  </si>
  <si>
    <t>الاسبوع 3</t>
  </si>
  <si>
    <t>الاسبوع 4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</si>
  <si>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</si>
  <si>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</si>
  <si>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</si>
  <si>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</si>
  <si>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</si>
  <si>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</si>
  <si>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</si>
  <si>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</si>
  <si>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</si>
  <si>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</si>
  <si>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Dumbbell Press</t>
  </si>
  <si>
    <t>8--10</t>
  </si>
  <si>
    <t>Lats  Pulldown</t>
  </si>
  <si>
    <t>10--12</t>
  </si>
  <si>
    <t>Machine Incline Press</t>
  </si>
  <si>
    <t>Hammer strength plate loaded lat row</t>
  </si>
  <si>
    <t>Triceps Push Downs</t>
  </si>
  <si>
    <t>Hummer Curl</t>
  </si>
  <si>
    <t>النزول على ثانيتين</t>
  </si>
  <si>
    <t>اليوم 2- جزء سفلي</t>
  </si>
  <si>
    <t>الاثنين</t>
  </si>
  <si>
    <t>Bulgarian Split Squats</t>
  </si>
  <si>
    <t>Leg press 45 Degrees</t>
  </si>
  <si>
    <t>Laying Leg Curls</t>
  </si>
  <si>
    <t>ثبات ثانية بالاعلى والنزول على ثانيتين</t>
  </si>
  <si>
    <t>45 Degrees Glute Extensions</t>
  </si>
  <si>
    <t>Standing calves raises</t>
  </si>
  <si>
    <t>ثبات ثانية بالاسفل</t>
  </si>
  <si>
    <t>Modified crunches</t>
  </si>
  <si>
    <t>سوي اول تمرين يظهر لك</t>
  </si>
  <si>
    <t>يوم راحة</t>
  </si>
  <si>
    <t xml:space="preserve">اليوم 3- جزء علوي </t>
  </si>
  <si>
    <t>الاربعاء</t>
  </si>
  <si>
    <t>Incline Dumbbell Press</t>
  </si>
  <si>
    <t>Seated row upperback maggrip</t>
  </si>
  <si>
    <t>Chest Press Machine</t>
  </si>
  <si>
    <t>Lateral Raise</t>
  </si>
  <si>
    <t>Cable EZ Bar Curl</t>
  </si>
  <si>
    <t>اليوم 4- جزء سفلي</t>
  </si>
  <si>
    <t>الخميس</t>
  </si>
  <si>
    <t>Hack Squats</t>
  </si>
  <si>
    <t>Leg Curls seated</t>
  </si>
  <si>
    <t>ثبات ثانية بالاسفل والرجوع على ثانيتين</t>
  </si>
  <si>
    <t>Leg Extensions</t>
  </si>
  <si>
    <t>Hip abduction</t>
  </si>
  <si>
    <t>Seated Calf raises</t>
  </si>
  <si>
    <t>STANDING CABLE ROTATION</t>
  </si>
  <si>
    <t>12--15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</si>
  <si>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</si>
  <si>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</si>
  <si>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</si>
  <si>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</si>
  <si>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</si>
  <si>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</si>
  <si>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</si>
  <si>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</si>
  <si>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</si>
  <si>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</si>
  <si>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</si>
  <si>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</si>
  <si>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</si>
  <si>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</si>
  <si>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</si>
  <si>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</si>
  <si>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</si>
  <si>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</si>
  <si>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</si>
  <si>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</si>
  <si>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</si>
  <si>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</si>
  <si>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</si>
  <si>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</si>
  <si>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</si>
  <si>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</si>
  <si>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</si>
  <si>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</si>
  <si>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</si>
  <si>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</si>
  <si>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</si>
  <si>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</si>
  <si>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</si>
  <si>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</si>
  <si>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</si>
  <si>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</si>
  <si>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</si>
  <si>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</si>
  <si>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</si>
  <si>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</si>
  <si>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</si>
  <si>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</si>
  <si>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</si>
  <si>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</si>
  <si>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</si>
  <si>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</si>
  <si>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</si>
  <si>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</si>
  <si>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</si>
  <si>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</si>
  <si>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</si>
  <si>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</si>
  <si>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</si>
  <si>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</si>
  <si>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</si>
  <si>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</si>
  <si>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</si>
  <si>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</si>
  <si>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</si>
  <si>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</si>
  <si>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</si>
  <si>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</si>
  <si>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</si>
  <si>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</si>
  <si>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</si>
  <si>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</si>
  <si>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</si>
  <si>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</si>
  <si>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</si>
  <si>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</si>
  <si>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</si>
  <si>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اليوم 1- دفع</t>
  </si>
  <si>
    <t>Shoulder press</t>
  </si>
  <si>
    <t>Single Arm Lateral raises</t>
  </si>
  <si>
    <t>Plank</t>
  </si>
  <si>
    <t>15-50sec</t>
  </si>
  <si>
    <t>اليوم 2-فل بودي سحب</t>
  </si>
  <si>
    <t>Seated Cable Rows</t>
  </si>
  <si>
    <t>Dumbbell Curls</t>
  </si>
  <si>
    <t>Machine Rear delts</t>
  </si>
  <si>
    <t>كارديو</t>
  </si>
  <si>
    <t>15 دقيقة</t>
  </si>
  <si>
    <t>متوسطة</t>
  </si>
  <si>
    <t>اليوم 3- جزء علوي</t>
  </si>
  <si>
    <t>اربعاء</t>
  </si>
  <si>
    <t xml:space="preserve">Hammer Strength High Row </t>
  </si>
  <si>
    <t>Hammer Curl</t>
  </si>
  <si>
    <t>Dumbbell Glutes Bridge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</si>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</sst>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/d/yyyy"/>
    <numFmt numFmtId="167" formatCode="M/d/yyyy"/>
    <numFmt numFmtId="168" formatCode="m-d-yy"/>
  </numFmts>
  <fonts count="50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  <fill>
      <patternFill patternType="solid">
        <fgColor rgb="FF00FF00"/>
        <bgColor rgb="FF00FF00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1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vertical="center"/>
    </xf>
    <xf borderId="1" fillId="2" fontId="23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2" numFmtId="0" xfId="0" applyAlignment="1" applyFont="1">
      <alignment horizontal="center" vertical="center"/>
    </xf>
    <xf borderId="1" fillId="2" fontId="25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4" numFmtId="0" xfId="0" applyAlignment="1" applyBorder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15" fillId="2" fontId="29" numFmtId="0" xfId="0" applyAlignment="1" applyBorder="1" applyFont="1">
      <alignment horizontal="center" readingOrder="0" shrinkToFit="0" vertical="center" wrapText="0"/>
    </xf>
    <xf borderId="0" fillId="2" fontId="30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9" numFmtId="0" xfId="0" applyAlignment="1" applyFont="1">
      <alignment horizontal="center" readingOrder="0" shrinkToFit="0" vertical="center" wrapText="0"/>
    </xf>
    <xf borderId="0" fillId="2" fontId="31" numFmtId="0" xfId="0" applyAlignment="1" applyFont="1">
      <alignment horizontal="center" vertical="center"/>
    </xf>
    <xf borderId="0" fillId="2" fontId="31" numFmtId="166" xfId="0" applyAlignment="1" applyFont="1" applyNumberFormat="1">
      <alignment horizontal="center" readingOrder="0" vertical="center"/>
    </xf>
    <xf borderId="0" fillId="2" fontId="31" numFmtId="166" xfId="0" applyAlignment="1" applyFont="1" applyNumberFormat="1">
      <alignment horizontal="center" readingOrder="2" vertical="center"/>
    </xf>
    <xf borderId="4" fillId="2" fontId="27" numFmtId="0" xfId="0" applyAlignment="1" applyBorder="1" applyFont="1">
      <alignment horizontal="center" readingOrder="0" vertical="center"/>
    </xf>
    <xf borderId="0" fillId="2" fontId="32" numFmtId="166" xfId="0" applyAlignment="1" applyFont="1" applyNumberFormat="1">
      <alignment horizontal="center" readingOrder="0" vertical="center"/>
    </xf>
    <xf borderId="0" fillId="0" fontId="28" numFmtId="0" xfId="0" applyAlignment="1" applyFont="1">
      <alignment horizontal="center" vertical="center"/>
    </xf>
    <xf borderId="0" fillId="0" fontId="33" numFmtId="166" xfId="0" applyAlignment="1" applyFont="1" applyNumberForma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0" fontId="33" numFmtId="0" xfId="0" applyAlignment="1" applyFont="1">
      <alignment horizontal="center" vertical="center"/>
    </xf>
    <xf borderId="4" fillId="3" fontId="34" numFmtId="0" xfId="0" applyAlignment="1" applyBorder="1" applyFont="1">
      <alignment horizontal="center" readingOrder="0" vertical="center"/>
    </xf>
    <xf borderId="9" fillId="8" fontId="32" numFmtId="0" xfId="0" applyAlignment="1" applyBorder="1" applyFill="1" applyFont="1">
      <alignment horizontal="center" readingOrder="0" vertical="center"/>
    </xf>
    <xf borderId="4" fillId="7" fontId="32" numFmtId="0" xfId="0" applyAlignment="1" applyBorder="1" applyFont="1">
      <alignment horizontal="center" readingOrder="0" vertical="center"/>
    </xf>
    <xf borderId="0" fillId="2" fontId="35" numFmtId="0" xfId="0" applyAlignment="1" applyFont="1">
      <alignment horizontal="center" readingOrder="0" vertical="center"/>
    </xf>
    <xf borderId="0" fillId="2" fontId="32" numFmtId="0" xfId="0" applyAlignment="1" applyFont="1">
      <alignment horizontal="center" readingOrder="0" vertical="center"/>
    </xf>
    <xf borderId="4" fillId="7" fontId="32" numFmtId="0" xfId="0" applyAlignment="1" applyBorder="1" applyFont="1">
      <alignment horizontal="center" readingOrder="0" vertical="center"/>
    </xf>
    <xf borderId="4" fillId="3" fontId="36" numFmtId="0" xfId="0" applyAlignment="1" applyBorder="1" applyFont="1">
      <alignment horizontal="center" readingOrder="1" shrinkToFit="0" vertical="center" wrapText="0"/>
    </xf>
    <xf borderId="9" fillId="3" fontId="37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readingOrder="2" vertical="center"/>
    </xf>
    <xf borderId="0" fillId="2" fontId="37" numFmtId="0" xfId="0" applyAlignment="1" applyFont="1">
      <alignment horizontal="center" readingOrder="0" vertical="center"/>
    </xf>
    <xf borderId="4" fillId="3" fontId="37" numFmtId="0" xfId="0" applyAlignment="1" applyBorder="1" applyFont="1">
      <alignment horizontal="center" readingOrder="0" vertical="center"/>
    </xf>
    <xf borderId="9" fillId="8" fontId="38" numFmtId="0" xfId="0" applyAlignment="1" applyBorder="1" applyFont="1">
      <alignment horizontal="center" readingOrder="0" vertical="center"/>
    </xf>
    <xf borderId="9" fillId="0" fontId="39" numFmtId="16" xfId="0" applyAlignment="1" applyBorder="1" applyFont="1" applyNumberFormat="1">
      <alignment horizontal="center" vertical="center"/>
    </xf>
    <xf borderId="9" fillId="2" fontId="27" numFmtId="0" xfId="0" applyAlignment="1" applyBorder="1" applyFont="1">
      <alignment horizontal="center" readingOrder="0" vertical="center"/>
    </xf>
    <xf borderId="9" fillId="5" fontId="32" numFmtId="167" xfId="0" applyAlignment="1" applyBorder="1" applyFont="1" applyNumberFormat="1">
      <alignment horizontal="center" readingOrder="0" vertical="center"/>
    </xf>
    <xf borderId="9" fillId="7" fontId="27" numFmtId="4" xfId="0" applyAlignment="1" applyBorder="1" applyFont="1" applyNumberFormat="1">
      <alignment horizontal="center" readingOrder="0" vertical="center"/>
    </xf>
    <xf borderId="0" fillId="2" fontId="38" numFmtId="0" xfId="0" applyAlignment="1" applyFont="1">
      <alignment horizontal="center" readingOrder="0" vertical="center"/>
    </xf>
    <xf borderId="9" fillId="6" fontId="27" numFmtId="0" xfId="0" applyAlignment="1" applyBorder="1" applyFont="1">
      <alignment horizontal="center" readingOrder="0" vertical="center"/>
    </xf>
    <xf borderId="9" fillId="9" fontId="39" numFmtId="16" xfId="0" applyAlignment="1" applyBorder="1" applyFill="1" applyFont="1" applyNumberFormat="1">
      <alignment horizontal="center" vertical="center"/>
    </xf>
    <xf borderId="9" fillId="6" fontId="27" numFmtId="4" xfId="0" applyAlignment="1" applyBorder="1" applyFont="1" applyNumberFormat="1">
      <alignment horizontal="center" readingOrder="0" vertical="center"/>
    </xf>
    <xf borderId="9" fillId="6" fontId="27" numFmtId="49" xfId="0" applyAlignment="1" applyBorder="1" applyFont="1" applyNumberFormat="1">
      <alignment horizontal="center" readingOrder="0" vertical="center"/>
    </xf>
    <xf borderId="9" fillId="2" fontId="27" numFmtId="4" xfId="0" applyAlignment="1" applyBorder="1" applyFont="1" applyNumberFormat="1">
      <alignment horizontal="center" readingOrder="0" vertical="center"/>
    </xf>
    <xf borderId="9" fillId="2" fontId="27" numFmtId="49" xfId="0" applyAlignment="1" applyBorder="1" applyFont="1" applyNumberFormat="1">
      <alignment horizontal="center" readingOrder="0" vertical="center"/>
    </xf>
    <xf borderId="0" fillId="2" fontId="32" numFmtId="167" xfId="0" applyAlignment="1" applyFont="1" applyNumberFormat="1">
      <alignment horizontal="center" readingOrder="0" vertical="center"/>
    </xf>
    <xf borderId="9" fillId="7" fontId="27" numFmtId="49" xfId="0" applyAlignment="1" applyBorder="1" applyFont="1" applyNumberFormat="1">
      <alignment horizontal="center" readingOrder="0" vertical="center"/>
    </xf>
    <xf borderId="9" fillId="7" fontId="32" numFmtId="4" xfId="0" applyAlignment="1" applyBorder="1" applyFont="1" applyNumberFormat="1">
      <alignment horizontal="center" readingOrder="0" vertical="center"/>
    </xf>
    <xf borderId="9" fillId="10" fontId="40" numFmtId="0" xfId="0" applyAlignment="1" applyBorder="1" applyFill="1" applyFont="1">
      <alignment horizontal="center" readingOrder="0" vertical="center"/>
    </xf>
    <xf borderId="9" fillId="10" fontId="32" numFmtId="4" xfId="0" applyAlignment="1" applyBorder="1" applyFont="1" applyNumberFormat="1">
      <alignment horizontal="center" readingOrder="0" vertical="center"/>
    </xf>
    <xf borderId="0" fillId="2" fontId="40" numFmtId="0" xfId="0" applyAlignment="1" applyFont="1">
      <alignment horizontal="center" readingOrder="0" vertical="center"/>
    </xf>
    <xf borderId="0" fillId="2" fontId="32" numFmtId="0" xfId="0" applyAlignment="1" applyFont="1">
      <alignment horizontal="center" vertical="center"/>
    </xf>
    <xf borderId="9" fillId="7" fontId="27" numFmtId="0" xfId="0" applyAlignment="1" applyBorder="1" applyFont="1">
      <alignment horizontal="center" readingOrder="0" vertical="center"/>
    </xf>
    <xf borderId="4" fillId="4" fontId="34" numFmtId="0" xfId="0" applyAlignment="1" applyBorder="1" applyFont="1">
      <alignment horizontal="center" readingOrder="0" vertical="center"/>
    </xf>
    <xf borderId="9" fillId="8" fontId="27" numFmtId="0" xfId="0" applyAlignment="1" applyBorder="1" applyFont="1">
      <alignment horizontal="center" readingOrder="0" vertical="center"/>
    </xf>
    <xf borderId="9" fillId="7" fontId="27" numFmtId="0" xfId="0" applyAlignment="1" applyBorder="1" applyFont="1">
      <alignment horizontal="center" readingOrder="0" vertical="center"/>
    </xf>
    <xf borderId="4" fillId="3" fontId="41" numFmtId="0" xfId="0" applyAlignment="1" applyBorder="1" applyFont="1">
      <alignment horizontal="center" readingOrder="1" shrinkToFit="0" vertical="center" wrapText="0"/>
    </xf>
    <xf borderId="9" fillId="7" fontId="32" numFmtId="166" xfId="0" applyAlignment="1" applyBorder="1" applyFont="1" applyNumberFormat="1">
      <alignment horizontal="center" readingOrder="0" vertical="center"/>
    </xf>
    <xf borderId="6" fillId="2" fontId="31" numFmtId="0" xfId="0" applyAlignment="1" applyBorder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42" numFmtId="0" xfId="0" applyAlignment="1" applyBorder="1" applyFont="1">
      <alignment horizontal="center" readingOrder="0" vertical="center"/>
    </xf>
    <xf borderId="9" fillId="2" fontId="43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44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45" numFmtId="0" xfId="0" applyAlignment="1" applyBorder="1" applyFont="1">
      <alignment horizontal="center" readingOrder="0" vertical="center"/>
    </xf>
    <xf borderId="8" fillId="2" fontId="46" numFmtId="0" xfId="0" applyAlignment="1" applyBorder="1" applyFont="1">
      <alignment horizontal="center" vertical="center"/>
    </xf>
    <xf borderId="9" fillId="7" fontId="9" numFmtId="168" xfId="0" applyAlignment="1" applyBorder="1" applyFont="1" applyNumberFormat="1">
      <alignment horizontal="center" vertical="center"/>
    </xf>
    <xf borderId="4" fillId="7" fontId="9" numFmtId="168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47" numFmtId="0" xfId="0" applyAlignment="1" applyBorder="1" applyFont="1">
      <alignment horizontal="center" readingOrder="0" shrinkToFit="0" vertical="center" wrapText="0"/>
    </xf>
    <xf borderId="9" fillId="2" fontId="48" numFmtId="0" xfId="0" applyAlignment="1" applyBorder="1" applyFont="1">
      <alignment horizontal="center" shrinkToFit="0" vertical="center" wrapText="0"/>
    </xf>
    <xf borderId="9" fillId="7" fontId="1" numFmtId="168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49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11" fontId="26" numFmtId="0" xfId="0" applyAlignment="1" applyFill="1" applyFont="1">
      <alignment horizontal="center" readingOrder="0" vertical="center"/>
    </xf>
    <xf borderId="9" fillId="3" fontId="35" numFmtId="0" xfId="0" applyAlignment="1" applyBorder="1" applyFont="1">
      <alignment horizontal="center" readingOrder="0" vertical="center"/>
    </xf>
    <xf borderId="9" fillId="5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instagram.com/p/ClJq2kNAAv4/" TargetMode="External"/><Relationship Id="rId84" Type="http://schemas.openxmlformats.org/officeDocument/2006/relationships/hyperlink" Target="https://www.youtube.com/watch?v=2b97cvyH9sE&amp;t=13s&amp;ab_channel=ScottHermanFitness" TargetMode="External"/><Relationship Id="rId83" Type="http://schemas.openxmlformats.org/officeDocument/2006/relationships/hyperlink" Target="https://www.youtube.com/watch?v=2b97cvyH9sE&amp;t=13s&amp;ab_channel=ScottHermanFitness" TargetMode="External"/><Relationship Id="rId42" Type="http://schemas.openxmlformats.org/officeDocument/2006/relationships/hyperlink" Target="https://youtu.be/GAQ-oohMhog?t=20" TargetMode="External"/><Relationship Id="rId86" Type="http://schemas.openxmlformats.org/officeDocument/2006/relationships/hyperlink" Target="https://youtu.be/_LxQH4o7COk?t=5" TargetMode="External"/><Relationship Id="rId41" Type="http://schemas.openxmlformats.org/officeDocument/2006/relationships/hyperlink" Target="https://youtu.be/GAQ-oohMhog?t=20" TargetMode="External"/><Relationship Id="rId85" Type="http://schemas.openxmlformats.org/officeDocument/2006/relationships/hyperlink" Target="https://youtu.be/_LxQH4o7COk?t=5" TargetMode="External"/><Relationship Id="rId44" Type="http://schemas.openxmlformats.org/officeDocument/2006/relationships/hyperlink" Target="https://youtu.be/GAQ-oohMhog?t=20" TargetMode="External"/><Relationship Id="rId88" Type="http://schemas.openxmlformats.org/officeDocument/2006/relationships/hyperlink" Target="https://youtu.be/_LxQH4o7COk?t=5" TargetMode="External"/><Relationship Id="rId43" Type="http://schemas.openxmlformats.org/officeDocument/2006/relationships/hyperlink" Target="https://youtu.be/GAQ-oohMhog?t=20" TargetMode="External"/><Relationship Id="rId87" Type="http://schemas.openxmlformats.org/officeDocument/2006/relationships/hyperlink" Target="https://youtu.be/_LxQH4o7COk?t=5" TargetMode="External"/><Relationship Id="rId46" Type="http://schemas.openxmlformats.org/officeDocument/2006/relationships/hyperlink" Target="https://youtu.be/JIZy6qGTL2s?t=88" TargetMode="External"/><Relationship Id="rId45" Type="http://schemas.openxmlformats.org/officeDocument/2006/relationships/hyperlink" Target="https://youtu.be/JIZy6qGTL2s?t=88" TargetMode="External"/><Relationship Id="rId89" Type="http://schemas.openxmlformats.org/officeDocument/2006/relationships/hyperlink" Target="https://www.youtube.com/watch?v=61ara6KJdrU" TargetMode="External"/><Relationship Id="rId80" Type="http://schemas.openxmlformats.org/officeDocument/2006/relationships/hyperlink" Target="https://youtu.be/vRQpiTwUeyM?t=14" TargetMode="External"/><Relationship Id="rId82" Type="http://schemas.openxmlformats.org/officeDocument/2006/relationships/hyperlink" Target="https://www.youtube.com/watch?v=2b97cvyH9sE&amp;t=13s&amp;ab_channel=ScottHermanFitness" TargetMode="External"/><Relationship Id="rId81" Type="http://schemas.openxmlformats.org/officeDocument/2006/relationships/hyperlink" Target="https://www.youtube.com/watch?v=2b97cvyH9sE&amp;t=13s&amp;ab_channel=ScottHermanFitness" TargetMode="External"/><Relationship Id="rId1" Type="http://schemas.openxmlformats.org/officeDocument/2006/relationships/hyperlink" Target="https://youtu.be/5n9TlaoRD58?t=196" TargetMode="External"/><Relationship Id="rId2" Type="http://schemas.openxmlformats.org/officeDocument/2006/relationships/hyperlink" Target="https://youtu.be/5n9TlaoRD58?t=196" TargetMode="External"/><Relationship Id="rId3" Type="http://schemas.openxmlformats.org/officeDocument/2006/relationships/hyperlink" Target="https://youtu.be/5n9TlaoRD58?t=196" TargetMode="External"/><Relationship Id="rId4" Type="http://schemas.openxmlformats.org/officeDocument/2006/relationships/hyperlink" Target="https://youtu.be/5n9TlaoRD58?t=196" TargetMode="External"/><Relationship Id="rId9" Type="http://schemas.openxmlformats.org/officeDocument/2006/relationships/hyperlink" Target="https://youtu.be/ig0NyNlSce4?t=57" TargetMode="External"/><Relationship Id="rId48" Type="http://schemas.openxmlformats.org/officeDocument/2006/relationships/hyperlink" Target="https://youtu.be/JIZy6qGTL2s?t=88" TargetMode="External"/><Relationship Id="rId47" Type="http://schemas.openxmlformats.org/officeDocument/2006/relationships/hyperlink" Target="https://youtu.be/JIZy6qGTL2s?t=88" TargetMode="External"/><Relationship Id="rId49" Type="http://schemas.openxmlformats.org/officeDocument/2006/relationships/hyperlink" Target="https://youtu.be/0G2_XV7slIg?t=179" TargetMode="External"/><Relationship Id="rId5" Type="http://schemas.openxmlformats.org/officeDocument/2006/relationships/hyperlink" Target="https://youtu.be/CAwf7n6Luuc?t=73" TargetMode="External"/><Relationship Id="rId6" Type="http://schemas.openxmlformats.org/officeDocument/2006/relationships/hyperlink" Target="https://youtu.be/CAwf7n6Luuc?t=73" TargetMode="External"/><Relationship Id="rId7" Type="http://schemas.openxmlformats.org/officeDocument/2006/relationships/hyperlink" Target="https://youtu.be/CAwf7n6Luuc?t=73" TargetMode="External"/><Relationship Id="rId8" Type="http://schemas.openxmlformats.org/officeDocument/2006/relationships/hyperlink" Target="https://youtu.be/CAwf7n6Luuc?t=73" TargetMode="External"/><Relationship Id="rId73" Type="http://schemas.openxmlformats.org/officeDocument/2006/relationships/hyperlink" Target="https://youtu.be/ELOCsoDSmrg?t=18" TargetMode="External"/><Relationship Id="rId72" Type="http://schemas.openxmlformats.org/officeDocument/2006/relationships/hyperlink" Target="https://www.youtube.com/watch?v=0tn5K9NlCfo" TargetMode="External"/><Relationship Id="rId31" Type="http://schemas.openxmlformats.org/officeDocument/2006/relationships/hyperlink" Target="https://youtu.be/Oxy31rMrTeo?t=47" TargetMode="External"/><Relationship Id="rId75" Type="http://schemas.openxmlformats.org/officeDocument/2006/relationships/hyperlink" Target="https://youtu.be/ELOCsoDSmrg?t=18" TargetMode="External"/><Relationship Id="rId30" Type="http://schemas.openxmlformats.org/officeDocument/2006/relationships/hyperlink" Target="https://youtu.be/Oxy31rMrTeo?t=47" TargetMode="External"/><Relationship Id="rId74" Type="http://schemas.openxmlformats.org/officeDocument/2006/relationships/hyperlink" Target="https://youtu.be/ELOCsoDSmrg?t=18" TargetMode="External"/><Relationship Id="rId33" Type="http://schemas.openxmlformats.org/officeDocument/2006/relationships/hyperlink" Target="https://youtu.be/1Tq3QdYUuHs?t=55" TargetMode="External"/><Relationship Id="rId77" Type="http://schemas.openxmlformats.org/officeDocument/2006/relationships/hyperlink" Target="https://youtu.be/vRQpiTwUeyM?t=14" TargetMode="External"/><Relationship Id="rId32" Type="http://schemas.openxmlformats.org/officeDocument/2006/relationships/hyperlink" Target="https://youtu.be/Oxy31rMrTeo?t=47" TargetMode="External"/><Relationship Id="rId76" Type="http://schemas.openxmlformats.org/officeDocument/2006/relationships/hyperlink" Target="https://youtu.be/ELOCsoDSmrg?t=18" TargetMode="External"/><Relationship Id="rId35" Type="http://schemas.openxmlformats.org/officeDocument/2006/relationships/hyperlink" Target="https://youtu.be/1Tq3QdYUuHs?t=55" TargetMode="External"/><Relationship Id="rId79" Type="http://schemas.openxmlformats.org/officeDocument/2006/relationships/hyperlink" Target="https://youtu.be/vRQpiTwUeyM?t=14" TargetMode="External"/><Relationship Id="rId34" Type="http://schemas.openxmlformats.org/officeDocument/2006/relationships/hyperlink" Target="https://youtu.be/1Tq3QdYUuHs?t=55" TargetMode="External"/><Relationship Id="rId78" Type="http://schemas.openxmlformats.org/officeDocument/2006/relationships/hyperlink" Target="https://youtu.be/vRQpiTwUeyM?t=14" TargetMode="External"/><Relationship Id="rId71" Type="http://schemas.openxmlformats.org/officeDocument/2006/relationships/hyperlink" Target="https://www.youtube.com/watch?v=0tn5K9NlCfo" TargetMode="External"/><Relationship Id="rId70" Type="http://schemas.openxmlformats.org/officeDocument/2006/relationships/hyperlink" Target="https://www.youtube.com/watch?v=0tn5K9NlCfo" TargetMode="External"/><Relationship Id="rId37" Type="http://schemas.openxmlformats.org/officeDocument/2006/relationships/hyperlink" Target="https://www.instagram.com/p/ClJq2kNAAv4/" TargetMode="External"/><Relationship Id="rId36" Type="http://schemas.openxmlformats.org/officeDocument/2006/relationships/hyperlink" Target="https://youtu.be/1Tq3QdYUuHs?t=55" TargetMode="External"/><Relationship Id="rId39" Type="http://schemas.openxmlformats.org/officeDocument/2006/relationships/hyperlink" Target="https://www.instagram.com/p/ClJq2kNAAv4/" TargetMode="External"/><Relationship Id="rId38" Type="http://schemas.openxmlformats.org/officeDocument/2006/relationships/hyperlink" Target="https://www.instagram.com/p/ClJq2kNAAv4/" TargetMode="External"/><Relationship Id="rId62" Type="http://schemas.openxmlformats.org/officeDocument/2006/relationships/hyperlink" Target="https://youtube.com/shorts/JxQPsGSTPA8?feature=share" TargetMode="External"/><Relationship Id="rId61" Type="http://schemas.openxmlformats.org/officeDocument/2006/relationships/hyperlink" Target="https://youtube.com/shorts/JxQPsGSTPA8?feature=share" TargetMode="External"/><Relationship Id="rId20" Type="http://schemas.openxmlformats.org/officeDocument/2006/relationships/hyperlink" Target="https://www.youtube.com/watch?v=6Fzep104f0s" TargetMode="External"/><Relationship Id="rId64" Type="http://schemas.openxmlformats.org/officeDocument/2006/relationships/hyperlink" Target="https://youtube.com/shorts/JxQPsGSTPA8?feature=share" TargetMode="External"/><Relationship Id="rId63" Type="http://schemas.openxmlformats.org/officeDocument/2006/relationships/hyperlink" Target="https://youtube.com/shorts/JxQPsGSTPA8?feature=share" TargetMode="External"/><Relationship Id="rId22" Type="http://schemas.openxmlformats.org/officeDocument/2006/relationships/hyperlink" Target="https://www.youtube.com/watch?v=zC3nLlEvin4" TargetMode="External"/><Relationship Id="rId66" Type="http://schemas.openxmlformats.org/officeDocument/2006/relationships/hyperlink" Target="https://youtu.be/N2k3qcs0WLQ?si=Ew5yaxeOV7IzHcwz" TargetMode="External"/><Relationship Id="rId21" Type="http://schemas.openxmlformats.org/officeDocument/2006/relationships/hyperlink" Target="https://www.youtube.com/watch?v=zC3nLlEvin4" TargetMode="External"/><Relationship Id="rId65" Type="http://schemas.openxmlformats.org/officeDocument/2006/relationships/hyperlink" Target="https://youtu.be/N2k3qcs0WLQ?si=Ew5yaxeOV7IzHcwz" TargetMode="External"/><Relationship Id="rId24" Type="http://schemas.openxmlformats.org/officeDocument/2006/relationships/hyperlink" Target="https://www.youtube.com/watch?v=zC3nLlEvin4" TargetMode="External"/><Relationship Id="rId68" Type="http://schemas.openxmlformats.org/officeDocument/2006/relationships/hyperlink" Target="https://youtu.be/N2k3qcs0WLQ?si=Ew5yaxeOV7IzHcwz" TargetMode="External"/><Relationship Id="rId23" Type="http://schemas.openxmlformats.org/officeDocument/2006/relationships/hyperlink" Target="https://www.youtube.com/watch?v=zC3nLlEvin4" TargetMode="External"/><Relationship Id="rId67" Type="http://schemas.openxmlformats.org/officeDocument/2006/relationships/hyperlink" Target="https://youtu.be/N2k3qcs0WLQ?si=Ew5yaxeOV7IzHcwz" TargetMode="External"/><Relationship Id="rId60" Type="http://schemas.openxmlformats.org/officeDocument/2006/relationships/hyperlink" Target="https://youtu.be/_RHM6c8M_ws?t=54" TargetMode="External"/><Relationship Id="rId26" Type="http://schemas.openxmlformats.org/officeDocument/2006/relationships/hyperlink" Target="https://www.youtube.com/shorts/uODWo4YqbT8" TargetMode="External"/><Relationship Id="rId25" Type="http://schemas.openxmlformats.org/officeDocument/2006/relationships/hyperlink" Target="https://www.youtube.com/shorts/uODWo4YqbT8" TargetMode="External"/><Relationship Id="rId69" Type="http://schemas.openxmlformats.org/officeDocument/2006/relationships/hyperlink" Target="https://www.youtube.com/watch?v=0tn5K9NlCfo" TargetMode="External"/><Relationship Id="rId28" Type="http://schemas.openxmlformats.org/officeDocument/2006/relationships/hyperlink" Target="https://www.youtube.com/shorts/uODWo4YqbT8" TargetMode="External"/><Relationship Id="rId27" Type="http://schemas.openxmlformats.org/officeDocument/2006/relationships/hyperlink" Target="https://www.youtube.com/shorts/uODWo4YqbT8" TargetMode="External"/><Relationship Id="rId29" Type="http://schemas.openxmlformats.org/officeDocument/2006/relationships/hyperlink" Target="https://youtu.be/Oxy31rMrTeo?t=47" TargetMode="External"/><Relationship Id="rId51" Type="http://schemas.openxmlformats.org/officeDocument/2006/relationships/hyperlink" Target="https://youtu.be/0G2_XV7slIg?t=179" TargetMode="External"/><Relationship Id="rId95" Type="http://schemas.openxmlformats.org/officeDocument/2006/relationships/hyperlink" Target="https://www.youtube.com/watch?v=0lEADrqPPNM" TargetMode="External"/><Relationship Id="rId50" Type="http://schemas.openxmlformats.org/officeDocument/2006/relationships/hyperlink" Target="https://youtu.be/0G2_XV7slIg?t=179" TargetMode="External"/><Relationship Id="rId94" Type="http://schemas.openxmlformats.org/officeDocument/2006/relationships/hyperlink" Target="https://www.youtube.com/shorts/5MNZ2x9Qzsw" TargetMode="External"/><Relationship Id="rId53" Type="http://schemas.openxmlformats.org/officeDocument/2006/relationships/hyperlink" Target="https://www.youtube.com/shorts/Isb8D3s37zc" TargetMode="External"/><Relationship Id="rId52" Type="http://schemas.openxmlformats.org/officeDocument/2006/relationships/hyperlink" Target="https://youtu.be/0G2_XV7slIg?t=179" TargetMode="External"/><Relationship Id="rId96" Type="http://schemas.openxmlformats.org/officeDocument/2006/relationships/drawing" Target="../drawings/drawing1.xml"/><Relationship Id="rId11" Type="http://schemas.openxmlformats.org/officeDocument/2006/relationships/hyperlink" Target="https://youtu.be/ig0NyNlSce4?t=57" TargetMode="External"/><Relationship Id="rId55" Type="http://schemas.openxmlformats.org/officeDocument/2006/relationships/hyperlink" Target="https://www.youtube.com/shorts/Isb8D3s37zc" TargetMode="External"/><Relationship Id="rId10" Type="http://schemas.openxmlformats.org/officeDocument/2006/relationships/hyperlink" Target="https://youtu.be/ig0NyNlSce4?t=57" TargetMode="External"/><Relationship Id="rId54" Type="http://schemas.openxmlformats.org/officeDocument/2006/relationships/hyperlink" Target="https://www.youtube.com/shorts/Isb8D3s37zc" TargetMode="External"/><Relationship Id="rId13" Type="http://schemas.openxmlformats.org/officeDocument/2006/relationships/hyperlink" Target="https://youtu.be/BeTZjAneZpk?t=130" TargetMode="External"/><Relationship Id="rId57" Type="http://schemas.openxmlformats.org/officeDocument/2006/relationships/hyperlink" Target="https://youtu.be/_RHM6c8M_ws?t=54" TargetMode="External"/><Relationship Id="rId12" Type="http://schemas.openxmlformats.org/officeDocument/2006/relationships/hyperlink" Target="https://youtu.be/ig0NyNlSce4?t=57" TargetMode="External"/><Relationship Id="rId56" Type="http://schemas.openxmlformats.org/officeDocument/2006/relationships/hyperlink" Target="https://www.youtube.com/shorts/Isb8D3s37zc" TargetMode="External"/><Relationship Id="rId91" Type="http://schemas.openxmlformats.org/officeDocument/2006/relationships/hyperlink" Target="https://www.youtube.com/watch?v=61ara6KJdrU" TargetMode="External"/><Relationship Id="rId90" Type="http://schemas.openxmlformats.org/officeDocument/2006/relationships/hyperlink" Target="https://www.youtube.com/watch?v=61ara6KJdrU" TargetMode="External"/><Relationship Id="rId93" Type="http://schemas.openxmlformats.org/officeDocument/2006/relationships/hyperlink" Target="https://www.youtube.com/watch?v=uW3-Ue07H0M" TargetMode="External"/><Relationship Id="rId92" Type="http://schemas.openxmlformats.org/officeDocument/2006/relationships/hyperlink" Target="https://www.youtube.com/watch?v=61ara6KJdrU" TargetMode="External"/><Relationship Id="rId15" Type="http://schemas.openxmlformats.org/officeDocument/2006/relationships/hyperlink" Target="https://youtu.be/BeTZjAneZpk?t=130" TargetMode="External"/><Relationship Id="rId59" Type="http://schemas.openxmlformats.org/officeDocument/2006/relationships/hyperlink" Target="https://youtu.be/_RHM6c8M_ws?t=54" TargetMode="External"/><Relationship Id="rId14" Type="http://schemas.openxmlformats.org/officeDocument/2006/relationships/hyperlink" Target="https://youtu.be/BeTZjAneZpk?t=130" TargetMode="External"/><Relationship Id="rId58" Type="http://schemas.openxmlformats.org/officeDocument/2006/relationships/hyperlink" Target="https://youtu.be/_RHM6c8M_ws?t=5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youtu.be/BeTZjAneZpk?t=130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3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8.75"/>
    <col customWidth="1" min="22" max="22" width="20.88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1.1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6.13"/>
    <col customWidth="1" min="46" max="46" width="13.88"/>
    <col customWidth="1" min="47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 t="s">
        <v>15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 t="s">
        <v>15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 t="s">
        <v>15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 t="s">
        <v>15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16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16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16</v>
      </c>
      <c r="AB13" s="27">
        <v>3.0</v>
      </c>
      <c r="AC13" s="28" t="s">
        <v>17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16</v>
      </c>
      <c r="AN13" s="27">
        <v>3.0</v>
      </c>
      <c r="AO13" s="28" t="s">
        <v>17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18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26" t="s">
        <v>18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26" t="s">
        <v>18</v>
      </c>
      <c r="AB14" s="27">
        <v>3.0</v>
      </c>
      <c r="AC14" s="28" t="s">
        <v>17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26" t="s">
        <v>18</v>
      </c>
      <c r="AN14" s="27">
        <v>3.0</v>
      </c>
      <c r="AO14" s="28" t="s">
        <v>17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19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26" t="s">
        <v>19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26" t="s">
        <v>19</v>
      </c>
      <c r="AB15" s="27">
        <v>3.0</v>
      </c>
      <c r="AC15" s="27" t="s">
        <v>17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26" t="s">
        <v>19</v>
      </c>
      <c r="AN15" s="27">
        <v>3.0</v>
      </c>
      <c r="AO15" s="27" t="s">
        <v>17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26" t="s">
        <v>20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20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26" t="s">
        <v>20</v>
      </c>
      <c r="AB16" s="27">
        <v>3.0</v>
      </c>
      <c r="AC16" s="27" t="s">
        <v>17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20</v>
      </c>
      <c r="AN16" s="27">
        <v>3.0</v>
      </c>
      <c r="AO16" s="27" t="s">
        <v>17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"/>
      <c r="C17" s="26" t="s">
        <v>21</v>
      </c>
      <c r="D17" s="27">
        <v>3.0</v>
      </c>
      <c r="E17" s="27" t="s">
        <v>17</v>
      </c>
      <c r="F17" s="28">
        <v>8.0</v>
      </c>
      <c r="G17" s="30"/>
      <c r="H17" s="30"/>
      <c r="I17" s="31" t="s">
        <v>22</v>
      </c>
      <c r="J17" s="23"/>
      <c r="K17" s="31"/>
      <c r="L17" s="23"/>
      <c r="M17" s="32"/>
      <c r="N17" s="1"/>
      <c r="O17" s="26" t="s">
        <v>21</v>
      </c>
      <c r="P17" s="27">
        <v>3.0</v>
      </c>
      <c r="Q17" s="27" t="s">
        <v>17</v>
      </c>
      <c r="R17" s="28">
        <v>8.0</v>
      </c>
      <c r="S17" s="30"/>
      <c r="T17" s="30"/>
      <c r="U17" s="31" t="s">
        <v>22</v>
      </c>
      <c r="V17" s="23"/>
      <c r="W17" s="31"/>
      <c r="X17" s="23"/>
      <c r="Y17" s="24"/>
      <c r="Z17" s="1"/>
      <c r="AA17" s="26" t="s">
        <v>21</v>
      </c>
      <c r="AB17" s="27">
        <v>3.0</v>
      </c>
      <c r="AC17" s="27" t="s">
        <v>17</v>
      </c>
      <c r="AD17" s="28">
        <v>8.0</v>
      </c>
      <c r="AE17" s="30"/>
      <c r="AF17" s="30"/>
      <c r="AG17" s="31" t="s">
        <v>22</v>
      </c>
      <c r="AH17" s="23"/>
      <c r="AI17" s="31"/>
      <c r="AJ17" s="23"/>
      <c r="AK17" s="33"/>
      <c r="AL17" s="1"/>
      <c r="AM17" s="26" t="s">
        <v>21</v>
      </c>
      <c r="AN17" s="27">
        <v>3.0</v>
      </c>
      <c r="AO17" s="27" t="s">
        <v>17</v>
      </c>
      <c r="AP17" s="28">
        <v>8.0</v>
      </c>
      <c r="AQ17" s="30"/>
      <c r="AR17" s="30"/>
      <c r="AS17" s="31" t="s">
        <v>22</v>
      </c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5"/>
      <c r="AX18" s="35"/>
    </row>
    <row r="19" ht="20.25" customHeight="1">
      <c r="A19" s="1"/>
      <c r="B19" s="4"/>
      <c r="C19" s="12" t="s">
        <v>23</v>
      </c>
      <c r="D19" s="36"/>
      <c r="E19" s="36"/>
      <c r="F19" s="1"/>
      <c r="G19" s="1"/>
      <c r="H19" s="1"/>
      <c r="I19" s="1"/>
      <c r="J19" s="1"/>
      <c r="K19" s="1"/>
      <c r="L19" s="1"/>
      <c r="M19" s="5"/>
      <c r="N19" s="4"/>
      <c r="O19" s="12" t="s">
        <v>23</v>
      </c>
      <c r="P19" s="36"/>
      <c r="Q19" s="36"/>
      <c r="R19" s="1"/>
      <c r="S19" s="1"/>
      <c r="T19" s="1"/>
      <c r="U19" s="1"/>
      <c r="V19" s="1"/>
      <c r="W19" s="1"/>
      <c r="X19" s="1"/>
      <c r="Y19" s="24"/>
      <c r="Z19" s="4"/>
      <c r="AA19" s="12" t="s">
        <v>23</v>
      </c>
      <c r="AB19" s="36"/>
      <c r="AC19" s="36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23</v>
      </c>
      <c r="AN19" s="36"/>
      <c r="AO19" s="36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24</v>
      </c>
      <c r="C20" s="37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24</v>
      </c>
      <c r="O20" s="37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12" t="s">
        <v>24</v>
      </c>
      <c r="AA20" s="37" t="s">
        <v>6</v>
      </c>
      <c r="AB20" s="21" t="s">
        <v>7</v>
      </c>
      <c r="AC20" s="21" t="s">
        <v>8</v>
      </c>
      <c r="AD20" s="20" t="s">
        <v>9</v>
      </c>
      <c r="AE20" s="21" t="s">
        <v>10</v>
      </c>
      <c r="AF20" s="21" t="s">
        <v>11</v>
      </c>
      <c r="AG20" s="22" t="s">
        <v>12</v>
      </c>
      <c r="AH20" s="23"/>
      <c r="AI20" s="22" t="s">
        <v>13</v>
      </c>
      <c r="AJ20" s="23"/>
      <c r="AK20" s="33"/>
      <c r="AL20" s="12" t="s">
        <v>24</v>
      </c>
      <c r="AM20" s="37" t="s">
        <v>6</v>
      </c>
      <c r="AN20" s="21" t="s">
        <v>7</v>
      </c>
      <c r="AO20" s="21" t="s">
        <v>8</v>
      </c>
      <c r="AP20" s="20" t="s">
        <v>9</v>
      </c>
      <c r="AQ20" s="21" t="s">
        <v>10</v>
      </c>
      <c r="AR20" s="21" t="s">
        <v>11</v>
      </c>
      <c r="AS20" s="22" t="s">
        <v>12</v>
      </c>
      <c r="AT20" s="23"/>
      <c r="AU20" s="22" t="s">
        <v>13</v>
      </c>
      <c r="AV20" s="23"/>
      <c r="AW20" s="25"/>
      <c r="AX20" s="25"/>
    </row>
    <row r="21" ht="20.25" customHeight="1">
      <c r="A21" s="4"/>
      <c r="B21" s="1"/>
      <c r="C21" s="26" t="s">
        <v>25</v>
      </c>
      <c r="D21" s="38">
        <v>3.0</v>
      </c>
      <c r="E21" s="39" t="s">
        <v>17</v>
      </c>
      <c r="F21" s="39">
        <v>8.0</v>
      </c>
      <c r="G21" s="40"/>
      <c r="H21" s="41"/>
      <c r="I21" s="31"/>
      <c r="J21" s="23"/>
      <c r="K21" s="31"/>
      <c r="L21" s="23"/>
      <c r="M21" s="17"/>
      <c r="N21" s="1"/>
      <c r="O21" s="26" t="s">
        <v>25</v>
      </c>
      <c r="P21" s="38">
        <v>3.0</v>
      </c>
      <c r="Q21" s="39" t="s">
        <v>17</v>
      </c>
      <c r="R21" s="39">
        <v>8.0</v>
      </c>
      <c r="S21" s="40"/>
      <c r="T21" s="41"/>
      <c r="U21" s="31"/>
      <c r="V21" s="23"/>
      <c r="W21" s="31"/>
      <c r="X21" s="23"/>
      <c r="Y21" s="1"/>
      <c r="Z21" s="1"/>
      <c r="AA21" s="26" t="s">
        <v>25</v>
      </c>
      <c r="AB21" s="38">
        <v>3.0</v>
      </c>
      <c r="AC21" s="39" t="s">
        <v>17</v>
      </c>
      <c r="AD21" s="39">
        <v>8.0</v>
      </c>
      <c r="AE21" s="40"/>
      <c r="AF21" s="41"/>
      <c r="AG21" s="31"/>
      <c r="AH21" s="23"/>
      <c r="AI21" s="31"/>
      <c r="AJ21" s="23"/>
      <c r="AK21" s="33"/>
      <c r="AL21" s="1"/>
      <c r="AM21" s="26" t="s">
        <v>25</v>
      </c>
      <c r="AN21" s="38">
        <v>3.0</v>
      </c>
      <c r="AO21" s="39" t="s">
        <v>17</v>
      </c>
      <c r="AP21" s="39">
        <v>8.0</v>
      </c>
      <c r="AQ21" s="40"/>
      <c r="AR21" s="41"/>
      <c r="AS21" s="31"/>
      <c r="AT21" s="23"/>
      <c r="AU21" s="31"/>
      <c r="AV21" s="23"/>
      <c r="AW21" s="34"/>
      <c r="AX21" s="34"/>
    </row>
    <row r="22" ht="20.25" customHeight="1">
      <c r="A22" s="1"/>
      <c r="B22" s="1"/>
      <c r="C22" s="26" t="s">
        <v>26</v>
      </c>
      <c r="D22" s="38">
        <v>3.0</v>
      </c>
      <c r="E22" s="39" t="s">
        <v>17</v>
      </c>
      <c r="F22" s="39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26</v>
      </c>
      <c r="P22" s="38">
        <v>3.0</v>
      </c>
      <c r="Q22" s="39" t="s">
        <v>17</v>
      </c>
      <c r="R22" s="39">
        <v>8.0</v>
      </c>
      <c r="S22" s="30"/>
      <c r="T22" s="30"/>
      <c r="U22" s="31"/>
      <c r="V22" s="23"/>
      <c r="W22" s="31"/>
      <c r="X22" s="23"/>
      <c r="Y22" s="24"/>
      <c r="Z22" s="1"/>
      <c r="AA22" s="26" t="s">
        <v>26</v>
      </c>
      <c r="AB22" s="38">
        <v>3.0</v>
      </c>
      <c r="AC22" s="39" t="s">
        <v>17</v>
      </c>
      <c r="AD22" s="39">
        <v>8.0</v>
      </c>
      <c r="AE22" s="30"/>
      <c r="AF22" s="30"/>
      <c r="AG22" s="31"/>
      <c r="AH22" s="23"/>
      <c r="AI22" s="31"/>
      <c r="AJ22" s="23"/>
      <c r="AK22" s="33"/>
      <c r="AL22" s="1"/>
      <c r="AM22" s="26" t="s">
        <v>26</v>
      </c>
      <c r="AN22" s="38">
        <v>3.0</v>
      </c>
      <c r="AO22" s="39" t="s">
        <v>17</v>
      </c>
      <c r="AP22" s="39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26" t="s">
        <v>27</v>
      </c>
      <c r="D23" s="38">
        <v>3.0</v>
      </c>
      <c r="E23" s="39" t="s">
        <v>17</v>
      </c>
      <c r="F23" s="39">
        <v>8.0</v>
      </c>
      <c r="G23" s="30"/>
      <c r="H23" s="30"/>
      <c r="I23" s="31" t="s">
        <v>28</v>
      </c>
      <c r="J23" s="23"/>
      <c r="K23" s="31"/>
      <c r="L23" s="23"/>
      <c r="M23" s="32"/>
      <c r="N23" s="1"/>
      <c r="O23" s="26" t="s">
        <v>27</v>
      </c>
      <c r="P23" s="38">
        <v>3.0</v>
      </c>
      <c r="Q23" s="39" t="s">
        <v>17</v>
      </c>
      <c r="R23" s="39">
        <v>8.0</v>
      </c>
      <c r="S23" s="30"/>
      <c r="T23" s="30"/>
      <c r="U23" s="31" t="s">
        <v>28</v>
      </c>
      <c r="V23" s="23"/>
      <c r="W23" s="31"/>
      <c r="X23" s="23"/>
      <c r="Y23" s="24"/>
      <c r="Z23" s="1"/>
      <c r="AA23" s="26" t="s">
        <v>27</v>
      </c>
      <c r="AB23" s="38">
        <v>3.0</v>
      </c>
      <c r="AC23" s="39" t="s">
        <v>17</v>
      </c>
      <c r="AD23" s="39">
        <v>8.0</v>
      </c>
      <c r="AE23" s="30"/>
      <c r="AF23" s="30"/>
      <c r="AG23" s="31" t="s">
        <v>28</v>
      </c>
      <c r="AH23" s="23"/>
      <c r="AI23" s="31"/>
      <c r="AJ23" s="23"/>
      <c r="AK23" s="33"/>
      <c r="AL23" s="1"/>
      <c r="AM23" s="26" t="s">
        <v>27</v>
      </c>
      <c r="AN23" s="38">
        <v>3.0</v>
      </c>
      <c r="AO23" s="39" t="s">
        <v>17</v>
      </c>
      <c r="AP23" s="39">
        <v>8.0</v>
      </c>
      <c r="AQ23" s="30"/>
      <c r="AR23" s="30"/>
      <c r="AS23" s="31" t="s">
        <v>28</v>
      </c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29</v>
      </c>
      <c r="D24" s="38">
        <v>3.0</v>
      </c>
      <c r="E24" s="39" t="s">
        <v>17</v>
      </c>
      <c r="F24" s="39">
        <v>8.0</v>
      </c>
      <c r="G24" s="30"/>
      <c r="H24" s="30"/>
      <c r="I24" s="31"/>
      <c r="J24" s="23"/>
      <c r="K24" s="31"/>
      <c r="L24" s="23"/>
      <c r="M24" s="32"/>
      <c r="N24" s="1"/>
      <c r="O24" s="26" t="s">
        <v>29</v>
      </c>
      <c r="P24" s="38">
        <v>3.0</v>
      </c>
      <c r="Q24" s="39" t="s">
        <v>17</v>
      </c>
      <c r="R24" s="39">
        <v>8.0</v>
      </c>
      <c r="S24" s="30"/>
      <c r="T24" s="30"/>
      <c r="U24" s="31"/>
      <c r="V24" s="23"/>
      <c r="W24" s="31"/>
      <c r="X24" s="23"/>
      <c r="Y24" s="24"/>
      <c r="Z24" s="1"/>
      <c r="AA24" s="26" t="s">
        <v>29</v>
      </c>
      <c r="AB24" s="38">
        <v>3.0</v>
      </c>
      <c r="AC24" s="39" t="s">
        <v>17</v>
      </c>
      <c r="AD24" s="39">
        <v>8.0</v>
      </c>
      <c r="AE24" s="30"/>
      <c r="AF24" s="30"/>
      <c r="AG24" s="31"/>
      <c r="AH24" s="23"/>
      <c r="AI24" s="31"/>
      <c r="AJ24" s="23"/>
      <c r="AK24" s="33"/>
      <c r="AL24" s="1"/>
      <c r="AM24" s="26" t="s">
        <v>29</v>
      </c>
      <c r="AN24" s="38">
        <v>3.0</v>
      </c>
      <c r="AO24" s="39" t="s">
        <v>17</v>
      </c>
      <c r="AP24" s="39">
        <v>8.0</v>
      </c>
      <c r="AQ24" s="30"/>
      <c r="AR24" s="30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30</v>
      </c>
      <c r="D25" s="38">
        <v>3.0</v>
      </c>
      <c r="E25" s="39" t="s">
        <v>17</v>
      </c>
      <c r="F25" s="39">
        <v>8.0</v>
      </c>
      <c r="G25" s="30"/>
      <c r="H25" s="30"/>
      <c r="I25" s="31" t="s">
        <v>31</v>
      </c>
      <c r="J25" s="23"/>
      <c r="K25" s="31"/>
      <c r="L25" s="23"/>
      <c r="M25" s="32"/>
      <c r="N25" s="1"/>
      <c r="O25" s="26" t="s">
        <v>30</v>
      </c>
      <c r="P25" s="38">
        <v>3.0</v>
      </c>
      <c r="Q25" s="39" t="s">
        <v>17</v>
      </c>
      <c r="R25" s="39">
        <v>8.0</v>
      </c>
      <c r="S25" s="30"/>
      <c r="T25" s="30"/>
      <c r="U25" s="31" t="s">
        <v>31</v>
      </c>
      <c r="V25" s="23"/>
      <c r="W25" s="31"/>
      <c r="X25" s="23"/>
      <c r="Y25" s="24"/>
      <c r="Z25" s="1"/>
      <c r="AA25" s="26" t="s">
        <v>30</v>
      </c>
      <c r="AB25" s="38">
        <v>3.0</v>
      </c>
      <c r="AC25" s="39" t="s">
        <v>17</v>
      </c>
      <c r="AD25" s="39">
        <v>8.0</v>
      </c>
      <c r="AE25" s="30"/>
      <c r="AF25" s="30"/>
      <c r="AG25" s="31" t="s">
        <v>31</v>
      </c>
      <c r="AH25" s="23"/>
      <c r="AI25" s="31"/>
      <c r="AJ25" s="23"/>
      <c r="AK25" s="33"/>
      <c r="AL25" s="1"/>
      <c r="AM25" s="26" t="s">
        <v>30</v>
      </c>
      <c r="AN25" s="38">
        <v>3.0</v>
      </c>
      <c r="AO25" s="39" t="s">
        <v>17</v>
      </c>
      <c r="AP25" s="39">
        <v>8.0</v>
      </c>
      <c r="AQ25" s="30"/>
      <c r="AR25" s="30"/>
      <c r="AS25" s="31" t="s">
        <v>31</v>
      </c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32</v>
      </c>
      <c r="D26" s="38">
        <v>3.0</v>
      </c>
      <c r="E26" s="38" t="s">
        <v>17</v>
      </c>
      <c r="F26" s="39">
        <v>8.0</v>
      </c>
      <c r="G26" s="30"/>
      <c r="H26" s="30"/>
      <c r="I26" s="31" t="s">
        <v>33</v>
      </c>
      <c r="J26" s="23"/>
      <c r="K26" s="31"/>
      <c r="L26" s="23"/>
      <c r="M26" s="32"/>
      <c r="N26" s="1"/>
      <c r="O26" s="26" t="s">
        <v>32</v>
      </c>
      <c r="P26" s="38">
        <v>3.0</v>
      </c>
      <c r="Q26" s="38" t="s">
        <v>17</v>
      </c>
      <c r="R26" s="39">
        <v>8.0</v>
      </c>
      <c r="S26" s="30"/>
      <c r="T26" s="30"/>
      <c r="U26" s="31" t="s">
        <v>33</v>
      </c>
      <c r="V26" s="23"/>
      <c r="W26" s="31"/>
      <c r="X26" s="23"/>
      <c r="Y26" s="34"/>
      <c r="Z26" s="1"/>
      <c r="AA26" s="26" t="s">
        <v>32</v>
      </c>
      <c r="AB26" s="38">
        <v>3.0</v>
      </c>
      <c r="AC26" s="38" t="s">
        <v>17</v>
      </c>
      <c r="AD26" s="39">
        <v>8.0</v>
      </c>
      <c r="AE26" s="30"/>
      <c r="AF26" s="30"/>
      <c r="AG26" s="31" t="s">
        <v>33</v>
      </c>
      <c r="AH26" s="23"/>
      <c r="AI26" s="31"/>
      <c r="AJ26" s="23"/>
      <c r="AK26" s="33"/>
      <c r="AL26" s="1"/>
      <c r="AM26" s="26" t="s">
        <v>32</v>
      </c>
      <c r="AN26" s="38">
        <v>3.0</v>
      </c>
      <c r="AO26" s="38" t="s">
        <v>17</v>
      </c>
      <c r="AP26" s="39">
        <v>8.0</v>
      </c>
      <c r="AQ26" s="30"/>
      <c r="AR26" s="30"/>
      <c r="AS26" s="31" t="s">
        <v>33</v>
      </c>
      <c r="AT26" s="23"/>
      <c r="AU26" s="31"/>
      <c r="AV26" s="23"/>
      <c r="AW26" s="34"/>
      <c r="AX26" s="34"/>
    </row>
    <row r="27" ht="20.25" customHeight="1">
      <c r="A27" s="1"/>
      <c r="B27" s="1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5"/>
      <c r="N27" s="1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2"/>
      <c r="Z27" s="1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2"/>
      <c r="AL27" s="1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35"/>
      <c r="AX27" s="35"/>
    </row>
    <row r="28" ht="20.25" customHeight="1">
      <c r="A28" s="1"/>
      <c r="B28" s="1"/>
      <c r="C28" s="42" t="s">
        <v>34</v>
      </c>
      <c r="D28" s="43"/>
      <c r="E28" s="43"/>
      <c r="F28" s="43"/>
      <c r="G28" s="43"/>
      <c r="H28" s="43"/>
      <c r="I28" s="43"/>
      <c r="J28" s="43"/>
      <c r="K28" s="43"/>
      <c r="L28" s="23"/>
      <c r="M28" s="5"/>
      <c r="N28" s="1"/>
      <c r="O28" s="42" t="s">
        <v>34</v>
      </c>
      <c r="P28" s="43"/>
      <c r="Q28" s="43"/>
      <c r="R28" s="43"/>
      <c r="S28" s="43"/>
      <c r="T28" s="43"/>
      <c r="U28" s="43"/>
      <c r="V28" s="43"/>
      <c r="W28" s="43"/>
      <c r="X28" s="23"/>
      <c r="Y28" s="44"/>
      <c r="Z28" s="1"/>
      <c r="AA28" s="42" t="s">
        <v>34</v>
      </c>
      <c r="AB28" s="43"/>
      <c r="AC28" s="43"/>
      <c r="AD28" s="43"/>
      <c r="AE28" s="43"/>
      <c r="AF28" s="43"/>
      <c r="AG28" s="43"/>
      <c r="AH28" s="43"/>
      <c r="AI28" s="43"/>
      <c r="AJ28" s="23"/>
      <c r="AK28" s="3"/>
      <c r="AL28" s="1"/>
      <c r="AM28" s="42" t="s">
        <v>34</v>
      </c>
      <c r="AN28" s="43"/>
      <c r="AO28" s="43"/>
      <c r="AP28" s="43"/>
      <c r="AQ28" s="43"/>
      <c r="AR28" s="43"/>
      <c r="AS28" s="43"/>
      <c r="AT28" s="43"/>
      <c r="AU28" s="43"/>
      <c r="AV28" s="23"/>
      <c r="AW28" s="45"/>
      <c r="AX28" s="45"/>
    </row>
    <row r="29" ht="27.0" customHeight="1">
      <c r="A29" s="4"/>
      <c r="B29" s="2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3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34"/>
      <c r="Z29" s="2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3"/>
      <c r="AL29" s="2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5"/>
      <c r="AX29" s="35"/>
    </row>
    <row r="30">
      <c r="A30" s="1"/>
      <c r="B30" s="16"/>
      <c r="C30" s="12" t="s">
        <v>35</v>
      </c>
      <c r="D30" s="36"/>
      <c r="E30" s="36"/>
      <c r="F30" s="1"/>
      <c r="G30" s="1"/>
      <c r="H30" s="1"/>
      <c r="I30" s="1"/>
      <c r="J30" s="1"/>
      <c r="K30" s="1"/>
      <c r="L30" s="1"/>
      <c r="M30" s="32"/>
      <c r="N30" s="16"/>
      <c r="O30" s="12" t="s">
        <v>35</v>
      </c>
      <c r="P30" s="36"/>
      <c r="Q30" s="36"/>
      <c r="R30" s="1"/>
      <c r="S30" s="1"/>
      <c r="T30" s="1"/>
      <c r="U30" s="1"/>
      <c r="V30" s="1"/>
      <c r="W30" s="1"/>
      <c r="X30" s="1"/>
      <c r="Y30" s="34"/>
      <c r="Z30" s="16"/>
      <c r="AA30" s="12" t="s">
        <v>35</v>
      </c>
      <c r="AB30" s="36"/>
      <c r="AC30" s="36"/>
      <c r="AD30" s="1"/>
      <c r="AE30" s="1"/>
      <c r="AF30" s="1"/>
      <c r="AG30" s="1"/>
      <c r="AH30" s="1"/>
      <c r="AI30" s="1"/>
      <c r="AJ30" s="1"/>
      <c r="AK30" s="33"/>
      <c r="AL30" s="16"/>
      <c r="AM30" s="12" t="s">
        <v>35</v>
      </c>
      <c r="AN30" s="36"/>
      <c r="AO30" s="36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46" t="s">
        <v>36</v>
      </c>
      <c r="C31" s="21" t="s">
        <v>6</v>
      </c>
      <c r="D31" s="21" t="s">
        <v>7</v>
      </c>
      <c r="E31" s="21" t="s">
        <v>8</v>
      </c>
      <c r="F31" s="20" t="s">
        <v>9</v>
      </c>
      <c r="G31" s="21" t="s">
        <v>10</v>
      </c>
      <c r="H31" s="21" t="s">
        <v>11</v>
      </c>
      <c r="I31" s="22" t="s">
        <v>12</v>
      </c>
      <c r="J31" s="23"/>
      <c r="K31" s="22" t="s">
        <v>13</v>
      </c>
      <c r="L31" s="23"/>
      <c r="M31" s="5"/>
      <c r="N31" s="46" t="s">
        <v>36</v>
      </c>
      <c r="O31" s="21" t="s">
        <v>6</v>
      </c>
      <c r="P31" s="21" t="s">
        <v>7</v>
      </c>
      <c r="Q31" s="21" t="s">
        <v>8</v>
      </c>
      <c r="R31" s="20" t="s">
        <v>9</v>
      </c>
      <c r="S31" s="21" t="s">
        <v>10</v>
      </c>
      <c r="T31" s="21" t="s">
        <v>11</v>
      </c>
      <c r="U31" s="22" t="s">
        <v>12</v>
      </c>
      <c r="V31" s="23"/>
      <c r="W31" s="22" t="s">
        <v>13</v>
      </c>
      <c r="X31" s="23"/>
      <c r="Y31" s="34"/>
      <c r="Z31" s="46" t="s">
        <v>36</v>
      </c>
      <c r="AA31" s="21" t="s">
        <v>6</v>
      </c>
      <c r="AB31" s="21" t="s">
        <v>7</v>
      </c>
      <c r="AC31" s="21" t="s">
        <v>8</v>
      </c>
      <c r="AD31" s="20" t="s">
        <v>9</v>
      </c>
      <c r="AE31" s="21" t="s">
        <v>10</v>
      </c>
      <c r="AF31" s="21" t="s">
        <v>11</v>
      </c>
      <c r="AG31" s="22" t="s">
        <v>12</v>
      </c>
      <c r="AH31" s="23"/>
      <c r="AI31" s="22" t="s">
        <v>13</v>
      </c>
      <c r="AJ31" s="23"/>
      <c r="AK31" s="47"/>
      <c r="AL31" s="46" t="s">
        <v>36</v>
      </c>
      <c r="AM31" s="21" t="s">
        <v>6</v>
      </c>
      <c r="AN31" s="21" t="s">
        <v>7</v>
      </c>
      <c r="AO31" s="21" t="s">
        <v>8</v>
      </c>
      <c r="AP31" s="20" t="s">
        <v>9</v>
      </c>
      <c r="AQ31" s="21" t="s">
        <v>10</v>
      </c>
      <c r="AR31" s="21" t="s">
        <v>11</v>
      </c>
      <c r="AS31" s="22" t="s">
        <v>12</v>
      </c>
      <c r="AT31" s="23"/>
      <c r="AU31" s="22" t="s">
        <v>13</v>
      </c>
      <c r="AV31" s="23"/>
      <c r="AW31" s="25"/>
      <c r="AX31" s="25"/>
    </row>
    <row r="32" ht="20.25" customHeight="1">
      <c r="A32" s="48"/>
      <c r="B32" s="1"/>
      <c r="C32" s="26" t="s">
        <v>37</v>
      </c>
      <c r="D32" s="39">
        <v>3.0</v>
      </c>
      <c r="E32" s="39" t="s">
        <v>17</v>
      </c>
      <c r="F32" s="39">
        <v>8.0</v>
      </c>
      <c r="G32" s="40"/>
      <c r="H32" s="30"/>
      <c r="I32" s="31"/>
      <c r="J32" s="23"/>
      <c r="K32" s="31"/>
      <c r="L32" s="23"/>
      <c r="M32" s="5"/>
      <c r="N32" s="1"/>
      <c r="O32" s="26" t="s">
        <v>37</v>
      </c>
      <c r="P32" s="39">
        <v>3.0</v>
      </c>
      <c r="Q32" s="39" t="s">
        <v>17</v>
      </c>
      <c r="R32" s="39">
        <v>8.0</v>
      </c>
      <c r="S32" s="40"/>
      <c r="T32" s="30"/>
      <c r="U32" s="31"/>
      <c r="V32" s="23"/>
      <c r="W32" s="31"/>
      <c r="X32" s="23"/>
      <c r="Y32" s="24"/>
      <c r="Z32" s="1"/>
      <c r="AA32" s="26" t="s">
        <v>37</v>
      </c>
      <c r="AB32" s="39">
        <v>3.0</v>
      </c>
      <c r="AC32" s="39" t="s">
        <v>17</v>
      </c>
      <c r="AD32" s="39">
        <v>8.0</v>
      </c>
      <c r="AE32" s="40"/>
      <c r="AF32" s="30"/>
      <c r="AG32" s="31"/>
      <c r="AH32" s="23"/>
      <c r="AI32" s="31"/>
      <c r="AJ32" s="23"/>
      <c r="AK32" s="49"/>
      <c r="AL32" s="1"/>
      <c r="AM32" s="26" t="s">
        <v>37</v>
      </c>
      <c r="AN32" s="39">
        <v>3.0</v>
      </c>
      <c r="AO32" s="39" t="s">
        <v>17</v>
      </c>
      <c r="AP32" s="39">
        <v>8.0</v>
      </c>
      <c r="AQ32" s="40"/>
      <c r="AR32" s="30"/>
      <c r="AS32" s="31"/>
      <c r="AT32" s="23"/>
      <c r="AU32" s="31"/>
      <c r="AV32" s="23"/>
      <c r="AW32" s="34"/>
      <c r="AX32" s="34"/>
    </row>
    <row r="33" ht="20.25" customHeight="1">
      <c r="A33" s="4"/>
      <c r="B33" s="1"/>
      <c r="C33" s="26" t="s">
        <v>38</v>
      </c>
      <c r="D33" s="38">
        <v>3.0</v>
      </c>
      <c r="E33" s="39" t="s">
        <v>17</v>
      </c>
      <c r="F33" s="39">
        <v>8.0</v>
      </c>
      <c r="G33" s="30"/>
      <c r="H33" s="30"/>
      <c r="I33" s="31"/>
      <c r="J33" s="23"/>
      <c r="K33" s="31"/>
      <c r="L33" s="23"/>
      <c r="M33" s="32"/>
      <c r="N33" s="1"/>
      <c r="O33" s="26" t="s">
        <v>38</v>
      </c>
      <c r="P33" s="38">
        <v>3.0</v>
      </c>
      <c r="Q33" s="39" t="s">
        <v>17</v>
      </c>
      <c r="R33" s="39">
        <v>8.0</v>
      </c>
      <c r="S33" s="30"/>
      <c r="T33" s="30"/>
      <c r="U33" s="31"/>
      <c r="V33" s="23"/>
      <c r="W33" s="31"/>
      <c r="X33" s="23"/>
      <c r="Y33" s="34"/>
      <c r="Z33" s="1"/>
      <c r="AA33" s="26" t="s">
        <v>38</v>
      </c>
      <c r="AB33" s="38">
        <v>3.0</v>
      </c>
      <c r="AC33" s="39" t="s">
        <v>17</v>
      </c>
      <c r="AD33" s="39">
        <v>8.0</v>
      </c>
      <c r="AE33" s="30"/>
      <c r="AF33" s="30"/>
      <c r="AG33" s="31"/>
      <c r="AH33" s="23"/>
      <c r="AI33" s="31"/>
      <c r="AJ33" s="23"/>
      <c r="AK33" s="33"/>
      <c r="AL33" s="1"/>
      <c r="AM33" s="26" t="s">
        <v>38</v>
      </c>
      <c r="AN33" s="38">
        <v>3.0</v>
      </c>
      <c r="AO33" s="39" t="s">
        <v>17</v>
      </c>
      <c r="AP33" s="39">
        <v>8.0</v>
      </c>
      <c r="AQ33" s="30"/>
      <c r="AR33" s="30"/>
      <c r="AS33" s="31"/>
      <c r="AT33" s="23"/>
      <c r="AU33" s="31"/>
      <c r="AV33" s="23"/>
      <c r="AW33" s="34"/>
      <c r="AX33" s="34"/>
    </row>
    <row r="34" ht="20.25" customHeight="1">
      <c r="A34" s="1"/>
      <c r="B34" s="1"/>
      <c r="C34" s="26" t="s">
        <v>39</v>
      </c>
      <c r="D34" s="39">
        <v>3.0</v>
      </c>
      <c r="E34" s="38" t="s">
        <v>17</v>
      </c>
      <c r="F34" s="39">
        <v>8.0</v>
      </c>
      <c r="G34" s="30"/>
      <c r="H34" s="50"/>
      <c r="I34" s="31"/>
      <c r="J34" s="23"/>
      <c r="K34" s="31"/>
      <c r="L34" s="23"/>
      <c r="M34" s="32"/>
      <c r="N34" s="1"/>
      <c r="O34" s="26" t="s">
        <v>39</v>
      </c>
      <c r="P34" s="39">
        <v>3.0</v>
      </c>
      <c r="Q34" s="38" t="s">
        <v>17</v>
      </c>
      <c r="R34" s="39">
        <v>8.0</v>
      </c>
      <c r="S34" s="30"/>
      <c r="T34" s="50"/>
      <c r="U34" s="31"/>
      <c r="V34" s="23"/>
      <c r="W34" s="31"/>
      <c r="X34" s="23"/>
      <c r="Y34" s="1"/>
      <c r="Z34" s="1"/>
      <c r="AA34" s="26" t="s">
        <v>39</v>
      </c>
      <c r="AB34" s="39">
        <v>3.0</v>
      </c>
      <c r="AC34" s="38" t="s">
        <v>17</v>
      </c>
      <c r="AD34" s="39">
        <v>8.0</v>
      </c>
      <c r="AE34" s="30"/>
      <c r="AF34" s="50"/>
      <c r="AG34" s="31"/>
      <c r="AH34" s="23"/>
      <c r="AI34" s="31"/>
      <c r="AJ34" s="23"/>
      <c r="AK34" s="33"/>
      <c r="AL34" s="1"/>
      <c r="AM34" s="26" t="s">
        <v>39</v>
      </c>
      <c r="AN34" s="39">
        <v>3.0</v>
      </c>
      <c r="AO34" s="38" t="s">
        <v>17</v>
      </c>
      <c r="AP34" s="39">
        <v>8.0</v>
      </c>
      <c r="AQ34" s="30"/>
      <c r="AR34" s="50"/>
      <c r="AS34" s="31"/>
      <c r="AT34" s="23"/>
      <c r="AU34" s="31"/>
      <c r="AV34" s="23"/>
      <c r="AW34" s="34"/>
      <c r="AX34" s="34"/>
    </row>
    <row r="35" ht="20.25" customHeight="1">
      <c r="A35" s="1"/>
      <c r="B35" s="1"/>
      <c r="C35" s="26" t="s">
        <v>40</v>
      </c>
      <c r="D35" s="39">
        <v>3.0</v>
      </c>
      <c r="E35" s="38" t="s">
        <v>17</v>
      </c>
      <c r="F35" s="39">
        <v>8.0</v>
      </c>
      <c r="G35" s="30"/>
      <c r="H35" s="50"/>
      <c r="I35" s="31" t="s">
        <v>28</v>
      </c>
      <c r="J35" s="23"/>
      <c r="K35" s="31"/>
      <c r="L35" s="23"/>
      <c r="M35" s="32"/>
      <c r="N35" s="1"/>
      <c r="O35" s="26" t="s">
        <v>40</v>
      </c>
      <c r="P35" s="39">
        <v>3.0</v>
      </c>
      <c r="Q35" s="38" t="s">
        <v>17</v>
      </c>
      <c r="R35" s="39">
        <v>8.0</v>
      </c>
      <c r="S35" s="30"/>
      <c r="T35" s="50"/>
      <c r="U35" s="31" t="s">
        <v>28</v>
      </c>
      <c r="V35" s="23"/>
      <c r="W35" s="31"/>
      <c r="X35" s="23"/>
      <c r="Y35" s="1"/>
      <c r="Z35" s="1"/>
      <c r="AA35" s="26" t="s">
        <v>40</v>
      </c>
      <c r="AB35" s="39">
        <v>3.0</v>
      </c>
      <c r="AC35" s="38" t="s">
        <v>17</v>
      </c>
      <c r="AD35" s="39">
        <v>8.0</v>
      </c>
      <c r="AE35" s="30"/>
      <c r="AF35" s="50"/>
      <c r="AG35" s="31" t="s">
        <v>28</v>
      </c>
      <c r="AH35" s="23"/>
      <c r="AI35" s="31"/>
      <c r="AJ35" s="23"/>
      <c r="AK35" s="33"/>
      <c r="AL35" s="1"/>
      <c r="AM35" s="26" t="s">
        <v>40</v>
      </c>
      <c r="AN35" s="39">
        <v>3.0</v>
      </c>
      <c r="AO35" s="38" t="s">
        <v>17</v>
      </c>
      <c r="AP35" s="39">
        <v>8.0</v>
      </c>
      <c r="AQ35" s="30"/>
      <c r="AR35" s="50"/>
      <c r="AS35" s="31" t="s">
        <v>28</v>
      </c>
      <c r="AT35" s="23"/>
      <c r="AU35" s="31"/>
      <c r="AV35" s="23"/>
      <c r="AW35" s="34"/>
      <c r="AX35" s="34"/>
    </row>
    <row r="36" ht="20.25" customHeight="1">
      <c r="A36" s="1"/>
      <c r="B36" s="1"/>
      <c r="C36" s="26" t="s">
        <v>41</v>
      </c>
      <c r="D36" s="51">
        <v>3.0</v>
      </c>
      <c r="E36" s="52" t="s">
        <v>17</v>
      </c>
      <c r="F36" s="39">
        <v>8.0</v>
      </c>
      <c r="G36" s="30"/>
      <c r="H36" s="30"/>
      <c r="I36" s="31"/>
      <c r="J36" s="23"/>
      <c r="K36" s="31"/>
      <c r="L36" s="23"/>
      <c r="M36" s="5"/>
      <c r="N36" s="1"/>
      <c r="O36" s="26" t="s">
        <v>41</v>
      </c>
      <c r="P36" s="51">
        <v>3.0</v>
      </c>
      <c r="Q36" s="52" t="s">
        <v>17</v>
      </c>
      <c r="R36" s="39">
        <v>8.0</v>
      </c>
      <c r="S36" s="30"/>
      <c r="T36" s="30"/>
      <c r="U36" s="31"/>
      <c r="V36" s="23"/>
      <c r="W36" s="31"/>
      <c r="X36" s="23"/>
      <c r="Y36" s="2"/>
      <c r="Z36" s="1"/>
      <c r="AA36" s="26" t="s">
        <v>41</v>
      </c>
      <c r="AB36" s="51">
        <v>3.0</v>
      </c>
      <c r="AC36" s="52" t="s">
        <v>17</v>
      </c>
      <c r="AD36" s="39">
        <v>8.0</v>
      </c>
      <c r="AE36" s="30"/>
      <c r="AF36" s="30"/>
      <c r="AG36" s="31"/>
      <c r="AH36" s="23"/>
      <c r="AI36" s="31"/>
      <c r="AJ36" s="23"/>
      <c r="AK36" s="2"/>
      <c r="AL36" s="1"/>
      <c r="AM36" s="26" t="s">
        <v>41</v>
      </c>
      <c r="AN36" s="51">
        <v>3.0</v>
      </c>
      <c r="AO36" s="52" t="s">
        <v>17</v>
      </c>
      <c r="AP36" s="39">
        <v>8.0</v>
      </c>
      <c r="AQ36" s="30"/>
      <c r="AR36" s="30"/>
      <c r="AS36" s="31"/>
      <c r="AT36" s="23"/>
      <c r="AU36" s="31"/>
      <c r="AV36" s="23"/>
      <c r="AW36" s="34"/>
      <c r="AX36" s="34"/>
    </row>
    <row r="37" ht="20.25" customHeight="1">
      <c r="A37" s="1"/>
      <c r="B37" s="16"/>
      <c r="C37" s="26" t="str">
        <f>HYPERLINK("https://youtu.be/h0XtRD5YUmo", "Overhead cable extension ")</f>
        <v>Overhead cable extension </v>
      </c>
      <c r="D37" s="38">
        <v>3.0</v>
      </c>
      <c r="E37" s="38" t="s">
        <v>17</v>
      </c>
      <c r="F37" s="39">
        <v>8.0</v>
      </c>
      <c r="G37" s="30"/>
      <c r="H37" s="30"/>
      <c r="I37" s="31"/>
      <c r="J37" s="23"/>
      <c r="K37" s="31"/>
      <c r="L37" s="23"/>
      <c r="M37" s="5"/>
      <c r="N37" s="16"/>
      <c r="O37" s="26" t="str">
        <f>HYPERLINK("https://youtu.be/h0XtRD5YUmo", "Overhead cable extension ")</f>
        <v>Overhead cable extension </v>
      </c>
      <c r="P37" s="38">
        <v>3.0</v>
      </c>
      <c r="Q37" s="38" t="s">
        <v>17</v>
      </c>
      <c r="R37" s="39">
        <v>8.0</v>
      </c>
      <c r="S37" s="30"/>
      <c r="T37" s="30"/>
      <c r="U37" s="31"/>
      <c r="V37" s="23"/>
      <c r="W37" s="31"/>
      <c r="X37" s="23"/>
      <c r="Y37" s="44"/>
      <c r="Z37" s="16"/>
      <c r="AA37" s="26" t="str">
        <f>HYPERLINK("https://youtu.be/h0XtRD5YUmo", "Overhead cable extension ")</f>
        <v>Overhead cable extension </v>
      </c>
      <c r="AB37" s="38">
        <v>3.0</v>
      </c>
      <c r="AC37" s="38" t="s">
        <v>17</v>
      </c>
      <c r="AD37" s="39">
        <v>8.0</v>
      </c>
      <c r="AE37" s="30"/>
      <c r="AF37" s="30"/>
      <c r="AG37" s="31"/>
      <c r="AH37" s="23"/>
      <c r="AI37" s="31"/>
      <c r="AJ37" s="23"/>
      <c r="AK37" s="3"/>
      <c r="AL37" s="16"/>
      <c r="AM37" s="26" t="str">
        <f>HYPERLINK("https://youtu.be/h0XtRD5YUmo", "Overhead cable extension ")</f>
        <v>Overhead cable extension </v>
      </c>
      <c r="AN37" s="38">
        <v>3.0</v>
      </c>
      <c r="AO37" s="38" t="s">
        <v>17</v>
      </c>
      <c r="AP37" s="39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6"/>
      <c r="C39" s="12" t="s">
        <v>42</v>
      </c>
      <c r="D39" s="36"/>
      <c r="E39" s="36"/>
      <c r="F39" s="1"/>
      <c r="G39" s="1"/>
      <c r="H39" s="1"/>
      <c r="I39" s="1"/>
      <c r="J39" s="1"/>
      <c r="K39" s="1"/>
      <c r="L39" s="1"/>
      <c r="M39" s="5"/>
      <c r="N39" s="16"/>
      <c r="O39" s="12" t="s">
        <v>42</v>
      </c>
      <c r="P39" s="36"/>
      <c r="Q39" s="36"/>
      <c r="R39" s="1"/>
      <c r="S39" s="1"/>
      <c r="T39" s="1"/>
      <c r="U39" s="1"/>
      <c r="V39" s="1"/>
      <c r="W39" s="1"/>
      <c r="X39" s="1"/>
      <c r="Y39" s="2"/>
      <c r="Z39" s="16"/>
      <c r="AA39" s="12" t="s">
        <v>42</v>
      </c>
      <c r="AB39" s="36"/>
      <c r="AC39" s="36"/>
      <c r="AD39" s="1"/>
      <c r="AE39" s="1"/>
      <c r="AF39" s="1"/>
      <c r="AG39" s="1"/>
      <c r="AH39" s="1"/>
      <c r="AI39" s="1"/>
      <c r="AJ39" s="1"/>
      <c r="AK39" s="2"/>
      <c r="AL39" s="16"/>
      <c r="AM39" s="12" t="s">
        <v>42</v>
      </c>
      <c r="AN39" s="36"/>
      <c r="AO39" s="36"/>
      <c r="AP39" s="1"/>
      <c r="AQ39" s="1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46" t="s">
        <v>43</v>
      </c>
      <c r="C40" s="21" t="s">
        <v>6</v>
      </c>
      <c r="D40" s="21" t="s">
        <v>7</v>
      </c>
      <c r="E40" s="21" t="s">
        <v>8</v>
      </c>
      <c r="F40" s="20" t="s">
        <v>9</v>
      </c>
      <c r="G40" s="21" t="s">
        <v>10</v>
      </c>
      <c r="H40" s="21" t="s">
        <v>11</v>
      </c>
      <c r="I40" s="22" t="s">
        <v>12</v>
      </c>
      <c r="J40" s="23"/>
      <c r="K40" s="22" t="s">
        <v>13</v>
      </c>
      <c r="L40" s="23"/>
      <c r="M40" s="5"/>
      <c r="N40" s="46" t="s">
        <v>43</v>
      </c>
      <c r="O40" s="21" t="s">
        <v>6</v>
      </c>
      <c r="P40" s="21" t="s">
        <v>7</v>
      </c>
      <c r="Q40" s="21" t="s">
        <v>8</v>
      </c>
      <c r="R40" s="20" t="s">
        <v>9</v>
      </c>
      <c r="S40" s="21" t="s">
        <v>10</v>
      </c>
      <c r="T40" s="21" t="s">
        <v>11</v>
      </c>
      <c r="U40" s="22" t="s">
        <v>12</v>
      </c>
      <c r="V40" s="23"/>
      <c r="W40" s="22" t="s">
        <v>13</v>
      </c>
      <c r="X40" s="23"/>
      <c r="Y40" s="2"/>
      <c r="Z40" s="46" t="s">
        <v>43</v>
      </c>
      <c r="AA40" s="21" t="s">
        <v>6</v>
      </c>
      <c r="AB40" s="21" t="s">
        <v>7</v>
      </c>
      <c r="AC40" s="21" t="s">
        <v>8</v>
      </c>
      <c r="AD40" s="20" t="s">
        <v>9</v>
      </c>
      <c r="AE40" s="21" t="s">
        <v>10</v>
      </c>
      <c r="AF40" s="21" t="s">
        <v>11</v>
      </c>
      <c r="AG40" s="22" t="s">
        <v>12</v>
      </c>
      <c r="AH40" s="23"/>
      <c r="AI40" s="22" t="s">
        <v>13</v>
      </c>
      <c r="AJ40" s="23"/>
      <c r="AK40" s="2"/>
      <c r="AL40" s="46" t="s">
        <v>43</v>
      </c>
      <c r="AM40" s="21" t="s">
        <v>6</v>
      </c>
      <c r="AN40" s="21" t="s">
        <v>7</v>
      </c>
      <c r="AO40" s="21" t="s">
        <v>8</v>
      </c>
      <c r="AP40" s="20" t="s">
        <v>9</v>
      </c>
      <c r="AQ40" s="21" t="s">
        <v>10</v>
      </c>
      <c r="AR40" s="21" t="s">
        <v>11</v>
      </c>
      <c r="AS40" s="22" t="s">
        <v>12</v>
      </c>
      <c r="AT40" s="23"/>
      <c r="AU40" s="22" t="s">
        <v>13</v>
      </c>
      <c r="AV40" s="23"/>
      <c r="AW40" s="25"/>
      <c r="AX40" s="25"/>
    </row>
    <row r="41" ht="20.25" customHeight="1">
      <c r="A41" s="1"/>
      <c r="B41" s="1"/>
      <c r="C41" s="26" t="s">
        <v>44</v>
      </c>
      <c r="D41" s="39">
        <v>3.0</v>
      </c>
      <c r="E41" s="39" t="s">
        <v>17</v>
      </c>
      <c r="F41" s="39">
        <v>8.0</v>
      </c>
      <c r="G41" s="40"/>
      <c r="H41" s="30"/>
      <c r="I41" s="31"/>
      <c r="J41" s="23"/>
      <c r="K41" s="31"/>
      <c r="L41" s="23"/>
      <c r="M41" s="5"/>
      <c r="N41" s="1"/>
      <c r="O41" s="26" t="s">
        <v>44</v>
      </c>
      <c r="P41" s="39">
        <v>3.0</v>
      </c>
      <c r="Q41" s="39" t="s">
        <v>17</v>
      </c>
      <c r="R41" s="39">
        <v>8.0</v>
      </c>
      <c r="S41" s="40"/>
      <c r="T41" s="30"/>
      <c r="U41" s="31"/>
      <c r="V41" s="23"/>
      <c r="W41" s="31"/>
      <c r="X41" s="23"/>
      <c r="Y41" s="2"/>
      <c r="Z41" s="1"/>
      <c r="AA41" s="26" t="s">
        <v>44</v>
      </c>
      <c r="AB41" s="39">
        <v>3.0</v>
      </c>
      <c r="AC41" s="39" t="s">
        <v>17</v>
      </c>
      <c r="AD41" s="39">
        <v>8.0</v>
      </c>
      <c r="AE41" s="40"/>
      <c r="AF41" s="30"/>
      <c r="AG41" s="31"/>
      <c r="AH41" s="23"/>
      <c r="AI41" s="31"/>
      <c r="AJ41" s="23"/>
      <c r="AK41" s="2"/>
      <c r="AL41" s="1"/>
      <c r="AM41" s="26" t="s">
        <v>44</v>
      </c>
      <c r="AN41" s="39">
        <v>3.0</v>
      </c>
      <c r="AO41" s="39" t="s">
        <v>17</v>
      </c>
      <c r="AP41" s="39">
        <v>8.0</v>
      </c>
      <c r="AQ41" s="40"/>
      <c r="AR41" s="30"/>
      <c r="AS41" s="31"/>
      <c r="AT41" s="23"/>
      <c r="AU41" s="31"/>
      <c r="AV41" s="23"/>
      <c r="AW41" s="34"/>
      <c r="AX41" s="34"/>
    </row>
    <row r="42" ht="20.25" customHeight="1">
      <c r="A42" s="1"/>
      <c r="B42" s="1"/>
      <c r="C42" s="26" t="s">
        <v>45</v>
      </c>
      <c r="D42" s="38">
        <v>3.0</v>
      </c>
      <c r="E42" s="39" t="s">
        <v>17</v>
      </c>
      <c r="F42" s="39">
        <v>8.0</v>
      </c>
      <c r="G42" s="30"/>
      <c r="H42" s="30"/>
      <c r="I42" s="31" t="s">
        <v>46</v>
      </c>
      <c r="J42" s="23"/>
      <c r="K42" s="31"/>
      <c r="L42" s="23"/>
      <c r="M42" s="5"/>
      <c r="N42" s="1"/>
      <c r="O42" s="26" t="s">
        <v>45</v>
      </c>
      <c r="P42" s="38">
        <v>3.0</v>
      </c>
      <c r="Q42" s="39" t="s">
        <v>17</v>
      </c>
      <c r="R42" s="39">
        <v>8.0</v>
      </c>
      <c r="S42" s="30"/>
      <c r="T42" s="30"/>
      <c r="U42" s="31" t="s">
        <v>46</v>
      </c>
      <c r="V42" s="23"/>
      <c r="W42" s="31"/>
      <c r="X42" s="23"/>
      <c r="Y42" s="2"/>
      <c r="Z42" s="1"/>
      <c r="AA42" s="26" t="s">
        <v>45</v>
      </c>
      <c r="AB42" s="38">
        <v>3.0</v>
      </c>
      <c r="AC42" s="39" t="s">
        <v>17</v>
      </c>
      <c r="AD42" s="39">
        <v>8.0</v>
      </c>
      <c r="AE42" s="30"/>
      <c r="AF42" s="30"/>
      <c r="AG42" s="31" t="s">
        <v>46</v>
      </c>
      <c r="AH42" s="23"/>
      <c r="AI42" s="31"/>
      <c r="AJ42" s="23"/>
      <c r="AK42" s="2"/>
      <c r="AL42" s="1"/>
      <c r="AM42" s="26" t="s">
        <v>45</v>
      </c>
      <c r="AN42" s="38">
        <v>3.0</v>
      </c>
      <c r="AO42" s="39" t="s">
        <v>17</v>
      </c>
      <c r="AP42" s="39">
        <v>8.0</v>
      </c>
      <c r="AQ42" s="30"/>
      <c r="AR42" s="30"/>
      <c r="AS42" s="31" t="s">
        <v>46</v>
      </c>
      <c r="AT42" s="23"/>
      <c r="AU42" s="31"/>
      <c r="AV42" s="23"/>
      <c r="AW42" s="34"/>
      <c r="AX42" s="34"/>
    </row>
    <row r="43" ht="20.25" customHeight="1">
      <c r="A43" s="1"/>
      <c r="B43" s="1"/>
      <c r="C43" s="26" t="s">
        <v>47</v>
      </c>
      <c r="D43" s="39">
        <v>3.0</v>
      </c>
      <c r="E43" s="38" t="s">
        <v>17</v>
      </c>
      <c r="F43" s="39">
        <v>8.0</v>
      </c>
      <c r="G43" s="30"/>
      <c r="H43" s="50"/>
      <c r="I43" s="31" t="s">
        <v>28</v>
      </c>
      <c r="J43" s="23"/>
      <c r="K43" s="31"/>
      <c r="L43" s="23"/>
      <c r="M43" s="5"/>
      <c r="N43" s="1"/>
      <c r="O43" s="26" t="s">
        <v>47</v>
      </c>
      <c r="P43" s="39">
        <v>3.0</v>
      </c>
      <c r="Q43" s="38" t="s">
        <v>17</v>
      </c>
      <c r="R43" s="39">
        <v>8.0</v>
      </c>
      <c r="S43" s="30"/>
      <c r="T43" s="50"/>
      <c r="U43" s="31" t="s">
        <v>28</v>
      </c>
      <c r="V43" s="23"/>
      <c r="W43" s="31"/>
      <c r="X43" s="23"/>
      <c r="Y43" s="2"/>
      <c r="Z43" s="1"/>
      <c r="AA43" s="26" t="s">
        <v>47</v>
      </c>
      <c r="AB43" s="39">
        <v>3.0</v>
      </c>
      <c r="AC43" s="38" t="s">
        <v>17</v>
      </c>
      <c r="AD43" s="39">
        <v>8.0</v>
      </c>
      <c r="AE43" s="30"/>
      <c r="AF43" s="50"/>
      <c r="AG43" s="31" t="s">
        <v>28</v>
      </c>
      <c r="AH43" s="23"/>
      <c r="AI43" s="31"/>
      <c r="AJ43" s="23"/>
      <c r="AK43" s="2"/>
      <c r="AL43" s="1"/>
      <c r="AM43" s="26" t="s">
        <v>47</v>
      </c>
      <c r="AN43" s="39">
        <v>3.0</v>
      </c>
      <c r="AO43" s="38" t="s">
        <v>17</v>
      </c>
      <c r="AP43" s="39">
        <v>8.0</v>
      </c>
      <c r="AQ43" s="30"/>
      <c r="AR43" s="50"/>
      <c r="AS43" s="31" t="s">
        <v>28</v>
      </c>
      <c r="AT43" s="23"/>
      <c r="AU43" s="31"/>
      <c r="AV43" s="23"/>
      <c r="AW43" s="34"/>
      <c r="AX43" s="34"/>
    </row>
    <row r="44" ht="20.25" customHeight="1">
      <c r="A44" s="1"/>
      <c r="B44" s="1"/>
      <c r="C44" s="26" t="s">
        <v>48</v>
      </c>
      <c r="D44" s="39">
        <v>3.0</v>
      </c>
      <c r="E44" s="38" t="s">
        <v>17</v>
      </c>
      <c r="F44" s="39">
        <v>8.0</v>
      </c>
      <c r="G44" s="30"/>
      <c r="H44" s="50"/>
      <c r="I44" s="31"/>
      <c r="J44" s="23"/>
      <c r="K44" s="31"/>
      <c r="L44" s="23"/>
      <c r="M44" s="5"/>
      <c r="N44" s="1"/>
      <c r="O44" s="26" t="s">
        <v>48</v>
      </c>
      <c r="P44" s="39">
        <v>3.0</v>
      </c>
      <c r="Q44" s="38" t="s">
        <v>17</v>
      </c>
      <c r="R44" s="39">
        <v>8.0</v>
      </c>
      <c r="S44" s="30"/>
      <c r="T44" s="50"/>
      <c r="U44" s="31"/>
      <c r="V44" s="23"/>
      <c r="W44" s="31"/>
      <c r="X44" s="23"/>
      <c r="Y44" s="2"/>
      <c r="Z44" s="1"/>
      <c r="AA44" s="26" t="s">
        <v>48</v>
      </c>
      <c r="AB44" s="39">
        <v>3.0</v>
      </c>
      <c r="AC44" s="38" t="s">
        <v>17</v>
      </c>
      <c r="AD44" s="39">
        <v>8.0</v>
      </c>
      <c r="AE44" s="30"/>
      <c r="AF44" s="50"/>
      <c r="AG44" s="31"/>
      <c r="AH44" s="23"/>
      <c r="AI44" s="31"/>
      <c r="AJ44" s="23"/>
      <c r="AK44" s="2"/>
      <c r="AL44" s="1"/>
      <c r="AM44" s="26" t="s">
        <v>48</v>
      </c>
      <c r="AN44" s="39">
        <v>3.0</v>
      </c>
      <c r="AO44" s="38" t="s">
        <v>17</v>
      </c>
      <c r="AP44" s="39">
        <v>8.0</v>
      </c>
      <c r="AQ44" s="30"/>
      <c r="AR44" s="50"/>
      <c r="AS44" s="31"/>
      <c r="AT44" s="23"/>
      <c r="AU44" s="31"/>
      <c r="AV44" s="23"/>
      <c r="AW44" s="34"/>
      <c r="AX44" s="34"/>
    </row>
    <row r="45" ht="20.25" customHeight="1">
      <c r="A45" s="1"/>
      <c r="B45" s="1"/>
      <c r="C45" s="26" t="s">
        <v>49</v>
      </c>
      <c r="D45" s="51">
        <v>3.0</v>
      </c>
      <c r="E45" s="52" t="s">
        <v>17</v>
      </c>
      <c r="F45" s="39">
        <v>8.0</v>
      </c>
      <c r="G45" s="30"/>
      <c r="H45" s="30"/>
      <c r="I45" s="31"/>
      <c r="J45" s="23"/>
      <c r="K45" s="31"/>
      <c r="L45" s="23"/>
      <c r="M45" s="5"/>
      <c r="N45" s="1"/>
      <c r="O45" s="26" t="s">
        <v>49</v>
      </c>
      <c r="P45" s="51">
        <v>3.0</v>
      </c>
      <c r="Q45" s="52" t="s">
        <v>17</v>
      </c>
      <c r="R45" s="39">
        <v>8.0</v>
      </c>
      <c r="S45" s="30"/>
      <c r="T45" s="30"/>
      <c r="U45" s="31"/>
      <c r="V45" s="23"/>
      <c r="W45" s="31"/>
      <c r="X45" s="23"/>
      <c r="Y45" s="2"/>
      <c r="Z45" s="1"/>
      <c r="AA45" s="26" t="s">
        <v>49</v>
      </c>
      <c r="AB45" s="51">
        <v>3.0</v>
      </c>
      <c r="AC45" s="52" t="s">
        <v>17</v>
      </c>
      <c r="AD45" s="39">
        <v>8.0</v>
      </c>
      <c r="AE45" s="30"/>
      <c r="AF45" s="30"/>
      <c r="AG45" s="31"/>
      <c r="AH45" s="23"/>
      <c r="AI45" s="31"/>
      <c r="AJ45" s="23"/>
      <c r="AK45" s="2"/>
      <c r="AL45" s="1"/>
      <c r="AM45" s="26" t="s">
        <v>49</v>
      </c>
      <c r="AN45" s="51">
        <v>3.0</v>
      </c>
      <c r="AO45" s="52" t="s">
        <v>17</v>
      </c>
      <c r="AP45" s="39">
        <v>8.0</v>
      </c>
      <c r="AQ45" s="30"/>
      <c r="AR45" s="30"/>
      <c r="AS45" s="31"/>
      <c r="AT45" s="23"/>
      <c r="AU45" s="31"/>
      <c r="AV45" s="23"/>
      <c r="AW45" s="34"/>
      <c r="AX45" s="34"/>
    </row>
    <row r="46" ht="20.25" customHeight="1">
      <c r="A46" s="1"/>
      <c r="B46" s="16"/>
      <c r="C46" s="26" t="s">
        <v>50</v>
      </c>
      <c r="D46" s="38">
        <v>3.0</v>
      </c>
      <c r="E46" s="39" t="s">
        <v>51</v>
      </c>
      <c r="F46" s="39">
        <v>8.0</v>
      </c>
      <c r="G46" s="30"/>
      <c r="H46" s="30"/>
      <c r="I46" s="31"/>
      <c r="J46" s="23"/>
      <c r="K46" s="31"/>
      <c r="L46" s="23"/>
      <c r="M46" s="5"/>
      <c r="N46" s="16"/>
      <c r="O46" s="26" t="s">
        <v>50</v>
      </c>
      <c r="P46" s="38">
        <v>3.0</v>
      </c>
      <c r="Q46" s="39" t="s">
        <v>51</v>
      </c>
      <c r="R46" s="39">
        <v>8.0</v>
      </c>
      <c r="S46" s="30"/>
      <c r="T46" s="30"/>
      <c r="U46" s="31"/>
      <c r="V46" s="23"/>
      <c r="W46" s="31"/>
      <c r="X46" s="23"/>
      <c r="Y46" s="2"/>
      <c r="Z46" s="16"/>
      <c r="AA46" s="26" t="s">
        <v>50</v>
      </c>
      <c r="AB46" s="38">
        <v>3.0</v>
      </c>
      <c r="AC46" s="39" t="s">
        <v>51</v>
      </c>
      <c r="AD46" s="39">
        <v>8.0</v>
      </c>
      <c r="AE46" s="30"/>
      <c r="AF46" s="30"/>
      <c r="AG46" s="31"/>
      <c r="AH46" s="23"/>
      <c r="AI46" s="31"/>
      <c r="AJ46" s="23"/>
      <c r="AK46" s="2"/>
      <c r="AL46" s="16"/>
      <c r="AM46" s="26" t="s">
        <v>50</v>
      </c>
      <c r="AN46" s="38">
        <v>3.0</v>
      </c>
      <c r="AO46" s="39" t="s">
        <v>51</v>
      </c>
      <c r="AP46" s="39">
        <v>8.0</v>
      </c>
      <c r="AQ46" s="30"/>
      <c r="AR46" s="30"/>
      <c r="AS46" s="31"/>
      <c r="AT46" s="23"/>
      <c r="AU46" s="31"/>
      <c r="AV46" s="23"/>
      <c r="AW46" s="34"/>
      <c r="AX46" s="34"/>
    </row>
    <row r="47" ht="20.25" customHeight="1">
      <c r="A47" s="1"/>
      <c r="B47" s="16"/>
      <c r="C47" s="16"/>
      <c r="D47" s="16"/>
      <c r="E47" s="16"/>
      <c r="F47" s="16"/>
      <c r="G47" s="16"/>
      <c r="H47" s="16"/>
      <c r="I47" s="16"/>
      <c r="K47" s="16"/>
      <c r="M47" s="5"/>
      <c r="N47" s="16"/>
      <c r="O47" s="16"/>
      <c r="P47" s="16"/>
      <c r="Q47" s="16"/>
      <c r="R47" s="16"/>
      <c r="S47" s="16"/>
      <c r="T47" s="16"/>
      <c r="U47" s="16"/>
      <c r="W47" s="16"/>
      <c r="Y47" s="2"/>
      <c r="Z47" s="16"/>
      <c r="AA47" s="16"/>
      <c r="AB47" s="16"/>
      <c r="AC47" s="16"/>
      <c r="AD47" s="16"/>
      <c r="AE47" s="16"/>
      <c r="AF47" s="16"/>
      <c r="AG47" s="16"/>
      <c r="AI47" s="16"/>
      <c r="AK47" s="2"/>
      <c r="AL47" s="16"/>
      <c r="AM47" s="16"/>
      <c r="AN47" s="16"/>
      <c r="AO47" s="16"/>
      <c r="AP47" s="16"/>
      <c r="AQ47" s="16"/>
      <c r="AR47" s="16"/>
      <c r="AS47" s="16"/>
      <c r="AU47" s="16"/>
      <c r="AW47" s="35"/>
      <c r="AX47" s="35"/>
    </row>
    <row r="48" ht="20.25" customHeight="1">
      <c r="A48" s="1"/>
      <c r="B48" s="16"/>
      <c r="C48" s="42" t="s">
        <v>52</v>
      </c>
      <c r="D48" s="43"/>
      <c r="E48" s="43"/>
      <c r="F48" s="43"/>
      <c r="G48" s="43"/>
      <c r="H48" s="43"/>
      <c r="I48" s="43"/>
      <c r="J48" s="43"/>
      <c r="K48" s="43"/>
      <c r="L48" s="23"/>
      <c r="M48" s="5"/>
      <c r="N48" s="16"/>
      <c r="O48" s="42" t="s">
        <v>52</v>
      </c>
      <c r="P48" s="43"/>
      <c r="Q48" s="43"/>
      <c r="R48" s="43"/>
      <c r="S48" s="43"/>
      <c r="T48" s="43"/>
      <c r="U48" s="43"/>
      <c r="V48" s="43"/>
      <c r="W48" s="43"/>
      <c r="X48" s="23"/>
      <c r="Y48" s="2"/>
      <c r="Z48" s="16"/>
      <c r="AA48" s="42" t="s">
        <v>52</v>
      </c>
      <c r="AB48" s="43"/>
      <c r="AC48" s="43"/>
      <c r="AD48" s="43"/>
      <c r="AE48" s="43"/>
      <c r="AF48" s="43"/>
      <c r="AG48" s="43"/>
      <c r="AH48" s="43"/>
      <c r="AI48" s="43"/>
      <c r="AJ48" s="23"/>
      <c r="AK48" s="2"/>
      <c r="AL48" s="16"/>
      <c r="AM48" s="42" t="s">
        <v>52</v>
      </c>
      <c r="AN48" s="43"/>
      <c r="AO48" s="43"/>
      <c r="AP48" s="43"/>
      <c r="AQ48" s="43"/>
      <c r="AR48" s="43"/>
      <c r="AS48" s="43"/>
      <c r="AT48" s="43"/>
      <c r="AU48" s="43"/>
      <c r="AV48" s="23"/>
      <c r="AW48" s="45"/>
      <c r="AX48" s="45"/>
    </row>
    <row r="49" ht="20.25" customHeight="1">
      <c r="A49" s="1"/>
      <c r="B49" s="16"/>
      <c r="C49" s="16"/>
      <c r="D49" s="16"/>
      <c r="E49" s="16"/>
      <c r="F49" s="16"/>
      <c r="G49" s="53"/>
      <c r="H49" s="1"/>
      <c r="I49" s="1"/>
      <c r="K49" s="1"/>
      <c r="M49" s="5"/>
      <c r="N49" s="16"/>
      <c r="O49" s="16"/>
      <c r="P49" s="16"/>
      <c r="Q49" s="16"/>
      <c r="R49" s="16"/>
      <c r="S49" s="53"/>
      <c r="T49" s="1"/>
      <c r="U49" s="1"/>
      <c r="V49" s="1"/>
      <c r="W49" s="1"/>
      <c r="X49" s="1"/>
      <c r="Y49" s="54"/>
      <c r="Z49" s="18"/>
      <c r="AA49" s="18"/>
      <c r="AB49" s="18"/>
      <c r="AC49" s="18"/>
      <c r="AD49" s="18"/>
      <c r="AE49" s="11"/>
      <c r="AF49" s="11"/>
      <c r="AG49" s="11"/>
      <c r="AH49" s="11"/>
      <c r="AI49" s="11"/>
      <c r="AJ49" s="11"/>
      <c r="AK49" s="2"/>
      <c r="AL49" s="18"/>
      <c r="AM49" s="18"/>
      <c r="AN49" s="18"/>
      <c r="AO49" s="18"/>
      <c r="AP49" s="18"/>
      <c r="AQ49" s="11"/>
      <c r="AR49" s="11"/>
      <c r="AS49" s="11"/>
      <c r="AT49" s="11"/>
      <c r="AU49" s="11"/>
      <c r="AV49" s="11"/>
      <c r="AW49" s="11"/>
      <c r="AX49" s="11"/>
    </row>
    <row r="50" ht="20.25" customHeight="1">
      <c r="A50" s="1"/>
      <c r="B50" s="16"/>
      <c r="C50" s="16"/>
      <c r="D50" s="16"/>
      <c r="E50" s="16"/>
      <c r="F50" s="16"/>
      <c r="G50" s="53"/>
      <c r="H50" s="55"/>
      <c r="I50" s="1"/>
      <c r="K50" s="1"/>
      <c r="M50" s="5"/>
      <c r="N50" s="2"/>
      <c r="O50" s="2"/>
      <c r="P50" s="2"/>
      <c r="Q50" s="2"/>
      <c r="R50" s="2"/>
      <c r="S50" s="2"/>
      <c r="T50" s="55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56" t="s">
        <v>53</v>
      </c>
      <c r="C51" s="9"/>
      <c r="D51" s="9"/>
      <c r="E51" s="9"/>
      <c r="F51" s="10"/>
      <c r="G51" s="57"/>
      <c r="H51" s="1"/>
      <c r="I51" s="1"/>
      <c r="K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57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58" t="s">
        <v>6</v>
      </c>
      <c r="C53" s="9"/>
      <c r="D53" s="10"/>
      <c r="E53" s="59" t="s">
        <v>7</v>
      </c>
      <c r="F53" s="59" t="s">
        <v>54</v>
      </c>
      <c r="G53" s="7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60"/>
      <c r="F54" s="60"/>
      <c r="G54" s="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61" t="s">
        <v>55</v>
      </c>
      <c r="C55" s="9"/>
      <c r="D55" s="9"/>
      <c r="E55" s="9"/>
      <c r="F55" s="10"/>
      <c r="G55" s="6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4"/>
      <c r="E56" s="14"/>
      <c r="F56" s="15"/>
      <c r="G56" s="6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6"/>
      <c r="B57" s="63" t="s">
        <v>56</v>
      </c>
      <c r="C57" s="9"/>
      <c r="D57" s="10"/>
      <c r="E57" s="64">
        <v>1.0</v>
      </c>
      <c r="F57" s="65" t="s">
        <v>57</v>
      </c>
      <c r="G57" s="66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60"/>
      <c r="F58" s="60"/>
      <c r="G58" s="66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63" t="s">
        <v>58</v>
      </c>
      <c r="C59" s="9"/>
      <c r="D59" s="10"/>
      <c r="E59" s="64">
        <v>1.0</v>
      </c>
      <c r="F59" s="65" t="s">
        <v>59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3"/>
      <c r="C60" s="14"/>
      <c r="D60" s="15"/>
      <c r="E60" s="60"/>
      <c r="F60" s="60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67" t="s">
        <v>60</v>
      </c>
      <c r="C61" s="9"/>
      <c r="D61" s="10"/>
      <c r="E61" s="68">
        <v>1.0</v>
      </c>
      <c r="F61" s="69" t="s">
        <v>59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3"/>
      <c r="C62" s="14"/>
      <c r="D62" s="15"/>
      <c r="E62" s="60"/>
      <c r="F62" s="60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0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0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0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70"/>
      <c r="C69" s="71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70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2"/>
      <c r="E73" s="72"/>
      <c r="F73" s="4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72"/>
      <c r="E74" s="72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72"/>
      <c r="E75" s="72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72"/>
      <c r="E76" s="72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72"/>
      <c r="E77" s="72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1"/>
      <c r="O79" s="2"/>
      <c r="P79" s="2"/>
      <c r="Q79" s="2"/>
      <c r="R79" s="2"/>
      <c r="S79" s="2"/>
      <c r="T79" s="1"/>
      <c r="U79" s="1"/>
      <c r="V79" s="1"/>
      <c r="W79" s="1"/>
      <c r="X79" s="1"/>
      <c r="Y79" s="1"/>
      <c r="Z79" s="1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1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6"/>
      <c r="E92" s="36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6"/>
      <c r="E93" s="36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6"/>
      <c r="E94" s="36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6"/>
      <c r="E95" s="3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6"/>
      <c r="E96" s="3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6"/>
      <c r="E97" s="3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6"/>
      <c r="E98" s="3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6"/>
      <c r="E99" s="3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6"/>
      <c r="E100" s="3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6"/>
      <c r="E101" s="3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36"/>
      <c r="E102" s="3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36"/>
      <c r="E103" s="3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36"/>
      <c r="E104" s="3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6"/>
      <c r="E105" s="3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6"/>
      <c r="E106" s="3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6"/>
      <c r="E107" s="3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6"/>
      <c r="E108" s="3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6"/>
      <c r="E109" s="3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6"/>
      <c r="E110" s="3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6"/>
      <c r="E111" s="3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6"/>
      <c r="E112" s="3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6"/>
      <c r="E113" s="3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6"/>
      <c r="E114" s="3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6"/>
      <c r="E115" s="3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6"/>
      <c r="E116" s="3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6"/>
      <c r="E117" s="3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6"/>
      <c r="E118" s="3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6"/>
      <c r="E119" s="3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6"/>
      <c r="E120" s="36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6"/>
      <c r="E121" s="36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6"/>
      <c r="E122" s="36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6"/>
      <c r="E123" s="3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6"/>
      <c r="E124" s="3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6"/>
      <c r="E125" s="3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6"/>
      <c r="E126" s="3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6"/>
      <c r="E127" s="3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6"/>
      <c r="E128" s="3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6"/>
      <c r="E129" s="3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6"/>
      <c r="E130" s="3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6"/>
      <c r="E131" s="3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6"/>
      <c r="E132" s="3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6"/>
      <c r="E133" s="3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6"/>
      <c r="E134" s="3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6"/>
      <c r="E135" s="3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6"/>
      <c r="E136" s="3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6"/>
      <c r="E137" s="3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6"/>
      <c r="E138" s="3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6"/>
      <c r="E139" s="3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6"/>
      <c r="E140" s="3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6"/>
      <c r="E141" s="3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6"/>
      <c r="E142" s="3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6"/>
      <c r="E143" s="3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6"/>
      <c r="E144" s="3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6"/>
      <c r="E145" s="3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6"/>
      <c r="E146" s="3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6"/>
      <c r="E147" s="3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6"/>
      <c r="E148" s="3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6"/>
      <c r="E149" s="3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6"/>
      <c r="E150" s="3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6"/>
      <c r="E151" s="3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6"/>
      <c r="E152" s="3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6"/>
      <c r="E153" s="3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36"/>
      <c r="E154" s="3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36"/>
      <c r="E155" s="3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36"/>
      <c r="E156" s="3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3"/>
      <c r="D157" s="36"/>
      <c r="E157" s="3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3"/>
      <c r="D158" s="36"/>
      <c r="E158" s="3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3"/>
      <c r="D159" s="36"/>
      <c r="E159" s="3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3"/>
      <c r="D160" s="36"/>
      <c r="E160" s="3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3"/>
      <c r="D161" s="36"/>
      <c r="E161" s="3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3"/>
      <c r="D162" s="36"/>
      <c r="E162" s="3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73"/>
      <c r="D163" s="36"/>
      <c r="E163" s="3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73"/>
      <c r="D164" s="36"/>
      <c r="E164" s="3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73"/>
      <c r="D165" s="36"/>
      <c r="E165" s="3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73"/>
      <c r="D166" s="36"/>
      <c r="E166" s="3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47"/>
      <c r="C167" s="49"/>
      <c r="D167" s="36"/>
      <c r="E167" s="3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47"/>
      <c r="C168" s="49"/>
      <c r="D168" s="36"/>
      <c r="E168" s="3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47"/>
      <c r="C169" s="49"/>
      <c r="D169" s="36"/>
      <c r="E169" s="3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4" t="s">
        <v>61</v>
      </c>
      <c r="C170" s="75" t="s">
        <v>62</v>
      </c>
      <c r="D170" s="36"/>
      <c r="E170" s="3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4" t="s">
        <v>63</v>
      </c>
      <c r="C171" s="75" t="s">
        <v>64</v>
      </c>
      <c r="D171" s="36"/>
      <c r="E171" s="3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4" t="s">
        <v>65</v>
      </c>
      <c r="C172" s="76">
        <v>24.0</v>
      </c>
      <c r="D172" s="36"/>
      <c r="E172" s="3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4" t="s">
        <v>66</v>
      </c>
      <c r="C173" s="76">
        <v>174.5</v>
      </c>
      <c r="D173" s="36"/>
      <c r="E173" s="3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4" t="s">
        <v>67</v>
      </c>
      <c r="C174" s="76">
        <v>78.0</v>
      </c>
      <c r="D174" s="36"/>
      <c r="E174" s="3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4" t="s">
        <v>68</v>
      </c>
      <c r="C175" s="77" t="s">
        <v>69</v>
      </c>
      <c r="D175" s="36"/>
      <c r="E175" s="3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74" t="s">
        <v>70</v>
      </c>
      <c r="C176" s="77" t="s">
        <v>71</v>
      </c>
      <c r="D176" s="36"/>
      <c r="E176" s="3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74" t="s">
        <v>72</v>
      </c>
      <c r="C177" s="77" t="s">
        <v>73</v>
      </c>
      <c r="D177" s="36"/>
      <c r="E177" s="3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74" t="s">
        <v>74</v>
      </c>
      <c r="C178" s="77" t="s">
        <v>75</v>
      </c>
      <c r="D178" s="36"/>
      <c r="E178" s="3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74" t="s">
        <v>76</v>
      </c>
      <c r="C179" s="77" t="s">
        <v>77</v>
      </c>
      <c r="D179" s="36"/>
      <c r="E179" s="3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47"/>
      <c r="B180" s="74" t="s">
        <v>78</v>
      </c>
      <c r="C180" s="76" t="s">
        <v>79</v>
      </c>
      <c r="D180" s="78"/>
      <c r="E180" s="78"/>
      <c r="F180" s="47"/>
      <c r="G180" s="47"/>
      <c r="H180" s="47"/>
      <c r="I180" s="47"/>
      <c r="J180" s="47"/>
      <c r="K180" s="47"/>
      <c r="L180" s="47"/>
      <c r="M180" s="5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47"/>
      <c r="AW180" s="47"/>
      <c r="AX180" s="47"/>
    </row>
    <row r="181" ht="20.25" customHeight="1">
      <c r="A181" s="47"/>
      <c r="B181" s="74" t="s">
        <v>80</v>
      </c>
      <c r="C181" s="76">
        <v>0.0</v>
      </c>
      <c r="D181" s="78"/>
      <c r="E181" s="78"/>
      <c r="F181" s="47"/>
      <c r="G181" s="47"/>
      <c r="H181" s="47"/>
      <c r="I181" s="47"/>
      <c r="J181" s="47"/>
      <c r="K181" s="47"/>
      <c r="L181" s="47"/>
      <c r="M181" s="5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47"/>
      <c r="AW181" s="47"/>
      <c r="AX181" s="47"/>
    </row>
    <row r="182" ht="20.25" customHeight="1">
      <c r="A182" s="47"/>
      <c r="B182" s="74" t="s">
        <v>81</v>
      </c>
      <c r="C182" s="77" t="s">
        <v>82</v>
      </c>
      <c r="D182" s="78"/>
      <c r="E182" s="78"/>
      <c r="F182" s="47"/>
      <c r="G182" s="47"/>
      <c r="H182" s="47"/>
      <c r="I182" s="47"/>
      <c r="J182" s="47"/>
      <c r="K182" s="47"/>
      <c r="L182" s="47"/>
      <c r="M182" s="5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47"/>
      <c r="AW182" s="47"/>
      <c r="AX182" s="47"/>
    </row>
    <row r="183" ht="20.25" customHeight="1">
      <c r="A183" s="47"/>
      <c r="B183" s="74" t="s">
        <v>83</v>
      </c>
      <c r="C183" s="75" t="s">
        <v>84</v>
      </c>
      <c r="D183" s="78"/>
      <c r="E183" s="78"/>
      <c r="F183" s="47"/>
      <c r="G183" s="47"/>
      <c r="H183" s="47"/>
      <c r="I183" s="47"/>
      <c r="J183" s="47"/>
      <c r="K183" s="47"/>
      <c r="L183" s="47"/>
      <c r="M183" s="5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47"/>
      <c r="AW183" s="47"/>
      <c r="AX183" s="47"/>
    </row>
    <row r="184" ht="20.25" customHeight="1">
      <c r="A184" s="47"/>
      <c r="B184" s="79"/>
      <c r="C184" s="79"/>
      <c r="D184" s="78"/>
      <c r="E184" s="78"/>
      <c r="F184" s="47"/>
      <c r="G184" s="47"/>
      <c r="H184" s="47"/>
      <c r="I184" s="47"/>
      <c r="J184" s="47"/>
      <c r="K184" s="47"/>
      <c r="L184" s="47"/>
      <c r="M184" s="5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47"/>
      <c r="AW184" s="47"/>
      <c r="AX184" s="47"/>
    </row>
    <row r="185" ht="20.25" customHeight="1">
      <c r="A185" s="47"/>
      <c r="B185" s="79"/>
      <c r="C185" s="79"/>
      <c r="D185" s="78"/>
      <c r="E185" s="78"/>
      <c r="F185" s="47"/>
      <c r="G185" s="47"/>
      <c r="H185" s="47"/>
      <c r="I185" s="47"/>
      <c r="J185" s="47"/>
      <c r="K185" s="47"/>
      <c r="L185" s="47"/>
      <c r="M185" s="5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47"/>
      <c r="AW185" s="47"/>
      <c r="AX185" s="47"/>
    </row>
    <row r="186" ht="20.25" customHeight="1">
      <c r="A186" s="47"/>
      <c r="B186" s="79"/>
      <c r="C186" s="79"/>
      <c r="D186" s="78"/>
      <c r="E186" s="78"/>
      <c r="F186" s="47"/>
      <c r="G186" s="47"/>
      <c r="H186" s="47"/>
      <c r="I186" s="47"/>
      <c r="J186" s="47"/>
      <c r="K186" s="47"/>
      <c r="L186" s="47"/>
      <c r="M186" s="5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47"/>
      <c r="AW186" s="47"/>
      <c r="AX186" s="47"/>
    </row>
    <row r="187" ht="20.25" customHeight="1">
      <c r="A187" s="47"/>
      <c r="B187" s="79"/>
      <c r="C187" s="80"/>
      <c r="D187" s="78"/>
      <c r="E187" s="78"/>
      <c r="F187" s="47"/>
      <c r="G187" s="47"/>
      <c r="H187" s="47"/>
      <c r="I187" s="47"/>
      <c r="J187" s="47"/>
      <c r="K187" s="47"/>
      <c r="L187" s="47"/>
      <c r="M187" s="5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47"/>
      <c r="AW187" s="47"/>
      <c r="AX187" s="47"/>
    </row>
    <row r="188" ht="20.25" customHeight="1">
      <c r="A188" s="47"/>
      <c r="B188" s="47"/>
      <c r="C188" s="47"/>
      <c r="D188" s="78"/>
      <c r="E188" s="78"/>
      <c r="F188" s="47"/>
      <c r="G188" s="47"/>
      <c r="H188" s="47"/>
      <c r="I188" s="47"/>
      <c r="J188" s="47"/>
      <c r="K188" s="47"/>
      <c r="L188" s="47"/>
      <c r="M188" s="5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  <c r="AW188" s="47"/>
      <c r="AX188" s="47"/>
    </row>
    <row r="189" ht="20.25" customHeight="1">
      <c r="A189" s="1"/>
      <c r="B189" s="47"/>
      <c r="C189" s="47"/>
      <c r="D189" s="36"/>
      <c r="E189" s="36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47"/>
      <c r="C190" s="47"/>
      <c r="D190" s="36"/>
      <c r="E190" s="36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3"/>
      <c r="D191" s="36"/>
      <c r="E191" s="36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3"/>
      <c r="D192" s="36"/>
      <c r="E192" s="3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3"/>
      <c r="D193" s="36"/>
      <c r="E193" s="3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3"/>
      <c r="D194" s="36"/>
      <c r="E194" s="3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3"/>
      <c r="D195" s="36"/>
      <c r="E195" s="3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3"/>
      <c r="D196" s="36"/>
      <c r="E196" s="3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3"/>
      <c r="D197" s="36"/>
      <c r="E197" s="3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3"/>
      <c r="D198" s="36"/>
      <c r="E198" s="3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3"/>
      <c r="D199" s="36"/>
      <c r="E199" s="3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3"/>
      <c r="D200" s="36"/>
      <c r="E200" s="3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3"/>
      <c r="D201" s="36"/>
      <c r="E201" s="3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3"/>
      <c r="D202" s="36"/>
      <c r="E202" s="3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3"/>
      <c r="D203" s="36"/>
      <c r="E203" s="3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3"/>
      <c r="D204" s="36"/>
      <c r="E204" s="3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3"/>
      <c r="D205" s="36"/>
      <c r="E205" s="3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3"/>
      <c r="D206" s="36"/>
      <c r="E206" s="3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3"/>
      <c r="D207" s="36"/>
      <c r="E207" s="3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3"/>
      <c r="D208" s="36"/>
      <c r="E208" s="3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3"/>
      <c r="D209" s="36"/>
      <c r="E209" s="3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3"/>
      <c r="D210" s="36"/>
      <c r="E210" s="3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3"/>
      <c r="D211" s="36"/>
      <c r="E211" s="3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3"/>
      <c r="D212" s="36"/>
      <c r="E212" s="3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3"/>
      <c r="D213" s="36"/>
      <c r="E213" s="3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3"/>
      <c r="D214" s="36"/>
      <c r="E214" s="3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3"/>
      <c r="D215" s="36"/>
      <c r="E215" s="3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3"/>
      <c r="D216" s="36"/>
      <c r="E216" s="3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3"/>
      <c r="D217" s="36"/>
      <c r="E217" s="3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3"/>
      <c r="D218" s="36"/>
      <c r="E218" s="3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3"/>
      <c r="D219" s="36"/>
      <c r="E219" s="3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3"/>
      <c r="D220" s="36"/>
      <c r="E220" s="3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3"/>
      <c r="D221" s="36"/>
      <c r="E221" s="3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3"/>
      <c r="D222" s="36"/>
      <c r="E222" s="3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3"/>
      <c r="D223" s="36"/>
      <c r="E223" s="3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3"/>
      <c r="D224" s="36"/>
      <c r="E224" s="3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3"/>
      <c r="D225" s="36"/>
      <c r="E225" s="3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3"/>
      <c r="D226" s="36"/>
      <c r="E226" s="3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3"/>
      <c r="D227" s="36"/>
      <c r="E227" s="3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3"/>
      <c r="D228" s="36"/>
      <c r="E228" s="3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3"/>
      <c r="D229" s="36"/>
      <c r="E229" s="3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3"/>
      <c r="D230" s="36"/>
      <c r="E230" s="3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3"/>
      <c r="D231" s="36"/>
      <c r="E231" s="3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3"/>
      <c r="D232" s="36"/>
      <c r="E232" s="3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3"/>
      <c r="D233" s="36"/>
      <c r="E233" s="3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3"/>
      <c r="D234" s="36"/>
      <c r="E234" s="3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3"/>
      <c r="D235" s="36"/>
      <c r="E235" s="3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3"/>
      <c r="D236" s="36"/>
      <c r="E236" s="3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3"/>
      <c r="D237" s="36"/>
      <c r="E237" s="3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3"/>
      <c r="D238" s="36"/>
      <c r="E238" s="3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3"/>
      <c r="D239" s="36"/>
      <c r="E239" s="3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3"/>
      <c r="D240" s="36"/>
      <c r="E240" s="3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3"/>
      <c r="D241" s="36"/>
      <c r="E241" s="3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3"/>
      <c r="D242" s="36"/>
      <c r="E242" s="3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3"/>
      <c r="D243" s="36"/>
      <c r="E243" s="3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3"/>
      <c r="D244" s="36"/>
      <c r="E244" s="3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3"/>
      <c r="D245" s="36"/>
      <c r="E245" s="3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3"/>
      <c r="D246" s="36"/>
      <c r="E246" s="3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3"/>
      <c r="D247" s="36"/>
      <c r="E247" s="3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3"/>
      <c r="D248" s="36"/>
      <c r="E248" s="3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3"/>
      <c r="D249" s="36"/>
      <c r="E249" s="3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3"/>
      <c r="D250" s="36"/>
      <c r="E250" s="3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3"/>
      <c r="D251" s="36"/>
      <c r="E251" s="3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3"/>
      <c r="D252" s="36"/>
      <c r="E252" s="3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3"/>
      <c r="D253" s="36"/>
      <c r="E253" s="3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3"/>
      <c r="D254" s="36"/>
      <c r="E254" s="3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3"/>
      <c r="D255" s="36"/>
      <c r="E255" s="3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3"/>
      <c r="D256" s="36"/>
      <c r="E256" s="3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3"/>
      <c r="D257" s="36"/>
      <c r="E257" s="3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3"/>
      <c r="D258" s="36"/>
      <c r="E258" s="3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3"/>
      <c r="D259" s="36"/>
      <c r="E259" s="3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3"/>
      <c r="D260" s="36"/>
      <c r="E260" s="3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3"/>
      <c r="D261" s="36"/>
      <c r="E261" s="3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3"/>
      <c r="D262" s="36"/>
      <c r="E262" s="3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3"/>
      <c r="D263" s="36"/>
      <c r="E263" s="3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3"/>
      <c r="D264" s="36"/>
      <c r="E264" s="3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3"/>
      <c r="D265" s="36"/>
      <c r="E265" s="3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3"/>
      <c r="D266" s="36"/>
      <c r="E266" s="3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3"/>
      <c r="D267" s="36"/>
      <c r="E267" s="3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3"/>
      <c r="D268" s="36"/>
      <c r="E268" s="3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3"/>
      <c r="D269" s="36"/>
      <c r="E269" s="3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3"/>
      <c r="D270" s="36"/>
      <c r="E270" s="3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3"/>
      <c r="D271" s="36"/>
      <c r="E271" s="3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3"/>
      <c r="D272" s="36"/>
      <c r="E272" s="3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3"/>
      <c r="D273" s="36"/>
      <c r="E273" s="3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3"/>
      <c r="D274" s="36"/>
      <c r="E274" s="3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3"/>
      <c r="D275" s="36"/>
      <c r="E275" s="3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3"/>
      <c r="D276" s="36"/>
      <c r="E276" s="3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3"/>
      <c r="D277" s="36"/>
      <c r="E277" s="3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3"/>
      <c r="D278" s="36"/>
      <c r="E278" s="3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3"/>
      <c r="D279" s="36"/>
      <c r="E279" s="3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3"/>
      <c r="D280" s="36"/>
      <c r="E280" s="3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3"/>
      <c r="D281" s="36"/>
      <c r="E281" s="3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3"/>
      <c r="D282" s="36"/>
      <c r="E282" s="3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3"/>
      <c r="D283" s="36"/>
      <c r="E283" s="3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3"/>
      <c r="D284" s="36"/>
      <c r="E284" s="3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3"/>
      <c r="D285" s="36"/>
      <c r="E285" s="3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3"/>
      <c r="D286" s="36"/>
      <c r="E286" s="3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3"/>
      <c r="D287" s="36"/>
      <c r="E287" s="3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3"/>
      <c r="D288" s="36"/>
      <c r="E288" s="3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3"/>
      <c r="D289" s="36"/>
      <c r="E289" s="3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3"/>
      <c r="D290" s="36"/>
      <c r="E290" s="3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3"/>
      <c r="D291" s="36"/>
      <c r="E291" s="3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3"/>
      <c r="D292" s="36"/>
      <c r="E292" s="3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3"/>
      <c r="D293" s="36"/>
      <c r="E293" s="3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3"/>
      <c r="D294" s="36"/>
      <c r="E294" s="3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3"/>
      <c r="D295" s="36"/>
      <c r="E295" s="3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3"/>
      <c r="D296" s="36"/>
      <c r="E296" s="3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3"/>
      <c r="D297" s="36"/>
      <c r="E297" s="3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3"/>
      <c r="D298" s="36"/>
      <c r="E298" s="3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3"/>
      <c r="D299" s="36"/>
      <c r="E299" s="3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3"/>
      <c r="D300" s="36"/>
      <c r="E300" s="3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3"/>
      <c r="D301" s="36"/>
      <c r="E301" s="3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3"/>
      <c r="D302" s="36"/>
      <c r="E302" s="3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3"/>
      <c r="D303" s="36"/>
      <c r="E303" s="3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3"/>
      <c r="D304" s="36"/>
      <c r="E304" s="3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3"/>
      <c r="D305" s="36"/>
      <c r="E305" s="3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3"/>
      <c r="D306" s="36"/>
      <c r="E306" s="3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3"/>
      <c r="D307" s="36"/>
      <c r="E307" s="3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3"/>
      <c r="D308" s="36"/>
      <c r="E308" s="3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3"/>
      <c r="D309" s="36"/>
      <c r="E309" s="3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3"/>
      <c r="D310" s="36"/>
      <c r="E310" s="3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3"/>
      <c r="D311" s="36"/>
      <c r="E311" s="3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3"/>
      <c r="D312" s="36"/>
      <c r="E312" s="3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3"/>
      <c r="D313" s="36"/>
      <c r="E313" s="3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3"/>
      <c r="D314" s="36"/>
      <c r="E314" s="3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3"/>
      <c r="D315" s="36"/>
      <c r="E315" s="3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3"/>
      <c r="D316" s="36"/>
      <c r="E316" s="3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3"/>
      <c r="D317" s="36"/>
      <c r="E317" s="3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3"/>
      <c r="D318" s="36"/>
      <c r="E318" s="3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3"/>
      <c r="D319" s="36"/>
      <c r="E319" s="3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3"/>
      <c r="D320" s="36"/>
      <c r="E320" s="3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3"/>
      <c r="D321" s="36"/>
      <c r="E321" s="3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3"/>
      <c r="D322" s="36"/>
      <c r="E322" s="3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3"/>
      <c r="D323" s="36"/>
      <c r="E323" s="3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3"/>
      <c r="D324" s="36"/>
      <c r="E324" s="3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3"/>
      <c r="D325" s="36"/>
      <c r="E325" s="3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3"/>
      <c r="D326" s="36"/>
      <c r="E326" s="3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3"/>
      <c r="D327" s="36"/>
      <c r="E327" s="3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3"/>
      <c r="D328" s="36"/>
      <c r="E328" s="3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3"/>
      <c r="D329" s="36"/>
      <c r="E329" s="3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3"/>
      <c r="D330" s="36"/>
      <c r="E330" s="3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3"/>
      <c r="D331" s="36"/>
      <c r="E331" s="3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3"/>
      <c r="D332" s="36"/>
      <c r="E332" s="3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3"/>
      <c r="D333" s="36"/>
      <c r="E333" s="3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3"/>
      <c r="D334" s="36"/>
      <c r="E334" s="3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3"/>
      <c r="D335" s="36"/>
      <c r="E335" s="3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3"/>
      <c r="D336" s="36"/>
      <c r="E336" s="3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3"/>
      <c r="D337" s="36"/>
      <c r="E337" s="3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3"/>
      <c r="D338" s="36"/>
      <c r="E338" s="3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3"/>
      <c r="D339" s="36"/>
      <c r="E339" s="3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3"/>
      <c r="D340" s="36"/>
      <c r="E340" s="3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3"/>
      <c r="D341" s="36"/>
      <c r="E341" s="3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3"/>
      <c r="D342" s="36"/>
      <c r="E342" s="3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3"/>
      <c r="D343" s="36"/>
      <c r="E343" s="3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3"/>
      <c r="D344" s="36"/>
      <c r="E344" s="3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3"/>
      <c r="D345" s="36"/>
      <c r="E345" s="3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3"/>
      <c r="D346" s="36"/>
      <c r="E346" s="3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3"/>
      <c r="D347" s="36"/>
      <c r="E347" s="3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3"/>
      <c r="D348" s="36"/>
      <c r="E348" s="3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3"/>
      <c r="D349" s="36"/>
      <c r="E349" s="3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3"/>
      <c r="D350" s="36"/>
      <c r="E350" s="3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3"/>
      <c r="D351" s="36"/>
      <c r="E351" s="3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3"/>
      <c r="D352" s="36"/>
      <c r="E352" s="3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3"/>
      <c r="D353" s="36"/>
      <c r="E353" s="3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3"/>
      <c r="D354" s="36"/>
      <c r="E354" s="3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3"/>
      <c r="D355" s="36"/>
      <c r="E355" s="3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3"/>
      <c r="D356" s="36"/>
      <c r="E356" s="3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3"/>
      <c r="D357" s="36"/>
      <c r="E357" s="3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3"/>
      <c r="D358" s="36"/>
      <c r="E358" s="3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3"/>
      <c r="D359" s="36"/>
      <c r="E359" s="3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3"/>
      <c r="D360" s="36"/>
      <c r="E360" s="3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3"/>
      <c r="D361" s="36"/>
      <c r="E361" s="3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3"/>
      <c r="D362" s="36"/>
      <c r="E362" s="3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3"/>
      <c r="D363" s="36"/>
      <c r="E363" s="3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3"/>
      <c r="D364" s="36"/>
      <c r="E364" s="3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3"/>
      <c r="D365" s="36"/>
      <c r="E365" s="3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3"/>
      <c r="D366" s="36"/>
      <c r="E366" s="3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3"/>
      <c r="D367" s="36"/>
      <c r="E367" s="3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3"/>
      <c r="D368" s="36"/>
      <c r="E368" s="3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3"/>
      <c r="D369" s="36"/>
      <c r="E369" s="3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3"/>
      <c r="D370" s="36"/>
      <c r="E370" s="3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3"/>
      <c r="D371" s="36"/>
      <c r="E371" s="3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3"/>
      <c r="D372" s="36"/>
      <c r="E372" s="3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3"/>
      <c r="D373" s="36"/>
      <c r="E373" s="3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3"/>
      <c r="D374" s="36"/>
      <c r="E374" s="3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3"/>
      <c r="D375" s="36"/>
      <c r="E375" s="3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3"/>
      <c r="D376" s="36"/>
      <c r="E376" s="3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3"/>
      <c r="D377" s="36"/>
      <c r="E377" s="3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3"/>
      <c r="D378" s="36"/>
      <c r="E378" s="3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3"/>
      <c r="D379" s="36"/>
      <c r="E379" s="3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3"/>
      <c r="D380" s="36"/>
      <c r="E380" s="3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3"/>
      <c r="D381" s="36"/>
      <c r="E381" s="3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3"/>
      <c r="D382" s="36"/>
      <c r="E382" s="3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3"/>
      <c r="D383" s="36"/>
      <c r="E383" s="3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3"/>
      <c r="D384" s="36"/>
      <c r="E384" s="3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3"/>
      <c r="D385" s="36"/>
      <c r="E385" s="3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3"/>
      <c r="D386" s="36"/>
      <c r="E386" s="3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3"/>
      <c r="D387" s="36"/>
      <c r="E387" s="3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3"/>
      <c r="D388" s="36"/>
      <c r="E388" s="3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3"/>
      <c r="D389" s="36"/>
      <c r="E389" s="3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3"/>
      <c r="D390" s="36"/>
      <c r="E390" s="3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3"/>
      <c r="D391" s="36"/>
      <c r="E391" s="3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3"/>
      <c r="D392" s="36"/>
      <c r="E392" s="3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3"/>
      <c r="D393" s="36"/>
      <c r="E393" s="3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3"/>
      <c r="D394" s="36"/>
      <c r="E394" s="3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3"/>
      <c r="D395" s="36"/>
      <c r="E395" s="3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3"/>
      <c r="D396" s="36"/>
      <c r="E396" s="3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3"/>
      <c r="D397" s="36"/>
      <c r="E397" s="3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3"/>
      <c r="D398" s="36"/>
      <c r="E398" s="3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3"/>
      <c r="D399" s="36"/>
      <c r="E399" s="3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3"/>
      <c r="D400" s="36"/>
      <c r="E400" s="3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3"/>
      <c r="D401" s="36"/>
      <c r="E401" s="3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3"/>
      <c r="D402" s="36"/>
      <c r="E402" s="3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3"/>
      <c r="D403" s="36"/>
      <c r="E403" s="3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3"/>
      <c r="D404" s="36"/>
      <c r="E404" s="3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3"/>
      <c r="D405" s="36"/>
      <c r="E405" s="3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3"/>
      <c r="D406" s="36"/>
      <c r="E406" s="3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3"/>
      <c r="D407" s="36"/>
      <c r="E407" s="3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3"/>
      <c r="D408" s="36"/>
      <c r="E408" s="3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3"/>
      <c r="D409" s="36"/>
      <c r="E409" s="3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3"/>
      <c r="D410" s="36"/>
      <c r="E410" s="3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3"/>
      <c r="D411" s="36"/>
      <c r="E411" s="3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3"/>
      <c r="D412" s="36"/>
      <c r="E412" s="3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3"/>
      <c r="D413" s="36"/>
      <c r="E413" s="3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3"/>
      <c r="D414" s="36"/>
      <c r="E414" s="3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3"/>
      <c r="D415" s="36"/>
      <c r="E415" s="3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3"/>
      <c r="D416" s="36"/>
      <c r="E416" s="3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3"/>
      <c r="D417" s="36"/>
      <c r="E417" s="3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3"/>
      <c r="D418" s="36"/>
      <c r="E418" s="3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3"/>
      <c r="D419" s="36"/>
      <c r="E419" s="3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3"/>
      <c r="D420" s="36"/>
      <c r="E420" s="3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3"/>
      <c r="D421" s="36"/>
      <c r="E421" s="3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3"/>
      <c r="D422" s="36"/>
      <c r="E422" s="3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3"/>
      <c r="D423" s="36"/>
      <c r="E423" s="3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3"/>
      <c r="D424" s="36"/>
      <c r="E424" s="3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3"/>
      <c r="D425" s="36"/>
      <c r="E425" s="3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3"/>
      <c r="D426" s="36"/>
      <c r="E426" s="3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3"/>
      <c r="D427" s="36"/>
      <c r="E427" s="3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3"/>
      <c r="D428" s="36"/>
      <c r="E428" s="3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3"/>
      <c r="D429" s="36"/>
      <c r="E429" s="3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3"/>
      <c r="D430" s="36"/>
      <c r="E430" s="3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3"/>
      <c r="D431" s="36"/>
      <c r="E431" s="3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3"/>
      <c r="D432" s="36"/>
      <c r="E432" s="3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3"/>
      <c r="D433" s="36"/>
      <c r="E433" s="3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3"/>
      <c r="D434" s="36"/>
      <c r="E434" s="3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3"/>
      <c r="D435" s="36"/>
      <c r="E435" s="3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3"/>
      <c r="D436" s="36"/>
      <c r="E436" s="3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3"/>
      <c r="D437" s="36"/>
      <c r="E437" s="3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3"/>
      <c r="D438" s="36"/>
      <c r="E438" s="3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3"/>
      <c r="D439" s="36"/>
      <c r="E439" s="3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3"/>
      <c r="D440" s="36"/>
      <c r="E440" s="3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3"/>
      <c r="D441" s="36"/>
      <c r="E441" s="3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3"/>
      <c r="D442" s="36"/>
      <c r="E442" s="3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3"/>
      <c r="D443" s="36"/>
      <c r="E443" s="3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3"/>
      <c r="D444" s="36"/>
      <c r="E444" s="3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3"/>
      <c r="D445" s="36"/>
      <c r="E445" s="3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3"/>
      <c r="D446" s="36"/>
      <c r="E446" s="3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3"/>
      <c r="D447" s="36"/>
      <c r="E447" s="3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3"/>
      <c r="D448" s="36"/>
      <c r="E448" s="3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3"/>
      <c r="D449" s="36"/>
      <c r="E449" s="3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3"/>
      <c r="D450" s="36"/>
      <c r="E450" s="3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3"/>
      <c r="D451" s="36"/>
      <c r="E451" s="3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3"/>
      <c r="D452" s="36"/>
      <c r="E452" s="3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3"/>
      <c r="D453" s="36"/>
      <c r="E453" s="3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3"/>
      <c r="D454" s="36"/>
      <c r="E454" s="3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3"/>
      <c r="D455" s="36"/>
      <c r="E455" s="3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3"/>
      <c r="D456" s="36"/>
      <c r="E456" s="3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3"/>
      <c r="D457" s="36"/>
      <c r="E457" s="3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3"/>
      <c r="D458" s="36"/>
      <c r="E458" s="3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3"/>
      <c r="D459" s="36"/>
      <c r="E459" s="3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3"/>
      <c r="D460" s="36"/>
      <c r="E460" s="3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3"/>
      <c r="D461" s="36"/>
      <c r="E461" s="3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3"/>
      <c r="D462" s="36"/>
      <c r="E462" s="3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3"/>
      <c r="D463" s="36"/>
      <c r="E463" s="3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3"/>
      <c r="D464" s="36"/>
      <c r="E464" s="3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3"/>
      <c r="D465" s="36"/>
      <c r="E465" s="3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3"/>
      <c r="D466" s="36"/>
      <c r="E466" s="3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3"/>
      <c r="D467" s="36"/>
      <c r="E467" s="3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3"/>
      <c r="D468" s="36"/>
      <c r="E468" s="3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3"/>
      <c r="D469" s="36"/>
      <c r="E469" s="3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3"/>
      <c r="D470" s="36"/>
      <c r="E470" s="3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3"/>
      <c r="D471" s="36"/>
      <c r="E471" s="3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3"/>
      <c r="D472" s="36"/>
      <c r="E472" s="3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3"/>
      <c r="D473" s="36"/>
      <c r="E473" s="3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3"/>
      <c r="D474" s="36"/>
      <c r="E474" s="3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3"/>
      <c r="D475" s="36"/>
      <c r="E475" s="3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3"/>
      <c r="D476" s="36"/>
      <c r="E476" s="3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3"/>
      <c r="D477" s="36"/>
      <c r="E477" s="3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3"/>
      <c r="D478" s="36"/>
      <c r="E478" s="3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3"/>
      <c r="D479" s="36"/>
      <c r="E479" s="3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3"/>
      <c r="D480" s="36"/>
      <c r="E480" s="3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3"/>
      <c r="D481" s="36"/>
      <c r="E481" s="3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3"/>
      <c r="D482" s="36"/>
      <c r="E482" s="3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3"/>
      <c r="D483" s="36"/>
      <c r="E483" s="3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3"/>
      <c r="D484" s="36"/>
      <c r="E484" s="3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3"/>
      <c r="D485" s="36"/>
      <c r="E485" s="3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3"/>
      <c r="D486" s="36"/>
      <c r="E486" s="3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3"/>
      <c r="D487" s="36"/>
      <c r="E487" s="3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3"/>
      <c r="D488" s="36"/>
      <c r="E488" s="3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3"/>
      <c r="D489" s="36"/>
      <c r="E489" s="3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3"/>
      <c r="D490" s="36"/>
      <c r="E490" s="3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3"/>
      <c r="D491" s="36"/>
      <c r="E491" s="3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3"/>
      <c r="D492" s="36"/>
      <c r="E492" s="3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3"/>
      <c r="D493" s="36"/>
      <c r="E493" s="3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3"/>
      <c r="D494" s="36"/>
      <c r="E494" s="3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3"/>
      <c r="D495" s="36"/>
      <c r="E495" s="3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3"/>
      <c r="D496" s="36"/>
      <c r="E496" s="3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3"/>
      <c r="D497" s="36"/>
      <c r="E497" s="3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3"/>
      <c r="D498" s="36"/>
      <c r="E498" s="3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3"/>
      <c r="D499" s="36"/>
      <c r="E499" s="3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3"/>
      <c r="D500" s="36"/>
      <c r="E500" s="3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3"/>
      <c r="D501" s="36"/>
      <c r="E501" s="3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3"/>
      <c r="D502" s="36"/>
      <c r="E502" s="3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3"/>
      <c r="D503" s="36"/>
      <c r="E503" s="3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3"/>
      <c r="D504" s="36"/>
      <c r="E504" s="3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3"/>
      <c r="D505" s="36"/>
      <c r="E505" s="3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3"/>
      <c r="D506" s="36"/>
      <c r="E506" s="3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3"/>
      <c r="D507" s="36"/>
      <c r="E507" s="3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3"/>
      <c r="D508" s="36"/>
      <c r="E508" s="3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3"/>
      <c r="D509" s="36"/>
      <c r="E509" s="3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3"/>
      <c r="D510" s="36"/>
      <c r="E510" s="3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3"/>
      <c r="D511" s="36"/>
      <c r="E511" s="3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3"/>
      <c r="D512" s="36"/>
      <c r="E512" s="3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3"/>
      <c r="D513" s="36"/>
      <c r="E513" s="3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3"/>
      <c r="D514" s="36"/>
      <c r="E514" s="3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3"/>
      <c r="D515" s="36"/>
      <c r="E515" s="3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3"/>
      <c r="D516" s="36"/>
      <c r="E516" s="3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3"/>
      <c r="D517" s="36"/>
      <c r="E517" s="3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3"/>
      <c r="D518" s="36"/>
      <c r="E518" s="3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3"/>
      <c r="D519" s="36"/>
      <c r="E519" s="3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3"/>
      <c r="D520" s="36"/>
      <c r="E520" s="3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3"/>
      <c r="D521" s="36"/>
      <c r="E521" s="3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3"/>
      <c r="D522" s="36"/>
      <c r="E522" s="3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3"/>
      <c r="D523" s="36"/>
      <c r="E523" s="3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3"/>
      <c r="D524" s="36"/>
      <c r="E524" s="3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3"/>
      <c r="D525" s="36"/>
      <c r="E525" s="3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3"/>
      <c r="D526" s="36"/>
      <c r="E526" s="3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3"/>
      <c r="D527" s="36"/>
      <c r="E527" s="3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3"/>
      <c r="D528" s="36"/>
      <c r="E528" s="3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3"/>
      <c r="D529" s="36"/>
      <c r="E529" s="3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3"/>
      <c r="D530" s="36"/>
      <c r="E530" s="3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3"/>
      <c r="D531" s="36"/>
      <c r="E531" s="3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3"/>
      <c r="D532" s="36"/>
      <c r="E532" s="3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3"/>
      <c r="D533" s="36"/>
      <c r="E533" s="3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3"/>
      <c r="D534" s="36"/>
      <c r="E534" s="3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3"/>
      <c r="D535" s="36"/>
      <c r="E535" s="3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3"/>
      <c r="D536" s="36"/>
      <c r="E536" s="3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3"/>
      <c r="D537" s="36"/>
      <c r="E537" s="3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3"/>
      <c r="D538" s="36"/>
      <c r="E538" s="3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3"/>
      <c r="D539" s="36"/>
      <c r="E539" s="3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3"/>
      <c r="D540" s="36"/>
      <c r="E540" s="3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3"/>
      <c r="D541" s="36"/>
      <c r="E541" s="3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3"/>
      <c r="D542" s="36"/>
      <c r="E542" s="3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3"/>
      <c r="D543" s="36"/>
      <c r="E543" s="3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3"/>
      <c r="D544" s="36"/>
      <c r="E544" s="3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3"/>
      <c r="D545" s="36"/>
      <c r="E545" s="3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3"/>
      <c r="D546" s="36"/>
      <c r="E546" s="3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3"/>
      <c r="D547" s="36"/>
      <c r="E547" s="3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3"/>
      <c r="D548" s="36"/>
      <c r="E548" s="3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3"/>
      <c r="D549" s="36"/>
      <c r="E549" s="3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3"/>
      <c r="D550" s="36"/>
      <c r="E550" s="3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3"/>
      <c r="D551" s="36"/>
      <c r="E551" s="3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3"/>
      <c r="D552" s="36"/>
      <c r="E552" s="3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3"/>
      <c r="D553" s="36"/>
      <c r="E553" s="3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3"/>
      <c r="D554" s="36"/>
      <c r="E554" s="3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3"/>
      <c r="D555" s="36"/>
      <c r="E555" s="3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3"/>
      <c r="D556" s="36"/>
      <c r="E556" s="3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3"/>
      <c r="D557" s="36"/>
      <c r="E557" s="3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3"/>
      <c r="D558" s="36"/>
      <c r="E558" s="3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3"/>
      <c r="D559" s="36"/>
      <c r="E559" s="3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3"/>
      <c r="D560" s="36"/>
      <c r="E560" s="3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3"/>
      <c r="D561" s="36"/>
      <c r="E561" s="3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3"/>
      <c r="D562" s="36"/>
      <c r="E562" s="3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3"/>
      <c r="D563" s="36"/>
      <c r="E563" s="3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3"/>
      <c r="D564" s="36"/>
      <c r="E564" s="3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3"/>
      <c r="D565" s="36"/>
      <c r="E565" s="3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3"/>
      <c r="D566" s="36"/>
      <c r="E566" s="3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3"/>
      <c r="D567" s="36"/>
      <c r="E567" s="3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3"/>
      <c r="D568" s="36"/>
      <c r="E568" s="3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3"/>
      <c r="D569" s="36"/>
      <c r="E569" s="3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3"/>
      <c r="D570" s="36"/>
      <c r="E570" s="3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3"/>
      <c r="D571" s="36"/>
      <c r="E571" s="3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3"/>
      <c r="D572" s="36"/>
      <c r="E572" s="3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3"/>
      <c r="D573" s="36"/>
      <c r="E573" s="3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3"/>
      <c r="D574" s="36"/>
      <c r="E574" s="3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3"/>
      <c r="D575" s="36"/>
      <c r="E575" s="3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3"/>
      <c r="D576" s="36"/>
      <c r="E576" s="3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3"/>
      <c r="D577" s="36"/>
      <c r="E577" s="3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3"/>
      <c r="D578" s="36"/>
      <c r="E578" s="3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3"/>
      <c r="D579" s="36"/>
      <c r="E579" s="3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3"/>
      <c r="D580" s="36"/>
      <c r="E580" s="3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3"/>
      <c r="D581" s="36"/>
      <c r="E581" s="3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3"/>
      <c r="D582" s="36"/>
      <c r="E582" s="3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3"/>
      <c r="D583" s="36"/>
      <c r="E583" s="3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3"/>
      <c r="D584" s="36"/>
      <c r="E584" s="3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3"/>
      <c r="D585" s="36"/>
      <c r="E585" s="3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3"/>
      <c r="D586" s="36"/>
      <c r="E586" s="3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3"/>
      <c r="D587" s="36"/>
      <c r="E587" s="3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3"/>
      <c r="D588" s="36"/>
      <c r="E588" s="3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3"/>
      <c r="D589" s="36"/>
      <c r="E589" s="3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3"/>
      <c r="D590" s="36"/>
      <c r="E590" s="3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3"/>
      <c r="D591" s="36"/>
      <c r="E591" s="3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3"/>
      <c r="D592" s="36"/>
      <c r="E592" s="3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3"/>
      <c r="D593" s="36"/>
      <c r="E593" s="3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3"/>
      <c r="D594" s="36"/>
      <c r="E594" s="3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3"/>
      <c r="D595" s="36"/>
      <c r="E595" s="3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3"/>
      <c r="D596" s="36"/>
      <c r="E596" s="3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3"/>
      <c r="D597" s="36"/>
      <c r="E597" s="3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3"/>
      <c r="D598" s="36"/>
      <c r="E598" s="3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3"/>
      <c r="D599" s="36"/>
      <c r="E599" s="3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3"/>
      <c r="D600" s="36"/>
      <c r="E600" s="3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3"/>
      <c r="D601" s="36"/>
      <c r="E601" s="3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3"/>
      <c r="D602" s="36"/>
      <c r="E602" s="3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3"/>
      <c r="D603" s="36"/>
      <c r="E603" s="3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3"/>
      <c r="D604" s="36"/>
      <c r="E604" s="3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3"/>
      <c r="D605" s="36"/>
      <c r="E605" s="3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3"/>
      <c r="D606" s="36"/>
      <c r="E606" s="3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3"/>
      <c r="D607" s="36"/>
      <c r="E607" s="3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3"/>
      <c r="D608" s="36"/>
      <c r="E608" s="3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3"/>
      <c r="D609" s="36"/>
      <c r="E609" s="3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3"/>
      <c r="D610" s="36"/>
      <c r="E610" s="3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3"/>
      <c r="D611" s="36"/>
      <c r="E611" s="3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3"/>
      <c r="D612" s="36"/>
      <c r="E612" s="3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3"/>
      <c r="D613" s="36"/>
      <c r="E613" s="3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3"/>
      <c r="D614" s="36"/>
      <c r="E614" s="3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3"/>
      <c r="D615" s="36"/>
      <c r="E615" s="3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3"/>
      <c r="D616" s="36"/>
      <c r="E616" s="3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3"/>
      <c r="D617" s="36"/>
      <c r="E617" s="3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3"/>
      <c r="D618" s="36"/>
      <c r="E618" s="3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3"/>
      <c r="D619" s="36"/>
      <c r="E619" s="3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3"/>
      <c r="D620" s="36"/>
      <c r="E620" s="3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3"/>
      <c r="D621" s="36"/>
      <c r="E621" s="3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3"/>
      <c r="D622" s="36"/>
      <c r="E622" s="3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3"/>
      <c r="D623" s="36"/>
      <c r="E623" s="3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3"/>
      <c r="D624" s="36"/>
      <c r="E624" s="3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3"/>
      <c r="D625" s="36"/>
      <c r="E625" s="3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3"/>
      <c r="D626" s="36"/>
      <c r="E626" s="3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3"/>
      <c r="D627" s="36"/>
      <c r="E627" s="3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3"/>
      <c r="D628" s="36"/>
      <c r="E628" s="3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3"/>
      <c r="D629" s="36"/>
      <c r="E629" s="3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3"/>
      <c r="D630" s="36"/>
      <c r="E630" s="3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3"/>
      <c r="D631" s="36"/>
      <c r="E631" s="3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3"/>
      <c r="D632" s="36"/>
      <c r="E632" s="3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3"/>
      <c r="D633" s="36"/>
      <c r="E633" s="3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3"/>
      <c r="D634" s="36"/>
      <c r="E634" s="3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3"/>
      <c r="D635" s="36"/>
      <c r="E635" s="3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3"/>
      <c r="D636" s="36"/>
      <c r="E636" s="3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3"/>
      <c r="D637" s="36"/>
      <c r="E637" s="3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3"/>
      <c r="D638" s="36"/>
      <c r="E638" s="3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3"/>
      <c r="D639" s="36"/>
      <c r="E639" s="3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3"/>
      <c r="D640" s="36"/>
      <c r="E640" s="3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3"/>
      <c r="D641" s="36"/>
      <c r="E641" s="3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3"/>
      <c r="D642" s="36"/>
      <c r="E642" s="3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3"/>
      <c r="D643" s="36"/>
      <c r="E643" s="3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3"/>
      <c r="D644" s="36"/>
      <c r="E644" s="3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3"/>
      <c r="D645" s="36"/>
      <c r="E645" s="3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3"/>
      <c r="D646" s="36"/>
      <c r="E646" s="3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3"/>
      <c r="D647" s="36"/>
      <c r="E647" s="3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3"/>
      <c r="D648" s="36"/>
      <c r="E648" s="3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3"/>
      <c r="D649" s="36"/>
      <c r="E649" s="3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3"/>
      <c r="D650" s="36"/>
      <c r="E650" s="3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3"/>
      <c r="D651" s="36"/>
      <c r="E651" s="3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3"/>
      <c r="D652" s="36"/>
      <c r="E652" s="3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3"/>
      <c r="D653" s="36"/>
      <c r="E653" s="3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3"/>
      <c r="D654" s="36"/>
      <c r="E654" s="3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3"/>
      <c r="D655" s="36"/>
      <c r="E655" s="3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3"/>
      <c r="D656" s="36"/>
      <c r="E656" s="3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3"/>
      <c r="D657" s="36"/>
      <c r="E657" s="3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3"/>
      <c r="D658" s="36"/>
      <c r="E658" s="3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3"/>
      <c r="D659" s="36"/>
      <c r="E659" s="3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3"/>
      <c r="D660" s="36"/>
      <c r="E660" s="3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3"/>
      <c r="D661" s="36"/>
      <c r="E661" s="3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3"/>
      <c r="D662" s="36"/>
      <c r="E662" s="3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3"/>
      <c r="D663" s="36"/>
      <c r="E663" s="3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3"/>
      <c r="D664" s="36"/>
      <c r="E664" s="3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3"/>
      <c r="D665" s="36"/>
      <c r="E665" s="3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3"/>
      <c r="D666" s="36"/>
      <c r="E666" s="3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3"/>
      <c r="D667" s="36"/>
      <c r="E667" s="3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3"/>
      <c r="D668" s="36"/>
      <c r="E668" s="3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3"/>
      <c r="D669" s="36"/>
      <c r="E669" s="3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3"/>
      <c r="D670" s="36"/>
      <c r="E670" s="3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3"/>
      <c r="D671" s="36"/>
      <c r="E671" s="3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3"/>
      <c r="D672" s="36"/>
      <c r="E672" s="3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3"/>
      <c r="D673" s="36"/>
      <c r="E673" s="3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3"/>
      <c r="D674" s="36"/>
      <c r="E674" s="3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3"/>
      <c r="D675" s="36"/>
      <c r="E675" s="3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3"/>
      <c r="D676" s="36"/>
      <c r="E676" s="3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3"/>
      <c r="D677" s="36"/>
      <c r="E677" s="3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3"/>
      <c r="D678" s="36"/>
      <c r="E678" s="3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3"/>
      <c r="D679" s="36"/>
      <c r="E679" s="3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3"/>
      <c r="D680" s="36"/>
      <c r="E680" s="3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3"/>
      <c r="D681" s="36"/>
      <c r="E681" s="3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3"/>
      <c r="D682" s="36"/>
      <c r="E682" s="3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3"/>
      <c r="D683" s="36"/>
      <c r="E683" s="3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3"/>
      <c r="D684" s="36"/>
      <c r="E684" s="3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3"/>
      <c r="D685" s="36"/>
      <c r="E685" s="3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3"/>
      <c r="D686" s="36"/>
      <c r="E686" s="3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3"/>
      <c r="D687" s="36"/>
      <c r="E687" s="3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3"/>
      <c r="D688" s="36"/>
      <c r="E688" s="3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3"/>
      <c r="D689" s="36"/>
      <c r="E689" s="3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3"/>
      <c r="D690" s="36"/>
      <c r="E690" s="3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3"/>
      <c r="D691" s="36"/>
      <c r="E691" s="3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3"/>
      <c r="D692" s="36"/>
      <c r="E692" s="3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3"/>
      <c r="D693" s="36"/>
      <c r="E693" s="3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3"/>
      <c r="D694" s="36"/>
      <c r="E694" s="3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3"/>
      <c r="D695" s="36"/>
      <c r="E695" s="3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3"/>
      <c r="D696" s="36"/>
      <c r="E696" s="3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3"/>
      <c r="D697" s="36"/>
      <c r="E697" s="3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3"/>
      <c r="D698" s="36"/>
      <c r="E698" s="3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3"/>
      <c r="D699" s="36"/>
      <c r="E699" s="3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3"/>
      <c r="D700" s="36"/>
      <c r="E700" s="3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3"/>
      <c r="D701" s="36"/>
      <c r="E701" s="3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3"/>
      <c r="D702" s="36"/>
      <c r="E702" s="3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3"/>
      <c r="D703" s="36"/>
      <c r="E703" s="3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3"/>
      <c r="D704" s="36"/>
      <c r="E704" s="3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3"/>
      <c r="D705" s="36"/>
      <c r="E705" s="3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3"/>
      <c r="D706" s="36"/>
      <c r="E706" s="3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3"/>
      <c r="D707" s="36"/>
      <c r="E707" s="3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3"/>
      <c r="D708" s="36"/>
      <c r="E708" s="3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3"/>
      <c r="D709" s="36"/>
      <c r="E709" s="3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3"/>
      <c r="D710" s="36"/>
      <c r="E710" s="3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3"/>
      <c r="D711" s="36"/>
      <c r="E711" s="3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3"/>
      <c r="D712" s="36"/>
      <c r="E712" s="3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3"/>
      <c r="D713" s="36"/>
      <c r="E713" s="3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3"/>
      <c r="D714" s="36"/>
      <c r="E714" s="3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3"/>
      <c r="D715" s="36"/>
      <c r="E715" s="3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3"/>
      <c r="D716" s="36"/>
      <c r="E716" s="3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3"/>
      <c r="D717" s="36"/>
      <c r="E717" s="3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3"/>
      <c r="D718" s="36"/>
      <c r="E718" s="3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3"/>
      <c r="D719" s="36"/>
      <c r="E719" s="3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3"/>
      <c r="D720" s="36"/>
      <c r="E720" s="3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3"/>
      <c r="D721" s="36"/>
      <c r="E721" s="3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3"/>
      <c r="D722" s="36"/>
      <c r="E722" s="3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3"/>
      <c r="D723" s="36"/>
      <c r="E723" s="3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3"/>
      <c r="D724" s="36"/>
      <c r="E724" s="3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3"/>
      <c r="D725" s="36"/>
      <c r="E725" s="3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3"/>
      <c r="D726" s="36"/>
      <c r="E726" s="3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3"/>
      <c r="D727" s="36"/>
      <c r="E727" s="3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3"/>
      <c r="D728" s="36"/>
      <c r="E728" s="3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3"/>
      <c r="D729" s="36"/>
      <c r="E729" s="3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3"/>
      <c r="D730" s="36"/>
      <c r="E730" s="3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3"/>
      <c r="D731" s="36"/>
      <c r="E731" s="3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3"/>
      <c r="D732" s="36"/>
      <c r="E732" s="3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3"/>
      <c r="D733" s="36"/>
      <c r="E733" s="3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3"/>
      <c r="D734" s="36"/>
      <c r="E734" s="3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3"/>
      <c r="D735" s="36"/>
      <c r="E735" s="3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3"/>
      <c r="D736" s="36"/>
      <c r="E736" s="3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3"/>
      <c r="D737" s="36"/>
      <c r="E737" s="3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3"/>
      <c r="D738" s="36"/>
      <c r="E738" s="3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3"/>
      <c r="D739" s="36"/>
      <c r="E739" s="3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3"/>
      <c r="D740" s="36"/>
      <c r="E740" s="3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3"/>
      <c r="D741" s="36"/>
      <c r="E741" s="3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3"/>
      <c r="D742" s="36"/>
      <c r="E742" s="3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3"/>
      <c r="D743" s="36"/>
      <c r="E743" s="3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3"/>
      <c r="D744" s="36"/>
      <c r="E744" s="3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3"/>
      <c r="D745" s="36"/>
      <c r="E745" s="3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3"/>
      <c r="D746" s="36"/>
      <c r="E746" s="3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3"/>
      <c r="D747" s="36"/>
      <c r="E747" s="3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3"/>
      <c r="D748" s="36"/>
      <c r="E748" s="3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3"/>
      <c r="D749" s="36"/>
      <c r="E749" s="3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3"/>
      <c r="D750" s="36"/>
      <c r="E750" s="3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3"/>
      <c r="D751" s="36"/>
      <c r="E751" s="3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3"/>
      <c r="D752" s="36"/>
      <c r="E752" s="3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3"/>
      <c r="D753" s="36"/>
      <c r="E753" s="3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3"/>
      <c r="D754" s="36"/>
      <c r="E754" s="3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3"/>
      <c r="D755" s="36"/>
      <c r="E755" s="3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3"/>
      <c r="D756" s="36"/>
      <c r="E756" s="3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3"/>
      <c r="D757" s="36"/>
      <c r="E757" s="3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3"/>
      <c r="D758" s="36"/>
      <c r="E758" s="3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3"/>
      <c r="D759" s="36"/>
      <c r="E759" s="3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3"/>
      <c r="D760" s="36"/>
      <c r="E760" s="3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3"/>
      <c r="D761" s="36"/>
      <c r="E761" s="3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3"/>
      <c r="D762" s="36"/>
      <c r="E762" s="3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3"/>
      <c r="D763" s="36"/>
      <c r="E763" s="3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3"/>
      <c r="D764" s="36"/>
      <c r="E764" s="3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3"/>
      <c r="D765" s="36"/>
      <c r="E765" s="3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3"/>
      <c r="D766" s="36"/>
      <c r="E766" s="3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3"/>
      <c r="D767" s="36"/>
      <c r="E767" s="3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3"/>
      <c r="D768" s="36"/>
      <c r="E768" s="3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3"/>
      <c r="D769" s="36"/>
      <c r="E769" s="3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3"/>
      <c r="D770" s="36"/>
      <c r="E770" s="3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3"/>
      <c r="D771" s="36"/>
      <c r="E771" s="3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3"/>
      <c r="D772" s="36"/>
      <c r="E772" s="3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3"/>
      <c r="D773" s="36"/>
      <c r="E773" s="3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3"/>
      <c r="D774" s="36"/>
      <c r="E774" s="3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3"/>
      <c r="D775" s="36"/>
      <c r="E775" s="3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3"/>
      <c r="D776" s="36"/>
      <c r="E776" s="3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3"/>
      <c r="D777" s="36"/>
      <c r="E777" s="3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3"/>
      <c r="D778" s="36"/>
      <c r="E778" s="3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3"/>
      <c r="D779" s="36"/>
      <c r="E779" s="3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3"/>
      <c r="D780" s="36"/>
      <c r="E780" s="3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3"/>
      <c r="D781" s="36"/>
      <c r="E781" s="3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3"/>
      <c r="D782" s="36"/>
      <c r="E782" s="3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3"/>
      <c r="D783" s="36"/>
      <c r="E783" s="3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3"/>
      <c r="D784" s="36"/>
      <c r="E784" s="3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3"/>
      <c r="D785" s="36"/>
      <c r="E785" s="3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3"/>
      <c r="D786" s="36"/>
      <c r="E786" s="3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3"/>
      <c r="D787" s="36"/>
      <c r="E787" s="3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3"/>
      <c r="D788" s="36"/>
      <c r="E788" s="3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3"/>
      <c r="D789" s="36"/>
      <c r="E789" s="3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3"/>
      <c r="D790" s="36"/>
      <c r="E790" s="3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3"/>
      <c r="D791" s="36"/>
      <c r="E791" s="3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3"/>
      <c r="D792" s="36"/>
      <c r="E792" s="3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3"/>
      <c r="D793" s="36"/>
      <c r="E793" s="3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3"/>
      <c r="D794" s="36"/>
      <c r="E794" s="3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3"/>
      <c r="D795" s="36"/>
      <c r="E795" s="3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3"/>
      <c r="D796" s="36"/>
      <c r="E796" s="3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3"/>
      <c r="D797" s="36"/>
      <c r="E797" s="3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3"/>
      <c r="D798" s="36"/>
      <c r="E798" s="3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3"/>
      <c r="D799" s="36"/>
      <c r="E799" s="3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3"/>
      <c r="D800" s="36"/>
      <c r="E800" s="3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3"/>
      <c r="D801" s="36"/>
      <c r="E801" s="3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3"/>
      <c r="D802" s="36"/>
      <c r="E802" s="3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3"/>
      <c r="D803" s="36"/>
      <c r="E803" s="3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3"/>
      <c r="D804" s="36"/>
      <c r="E804" s="3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3"/>
      <c r="D805" s="36"/>
      <c r="E805" s="3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3"/>
      <c r="D806" s="36"/>
      <c r="E806" s="3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3"/>
      <c r="D807" s="36"/>
      <c r="E807" s="3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3"/>
      <c r="D808" s="36"/>
      <c r="E808" s="3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3"/>
      <c r="D809" s="36"/>
      <c r="E809" s="3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3"/>
      <c r="D810" s="36"/>
      <c r="E810" s="3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3"/>
      <c r="D811" s="36"/>
      <c r="E811" s="3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3"/>
      <c r="D812" s="36"/>
      <c r="E812" s="3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3"/>
      <c r="D813" s="36"/>
      <c r="E813" s="3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3"/>
      <c r="D814" s="36"/>
      <c r="E814" s="3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3"/>
      <c r="D815" s="36"/>
      <c r="E815" s="3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3"/>
      <c r="D816" s="36"/>
      <c r="E816" s="3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3"/>
      <c r="D817" s="36"/>
      <c r="E817" s="3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3"/>
      <c r="D818" s="36"/>
      <c r="E818" s="3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3"/>
      <c r="D819" s="36"/>
      <c r="E819" s="3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3"/>
      <c r="D820" s="36"/>
      <c r="E820" s="3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3"/>
      <c r="D821" s="36"/>
      <c r="E821" s="3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3"/>
      <c r="D822" s="36"/>
      <c r="E822" s="3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3"/>
      <c r="D823" s="36"/>
      <c r="E823" s="3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3"/>
      <c r="D824" s="36"/>
      <c r="E824" s="3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3"/>
      <c r="D825" s="36"/>
      <c r="E825" s="3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3"/>
      <c r="D826" s="36"/>
      <c r="E826" s="3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3"/>
      <c r="D827" s="36"/>
      <c r="E827" s="3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3"/>
      <c r="D828" s="36"/>
      <c r="E828" s="3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3"/>
      <c r="D829" s="36"/>
      <c r="E829" s="3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3"/>
      <c r="D830" s="36"/>
      <c r="E830" s="3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3"/>
      <c r="D831" s="36"/>
      <c r="E831" s="3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3"/>
      <c r="D832" s="36"/>
      <c r="E832" s="3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3"/>
      <c r="D833" s="36"/>
      <c r="E833" s="3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3"/>
      <c r="D834" s="36"/>
      <c r="E834" s="3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3"/>
      <c r="D835" s="36"/>
      <c r="E835" s="3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3"/>
      <c r="D836" s="36"/>
      <c r="E836" s="3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3"/>
      <c r="D837" s="36"/>
      <c r="E837" s="3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3"/>
      <c r="D838" s="36"/>
      <c r="E838" s="3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3"/>
      <c r="D839" s="36"/>
      <c r="E839" s="3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3"/>
      <c r="D840" s="36"/>
      <c r="E840" s="3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3"/>
      <c r="D841" s="36"/>
      <c r="E841" s="3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3"/>
      <c r="D842" s="36"/>
      <c r="E842" s="3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3"/>
      <c r="D843" s="36"/>
      <c r="E843" s="3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3"/>
      <c r="D844" s="36"/>
      <c r="E844" s="3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3"/>
      <c r="D845" s="36"/>
      <c r="E845" s="3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3"/>
      <c r="D846" s="36"/>
      <c r="E846" s="3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3"/>
      <c r="D847" s="36"/>
      <c r="E847" s="3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3"/>
      <c r="D848" s="36"/>
      <c r="E848" s="3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3"/>
      <c r="D849" s="36"/>
      <c r="E849" s="3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3"/>
      <c r="D850" s="36"/>
      <c r="E850" s="3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3"/>
      <c r="D851" s="36"/>
      <c r="E851" s="3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3"/>
      <c r="D852" s="36"/>
      <c r="E852" s="3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3"/>
      <c r="D853" s="36"/>
      <c r="E853" s="3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3"/>
      <c r="D854" s="36"/>
      <c r="E854" s="3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3"/>
      <c r="D855" s="36"/>
      <c r="E855" s="3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3"/>
      <c r="D856" s="36"/>
      <c r="E856" s="3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3"/>
      <c r="D857" s="36"/>
      <c r="E857" s="3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3"/>
      <c r="D858" s="36"/>
      <c r="E858" s="3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3"/>
      <c r="D859" s="36"/>
      <c r="E859" s="3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3"/>
      <c r="D860" s="36"/>
      <c r="E860" s="3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3"/>
      <c r="D861" s="36"/>
      <c r="E861" s="3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3"/>
      <c r="D862" s="36"/>
      <c r="E862" s="3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3"/>
      <c r="D863" s="36"/>
      <c r="E863" s="3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3"/>
      <c r="D864" s="36"/>
      <c r="E864" s="3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3"/>
      <c r="D865" s="36"/>
      <c r="E865" s="3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3"/>
      <c r="D866" s="36"/>
      <c r="E866" s="3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3"/>
      <c r="D867" s="36"/>
      <c r="E867" s="3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3"/>
      <c r="D868" s="36"/>
      <c r="E868" s="3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3"/>
      <c r="D869" s="36"/>
      <c r="E869" s="3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3"/>
      <c r="D870" s="36"/>
      <c r="E870" s="3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3"/>
      <c r="D871" s="36"/>
      <c r="E871" s="3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3"/>
      <c r="D872" s="36"/>
      <c r="E872" s="3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3"/>
      <c r="D873" s="36"/>
      <c r="E873" s="3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3"/>
      <c r="D874" s="36"/>
      <c r="E874" s="3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3"/>
      <c r="D875" s="36"/>
      <c r="E875" s="3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3"/>
      <c r="D876" s="36"/>
      <c r="E876" s="3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3"/>
      <c r="D877" s="36"/>
      <c r="E877" s="3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3"/>
      <c r="D878" s="36"/>
      <c r="E878" s="3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3"/>
      <c r="D879" s="36"/>
      <c r="E879" s="3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3"/>
      <c r="D880" s="36"/>
      <c r="E880" s="3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3"/>
      <c r="D881" s="36"/>
      <c r="E881" s="3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3"/>
      <c r="D882" s="36"/>
      <c r="E882" s="3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3"/>
      <c r="D883" s="36"/>
      <c r="E883" s="3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3"/>
      <c r="D884" s="36"/>
      <c r="E884" s="3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3"/>
      <c r="D885" s="36"/>
      <c r="E885" s="3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3"/>
      <c r="D886" s="36"/>
      <c r="E886" s="3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3"/>
      <c r="D887" s="36"/>
      <c r="E887" s="3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3"/>
      <c r="D888" s="36"/>
      <c r="E888" s="3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3"/>
      <c r="D889" s="36"/>
      <c r="E889" s="3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3"/>
      <c r="D890" s="36"/>
      <c r="E890" s="3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3"/>
      <c r="D891" s="36"/>
      <c r="E891" s="3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3"/>
      <c r="D892" s="36"/>
      <c r="E892" s="3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3"/>
      <c r="D893" s="36"/>
      <c r="E893" s="3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3"/>
      <c r="D894" s="36"/>
      <c r="E894" s="3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3"/>
      <c r="D895" s="36"/>
      <c r="E895" s="3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3"/>
      <c r="D896" s="36"/>
      <c r="E896" s="3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3"/>
      <c r="D897" s="36"/>
      <c r="E897" s="3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3"/>
      <c r="D898" s="36"/>
      <c r="E898" s="3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3"/>
      <c r="D899" s="36"/>
      <c r="E899" s="3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3"/>
      <c r="D900" s="36"/>
      <c r="E900" s="3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3"/>
      <c r="D901" s="36"/>
      <c r="E901" s="3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3"/>
      <c r="D902" s="36"/>
      <c r="E902" s="3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3"/>
      <c r="D903" s="36"/>
      <c r="E903" s="3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3"/>
      <c r="D904" s="36"/>
      <c r="E904" s="3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3"/>
      <c r="D905" s="36"/>
      <c r="E905" s="3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3"/>
      <c r="D906" s="36"/>
      <c r="E906" s="3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3"/>
      <c r="D907" s="36"/>
      <c r="E907" s="3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3"/>
      <c r="D908" s="36"/>
      <c r="E908" s="3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3"/>
      <c r="D909" s="36"/>
      <c r="E909" s="3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3"/>
      <c r="D910" s="36"/>
      <c r="E910" s="3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3"/>
      <c r="D911" s="36"/>
      <c r="E911" s="3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3"/>
      <c r="D912" s="36"/>
      <c r="E912" s="3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3"/>
      <c r="D913" s="36"/>
      <c r="E913" s="3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3"/>
      <c r="D914" s="36"/>
      <c r="E914" s="3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3"/>
      <c r="D915" s="36"/>
      <c r="E915" s="3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3"/>
      <c r="D916" s="36"/>
      <c r="E916" s="3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3"/>
      <c r="D917" s="36"/>
      <c r="E917" s="3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3"/>
      <c r="D918" s="36"/>
      <c r="E918" s="3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3"/>
      <c r="D919" s="36"/>
      <c r="E919" s="3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3"/>
      <c r="D920" s="36"/>
      <c r="E920" s="3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3"/>
      <c r="D921" s="36"/>
      <c r="E921" s="3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3"/>
      <c r="D922" s="36"/>
      <c r="E922" s="3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3"/>
      <c r="D923" s="36"/>
      <c r="E923" s="3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3"/>
      <c r="D924" s="36"/>
      <c r="E924" s="3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3"/>
      <c r="D925" s="36"/>
      <c r="E925" s="3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3"/>
      <c r="D926" s="36"/>
      <c r="E926" s="3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3"/>
      <c r="D927" s="36"/>
      <c r="E927" s="3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3"/>
      <c r="D928" s="36"/>
      <c r="E928" s="3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3"/>
      <c r="D929" s="36"/>
      <c r="E929" s="3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3"/>
      <c r="D930" s="36"/>
      <c r="E930" s="3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3"/>
      <c r="D931" s="36"/>
      <c r="E931" s="3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3"/>
      <c r="D932" s="36"/>
      <c r="E932" s="3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3"/>
      <c r="D933" s="36"/>
      <c r="E933" s="3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3"/>
      <c r="D934" s="36"/>
      <c r="E934" s="3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3"/>
      <c r="D935" s="36"/>
      <c r="E935" s="3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3"/>
      <c r="D936" s="36"/>
      <c r="E936" s="3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3"/>
      <c r="D937" s="36"/>
      <c r="E937" s="3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3"/>
      <c r="D938" s="36"/>
      <c r="E938" s="3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3"/>
      <c r="D939" s="36"/>
      <c r="E939" s="3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3"/>
      <c r="D940" s="36"/>
      <c r="E940" s="3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3"/>
      <c r="D941" s="36"/>
      <c r="E941" s="3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3"/>
      <c r="D942" s="36"/>
      <c r="E942" s="3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3"/>
      <c r="D943" s="36"/>
      <c r="E943" s="3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3"/>
      <c r="D944" s="36"/>
      <c r="E944" s="3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3"/>
      <c r="D945" s="36"/>
      <c r="E945" s="3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3"/>
      <c r="D946" s="36"/>
      <c r="E946" s="3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3"/>
      <c r="D947" s="36"/>
      <c r="E947" s="3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3"/>
      <c r="D948" s="36"/>
      <c r="E948" s="3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3"/>
      <c r="D949" s="36"/>
      <c r="E949" s="3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3"/>
      <c r="D950" s="36"/>
      <c r="E950" s="3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3"/>
      <c r="D951" s="36"/>
      <c r="E951" s="3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3"/>
      <c r="D952" s="36"/>
      <c r="E952" s="3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3"/>
      <c r="D953" s="36"/>
      <c r="E953" s="3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3"/>
      <c r="D954" s="36"/>
      <c r="E954" s="3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3"/>
      <c r="D955" s="36"/>
      <c r="E955" s="3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3"/>
      <c r="D956" s="36"/>
      <c r="E956" s="3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3"/>
      <c r="D957" s="36"/>
      <c r="E957" s="3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3"/>
      <c r="D958" s="36"/>
      <c r="E958" s="3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3"/>
      <c r="D959" s="36"/>
      <c r="E959" s="3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3"/>
      <c r="D960" s="36"/>
      <c r="E960" s="3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73"/>
      <c r="D961" s="36"/>
      <c r="E961" s="3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73"/>
      <c r="D962" s="36"/>
      <c r="E962" s="3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73"/>
      <c r="D963" s="36"/>
      <c r="E963" s="3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73"/>
      <c r="D964" s="36"/>
      <c r="E964" s="3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4"/>
      <c r="C965" s="4"/>
      <c r="D965" s="36"/>
      <c r="E965" s="3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6"/>
      <c r="E966" s="36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6"/>
      <c r="E967" s="36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6"/>
      <c r="E968" s="36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6"/>
      <c r="E969" s="3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6"/>
      <c r="E970" s="3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6"/>
      <c r="E971" s="3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6"/>
      <c r="E972" s="3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36"/>
      <c r="E973" s="3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36"/>
      <c r="E974" s="3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36"/>
      <c r="E975" s="3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</sheetData>
  <mergeCells count="269">
    <mergeCell ref="AS32:AT32"/>
    <mergeCell ref="AS33:AT33"/>
    <mergeCell ref="AS34:AT34"/>
    <mergeCell ref="AU34:AV34"/>
    <mergeCell ref="AS35:AT35"/>
    <mergeCell ref="AU35:AV35"/>
    <mergeCell ref="AU36:AV36"/>
    <mergeCell ref="AU37:AV37"/>
    <mergeCell ref="AS36:AT36"/>
    <mergeCell ref="AS37:AT37"/>
    <mergeCell ref="AS40:AT40"/>
    <mergeCell ref="AU40:AV40"/>
    <mergeCell ref="AS41:AT41"/>
    <mergeCell ref="AU41:AV41"/>
    <mergeCell ref="AU42:AV42"/>
    <mergeCell ref="U32:V32"/>
    <mergeCell ref="W32:X32"/>
    <mergeCell ref="AI32:AJ32"/>
    <mergeCell ref="AU32:AV32"/>
    <mergeCell ref="W33:X33"/>
    <mergeCell ref="AI33:AJ33"/>
    <mergeCell ref="AU33:AV33"/>
    <mergeCell ref="U33:V33"/>
    <mergeCell ref="U34:V34"/>
    <mergeCell ref="W34:X34"/>
    <mergeCell ref="AG34:AH34"/>
    <mergeCell ref="AI34:AJ34"/>
    <mergeCell ref="U35:V35"/>
    <mergeCell ref="W35:X35"/>
    <mergeCell ref="U41:V41"/>
    <mergeCell ref="U42:V42"/>
    <mergeCell ref="U43:V43"/>
    <mergeCell ref="U44:V44"/>
    <mergeCell ref="U45:V45"/>
    <mergeCell ref="U46:V46"/>
    <mergeCell ref="W42:X42"/>
    <mergeCell ref="W43:X43"/>
    <mergeCell ref="W44:X44"/>
    <mergeCell ref="W45:X45"/>
    <mergeCell ref="W46:X46"/>
    <mergeCell ref="U36:V36"/>
    <mergeCell ref="W36:X36"/>
    <mergeCell ref="U37:V37"/>
    <mergeCell ref="W37:X37"/>
    <mergeCell ref="U40:V40"/>
    <mergeCell ref="W40:X40"/>
    <mergeCell ref="W41:X41"/>
    <mergeCell ref="AG45:AH45"/>
    <mergeCell ref="AG46:AH46"/>
    <mergeCell ref="AI41:AJ41"/>
    <mergeCell ref="AI42:AJ42"/>
    <mergeCell ref="AG43:AH43"/>
    <mergeCell ref="AI43:AJ43"/>
    <mergeCell ref="AG44:AH44"/>
    <mergeCell ref="AI44:AJ44"/>
    <mergeCell ref="AI45:AJ45"/>
    <mergeCell ref="AI46:AJ46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31:AT31"/>
    <mergeCell ref="AU31:AV31"/>
    <mergeCell ref="O28:X28"/>
    <mergeCell ref="AA28:AJ28"/>
    <mergeCell ref="AM28:AV28"/>
    <mergeCell ref="U31:V31"/>
    <mergeCell ref="W31:X31"/>
    <mergeCell ref="AG31:AH31"/>
    <mergeCell ref="AI31:AJ31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2:AH32"/>
    <mergeCell ref="AG33:AH33"/>
    <mergeCell ref="AG40:AH40"/>
    <mergeCell ref="AG41:AH41"/>
    <mergeCell ref="AG42:AH42"/>
    <mergeCell ref="AG35:AH35"/>
    <mergeCell ref="AI35:AJ35"/>
    <mergeCell ref="AG36:AH36"/>
    <mergeCell ref="AI36:AJ36"/>
    <mergeCell ref="AG37:AH37"/>
    <mergeCell ref="AI37:AJ37"/>
    <mergeCell ref="AI40:AJ40"/>
    <mergeCell ref="AS42:AT42"/>
    <mergeCell ref="AS43:AT43"/>
    <mergeCell ref="AU43:AV43"/>
    <mergeCell ref="AS44:AT44"/>
    <mergeCell ref="AU44:AV44"/>
    <mergeCell ref="AS45:AT45"/>
    <mergeCell ref="AU45:AV45"/>
    <mergeCell ref="W47:X47"/>
    <mergeCell ref="O48:X48"/>
    <mergeCell ref="AA48:AJ48"/>
    <mergeCell ref="AM48:AV48"/>
    <mergeCell ref="AS46:AT46"/>
    <mergeCell ref="AU46:AV46"/>
    <mergeCell ref="U47:V47"/>
    <mergeCell ref="AG47:AH47"/>
    <mergeCell ref="AI47:AJ47"/>
    <mergeCell ref="AS47:AT47"/>
    <mergeCell ref="AU47:AV47"/>
    <mergeCell ref="I53:J53"/>
    <mergeCell ref="K53:L53"/>
    <mergeCell ref="K50:L50"/>
    <mergeCell ref="B51:F52"/>
    <mergeCell ref="I51:J51"/>
    <mergeCell ref="K51:L51"/>
    <mergeCell ref="I52:J52"/>
    <mergeCell ref="K52:L52"/>
    <mergeCell ref="B53:D54"/>
    <mergeCell ref="B61:D62"/>
    <mergeCell ref="E61:E62"/>
    <mergeCell ref="F61:F62"/>
    <mergeCell ref="B55:F56"/>
    <mergeCell ref="B57:D58"/>
    <mergeCell ref="E57:E58"/>
    <mergeCell ref="F57:F58"/>
    <mergeCell ref="B59:D60"/>
    <mergeCell ref="E59:E60"/>
    <mergeCell ref="F59:F60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C28:L28"/>
    <mergeCell ref="I31:J31"/>
    <mergeCell ref="K31:L31"/>
    <mergeCell ref="I32:J32"/>
    <mergeCell ref="K32:L32"/>
    <mergeCell ref="I33:J33"/>
    <mergeCell ref="K33:L33"/>
    <mergeCell ref="I34:J34"/>
    <mergeCell ref="K34:L34"/>
    <mergeCell ref="I35:J35"/>
    <mergeCell ref="K35:L35"/>
    <mergeCell ref="K36:L36"/>
    <mergeCell ref="K37:L37"/>
    <mergeCell ref="I42:J42"/>
    <mergeCell ref="I43:J43"/>
    <mergeCell ref="I44:J44"/>
    <mergeCell ref="I45:J45"/>
    <mergeCell ref="I46:J46"/>
    <mergeCell ref="I47:J47"/>
    <mergeCell ref="I49:J49"/>
    <mergeCell ref="I50:J50"/>
    <mergeCell ref="I36:J36"/>
    <mergeCell ref="I37:J37"/>
    <mergeCell ref="I40:J40"/>
    <mergeCell ref="K40:L40"/>
    <mergeCell ref="I41:J41"/>
    <mergeCell ref="K41:L41"/>
    <mergeCell ref="K42:L42"/>
    <mergeCell ref="K43:L43"/>
    <mergeCell ref="K44:L44"/>
    <mergeCell ref="K45:L45"/>
    <mergeCell ref="K46:L46"/>
    <mergeCell ref="K47:L47"/>
    <mergeCell ref="C48:L48"/>
    <mergeCell ref="K49:L49"/>
    <mergeCell ref="E53:E54"/>
    <mergeCell ref="F53:F54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41"/>
    <hyperlink r:id="rId70" ref="O41"/>
    <hyperlink r:id="rId71" ref="AA41"/>
    <hyperlink r:id="rId72" ref="AM41"/>
    <hyperlink r:id="rId73" ref="C42"/>
    <hyperlink r:id="rId74" ref="O42"/>
    <hyperlink r:id="rId75" ref="AA42"/>
    <hyperlink r:id="rId76" ref="AM42"/>
    <hyperlink r:id="rId77" ref="C43"/>
    <hyperlink r:id="rId78" ref="O43"/>
    <hyperlink r:id="rId79" ref="AA43"/>
    <hyperlink r:id="rId80" ref="AM43"/>
    <hyperlink r:id="rId81" ref="C44"/>
    <hyperlink r:id="rId82" ref="O44"/>
    <hyperlink r:id="rId83" ref="AA44"/>
    <hyperlink r:id="rId84" ref="AM44"/>
    <hyperlink r:id="rId85" ref="C45"/>
    <hyperlink r:id="rId86" ref="O45"/>
    <hyperlink r:id="rId87" ref="AA45"/>
    <hyperlink r:id="rId88" ref="AM45"/>
    <hyperlink r:id="rId89" ref="C46"/>
    <hyperlink r:id="rId90" ref="O46"/>
    <hyperlink r:id="rId91" ref="AA46"/>
    <hyperlink r:id="rId92" ref="AM46"/>
    <hyperlink r:id="rId93" ref="B57"/>
    <hyperlink r:id="rId94" ref="B59"/>
    <hyperlink r:id="rId95" ref="B61"/>
  </hyperlinks>
  <printOptions/>
  <pageMargins bottom="0.75" footer="0.0" header="0.0" left="0.7" right="0.7" top="0.75"/>
  <pageSetup orientation="portrait"/>
  <drawing r:id="rId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1"/>
      <c r="B1" s="81"/>
      <c r="C1" s="81"/>
      <c r="D1" s="81"/>
      <c r="E1" s="81"/>
      <c r="F1" s="82"/>
      <c r="G1" s="82"/>
      <c r="H1" s="82"/>
      <c r="I1" s="82"/>
      <c r="J1" s="82"/>
      <c r="K1" s="82"/>
      <c r="L1" s="16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</row>
    <row r="2">
      <c r="A2" s="81"/>
      <c r="B2" s="81"/>
      <c r="C2" s="81"/>
      <c r="D2" s="81"/>
      <c r="E2" s="81"/>
      <c r="F2" s="82"/>
      <c r="G2" s="82"/>
      <c r="H2" s="82"/>
      <c r="I2" s="82"/>
      <c r="J2" s="82"/>
      <c r="K2" s="82"/>
      <c r="L2" s="16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82"/>
      <c r="N3" s="83"/>
      <c r="O3" s="82"/>
      <c r="P3" s="35"/>
      <c r="Q3" s="35"/>
      <c r="R3" s="35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82"/>
      <c r="N4" s="82"/>
      <c r="O4" s="82"/>
      <c r="P4" s="35"/>
      <c r="Q4" s="16"/>
      <c r="R4" s="16"/>
      <c r="S4" s="16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</row>
    <row r="5">
      <c r="A5" s="71"/>
      <c r="B5" s="71"/>
      <c r="C5" s="84" t="s">
        <v>85</v>
      </c>
      <c r="D5" s="43"/>
      <c r="E5" s="23"/>
      <c r="F5" s="16"/>
      <c r="G5" s="71"/>
      <c r="H5" s="71"/>
      <c r="I5" s="71"/>
      <c r="J5" s="71"/>
      <c r="K5" s="71"/>
      <c r="L5" s="16"/>
      <c r="M5" s="85"/>
      <c r="N5" s="85"/>
      <c r="O5" s="85"/>
      <c r="P5" s="72"/>
      <c r="Q5" s="86"/>
      <c r="R5" s="86"/>
      <c r="S5" s="86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</row>
    <row r="6">
      <c r="A6" s="71"/>
      <c r="B6" s="71"/>
      <c r="C6" s="84" t="s">
        <v>86</v>
      </c>
      <c r="D6" s="43"/>
      <c r="E6" s="23"/>
      <c r="F6" s="16"/>
      <c r="G6" s="71"/>
      <c r="H6" s="71"/>
      <c r="I6" s="71"/>
      <c r="J6" s="71"/>
      <c r="K6" s="16"/>
      <c r="L6" s="16"/>
      <c r="M6" s="85"/>
      <c r="N6" s="85"/>
      <c r="O6" s="85"/>
      <c r="P6" s="72"/>
      <c r="Q6" s="86"/>
      <c r="R6" s="86"/>
      <c r="S6" s="86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</row>
    <row r="7">
      <c r="A7" s="71"/>
      <c r="B7" s="71"/>
      <c r="C7" s="84" t="s">
        <v>87</v>
      </c>
      <c r="D7" s="43"/>
      <c r="E7" s="23"/>
      <c r="F7" s="16"/>
      <c r="G7" s="71"/>
      <c r="H7" s="71"/>
      <c r="I7" s="71"/>
      <c r="J7" s="71"/>
      <c r="K7" s="16"/>
      <c r="L7" s="16"/>
      <c r="M7" s="16"/>
      <c r="N7" s="16"/>
      <c r="O7" s="16"/>
      <c r="P7" s="16"/>
      <c r="Q7" s="16"/>
      <c r="R7" s="16"/>
      <c r="S7" s="16"/>
      <c r="T7" s="87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</row>
    <row r="8">
      <c r="A8" s="71"/>
      <c r="B8" s="71"/>
      <c r="F8" s="16"/>
      <c r="G8" s="71"/>
      <c r="H8" s="71"/>
      <c r="I8" s="71"/>
      <c r="J8" s="71"/>
      <c r="K8" s="16"/>
      <c r="L8" s="16"/>
      <c r="M8" s="16"/>
      <c r="N8" s="16"/>
      <c r="O8" s="16"/>
      <c r="P8" s="16"/>
      <c r="Q8" s="16"/>
      <c r="R8" s="16"/>
      <c r="S8" s="16"/>
      <c r="T8" s="87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</row>
    <row r="9">
      <c r="A9" s="35"/>
      <c r="B9" s="35"/>
      <c r="C9" s="16"/>
      <c r="D9" s="16"/>
      <c r="E9" s="16"/>
      <c r="F9" s="16"/>
      <c r="G9" s="71"/>
      <c r="H9" s="71"/>
      <c r="I9" s="71"/>
      <c r="J9" s="71"/>
      <c r="K9" s="16"/>
      <c r="L9" s="16"/>
      <c r="M9" s="16"/>
      <c r="N9" s="16"/>
      <c r="O9" s="16"/>
      <c r="P9" s="16"/>
      <c r="Q9" s="16"/>
      <c r="R9" s="16"/>
      <c r="S9" s="16"/>
      <c r="T9" s="87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</row>
    <row r="10">
      <c r="A10" s="35"/>
      <c r="B10" s="35"/>
      <c r="C10" s="16"/>
      <c r="D10" s="16"/>
      <c r="E10" s="16"/>
      <c r="F10" s="16"/>
      <c r="G10" s="88"/>
      <c r="H10" s="88"/>
      <c r="I10" s="88"/>
      <c r="J10" s="88"/>
      <c r="K10" s="88"/>
      <c r="L10" s="16"/>
      <c r="M10" s="16"/>
      <c r="N10" s="16"/>
      <c r="O10" s="16"/>
      <c r="P10" s="16"/>
      <c r="Q10" s="16"/>
      <c r="R10" s="16"/>
      <c r="S10" s="16"/>
      <c r="T10" s="87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</row>
    <row r="11" ht="18.0" customHeight="1">
      <c r="A11" s="35"/>
      <c r="B11" s="35"/>
      <c r="C11" s="16"/>
      <c r="D11" s="16"/>
      <c r="E11" s="16"/>
      <c r="F11" s="16"/>
      <c r="G11" s="88"/>
      <c r="H11" s="88"/>
      <c r="I11" s="88"/>
      <c r="J11" s="88"/>
      <c r="K11" s="88"/>
      <c r="L11" s="16"/>
      <c r="M11" s="16"/>
      <c r="N11" s="16"/>
      <c r="O11" s="16"/>
      <c r="P11" s="16"/>
      <c r="Q11" s="16"/>
      <c r="R11" s="16"/>
      <c r="S11" s="16"/>
      <c r="T11" s="89"/>
      <c r="U11" s="16"/>
      <c r="V11" s="16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</row>
    <row r="12" ht="25.5" customHeight="1">
      <c r="A12" s="35"/>
      <c r="B12" s="35"/>
      <c r="C12" s="90" t="s">
        <v>88</v>
      </c>
      <c r="D12" s="43"/>
      <c r="E12" s="23"/>
      <c r="F12" s="16"/>
      <c r="G12" s="88"/>
      <c r="H12" s="35"/>
      <c r="I12" s="16"/>
      <c r="J12" s="16"/>
      <c r="K12" s="88"/>
      <c r="L12" s="16"/>
      <c r="M12" s="16"/>
      <c r="N12" s="16"/>
      <c r="O12" s="16"/>
      <c r="P12" s="16"/>
      <c r="Q12" s="16"/>
      <c r="R12" s="16"/>
      <c r="S12" s="16"/>
      <c r="T12" s="89"/>
      <c r="U12" s="16"/>
      <c r="V12" s="16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</row>
    <row r="13">
      <c r="A13" s="35"/>
      <c r="B13" s="35"/>
      <c r="C13" s="91" t="s">
        <v>89</v>
      </c>
      <c r="D13" s="92"/>
      <c r="E13" s="23"/>
      <c r="F13" s="16"/>
      <c r="G13" s="88"/>
      <c r="H13" s="35"/>
      <c r="I13" s="16"/>
      <c r="J13" s="16"/>
      <c r="K13" s="88"/>
      <c r="L13" s="16"/>
      <c r="M13" s="16"/>
      <c r="N13" s="16"/>
      <c r="O13" s="16"/>
      <c r="P13" s="16"/>
      <c r="Q13" s="16"/>
      <c r="R13" s="16"/>
      <c r="S13" s="16"/>
      <c r="T13" s="89"/>
      <c r="U13" s="16"/>
      <c r="V13" s="16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</row>
    <row r="14">
      <c r="A14" s="35"/>
      <c r="B14" s="35"/>
      <c r="C14" s="91" t="s">
        <v>65</v>
      </c>
      <c r="D14" s="92"/>
      <c r="E14" s="23"/>
      <c r="F14" s="16"/>
      <c r="G14" s="88"/>
      <c r="H14" s="35"/>
      <c r="I14" s="16"/>
      <c r="J14" s="16"/>
      <c r="K14" s="88"/>
      <c r="L14" s="16"/>
      <c r="M14" s="16"/>
      <c r="N14" s="16"/>
      <c r="O14" s="16"/>
      <c r="P14" s="16"/>
      <c r="Q14" s="16"/>
      <c r="R14" s="16"/>
      <c r="S14" s="16"/>
      <c r="T14" s="89"/>
      <c r="U14" s="16"/>
      <c r="V14" s="16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</row>
    <row r="15">
      <c r="A15" s="93"/>
      <c r="B15" s="93"/>
      <c r="C15" s="91" t="s">
        <v>66</v>
      </c>
      <c r="D15" s="92"/>
      <c r="E15" s="23"/>
      <c r="F15" s="86"/>
      <c r="G15" s="88"/>
      <c r="H15" s="35"/>
      <c r="I15" s="16"/>
      <c r="J15" s="16"/>
      <c r="K15" s="88"/>
      <c r="L15" s="16"/>
      <c r="M15" s="16"/>
      <c r="N15" s="16"/>
      <c r="O15" s="16"/>
      <c r="P15" s="16"/>
      <c r="Q15" s="16"/>
      <c r="R15" s="16"/>
      <c r="S15" s="16"/>
      <c r="T15" s="89"/>
      <c r="U15" s="16"/>
      <c r="V15" s="16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</row>
    <row r="16">
      <c r="A16" s="94"/>
      <c r="B16" s="94"/>
      <c r="C16" s="91" t="s">
        <v>90</v>
      </c>
      <c r="D16" s="95"/>
      <c r="E16" s="23"/>
      <c r="F16" s="86"/>
      <c r="G16" s="88"/>
      <c r="H16" s="35"/>
      <c r="I16" s="16"/>
      <c r="J16" s="16"/>
      <c r="K16" s="88"/>
      <c r="L16" s="16"/>
      <c r="M16" s="16"/>
      <c r="N16" s="16"/>
      <c r="O16" s="16"/>
      <c r="P16" s="16"/>
      <c r="Q16" s="16"/>
      <c r="R16" s="16"/>
      <c r="S16" s="16"/>
      <c r="T16" s="89"/>
      <c r="U16" s="16"/>
      <c r="V16" s="16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</row>
    <row r="17">
      <c r="A17" s="94"/>
      <c r="B17" s="94"/>
      <c r="C17" s="16"/>
      <c r="D17" s="16"/>
      <c r="E17" s="16"/>
      <c r="F17" s="86"/>
      <c r="G17" s="85"/>
      <c r="H17" s="85"/>
      <c r="I17" s="85"/>
      <c r="J17" s="85"/>
      <c r="K17" s="85"/>
      <c r="L17" s="16"/>
      <c r="M17" s="16"/>
      <c r="N17" s="16"/>
      <c r="O17" s="16"/>
      <c r="P17" s="16"/>
      <c r="Q17" s="16"/>
      <c r="R17" s="16"/>
      <c r="S17" s="16"/>
      <c r="T17" s="89"/>
      <c r="U17" s="16"/>
      <c r="V17" s="16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</row>
    <row r="18" ht="22.5" customHeight="1">
      <c r="A18" s="94"/>
      <c r="B18" s="94"/>
      <c r="C18" s="16"/>
      <c r="D18" s="16"/>
      <c r="E18" s="16"/>
      <c r="F18" s="85"/>
      <c r="G18" s="85"/>
      <c r="H18" s="85"/>
      <c r="I18" s="85"/>
      <c r="J18" s="85"/>
      <c r="K18" s="85"/>
      <c r="L18" s="16"/>
      <c r="M18" s="16"/>
      <c r="N18" s="16"/>
      <c r="O18" s="16"/>
      <c r="P18" s="16"/>
      <c r="Q18" s="16"/>
      <c r="R18" s="16"/>
      <c r="S18" s="16"/>
      <c r="T18" s="89"/>
      <c r="U18" s="16"/>
      <c r="V18" s="16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</row>
    <row r="19" ht="30.0" customHeight="1">
      <c r="A19" s="94"/>
      <c r="B19" s="94"/>
      <c r="C19" s="86"/>
      <c r="D19" s="96" t="s">
        <v>0</v>
      </c>
      <c r="E19" s="23"/>
      <c r="F19" s="86"/>
      <c r="G19" s="85"/>
      <c r="H19" s="85"/>
      <c r="I19" s="85"/>
      <c r="J19" s="85"/>
      <c r="K19" s="85"/>
      <c r="L19" s="97" t="s">
        <v>91</v>
      </c>
      <c r="M19" s="97" t="s">
        <v>92</v>
      </c>
      <c r="N19" s="97" t="s">
        <v>67</v>
      </c>
      <c r="O19" s="97" t="s">
        <v>93</v>
      </c>
      <c r="P19" s="97" t="s">
        <v>94</v>
      </c>
      <c r="Q19" s="97" t="s">
        <v>95</v>
      </c>
      <c r="R19" s="97" t="s">
        <v>96</v>
      </c>
      <c r="S19" s="97" t="s">
        <v>97</v>
      </c>
      <c r="T19" s="89"/>
      <c r="U19" s="16"/>
      <c r="V19" s="16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</row>
    <row r="20">
      <c r="A20" s="98"/>
      <c r="B20" s="98"/>
      <c r="C20" s="97" t="s">
        <v>98</v>
      </c>
      <c r="D20" s="97" t="s">
        <v>99</v>
      </c>
      <c r="E20" s="97" t="s">
        <v>100</v>
      </c>
      <c r="F20" s="97" t="s">
        <v>101</v>
      </c>
      <c r="G20" s="85"/>
      <c r="H20" s="99"/>
      <c r="I20" s="100" t="s">
        <v>102</v>
      </c>
      <c r="J20" s="23"/>
      <c r="K20" s="85"/>
      <c r="L20" s="101" t="s">
        <v>103</v>
      </c>
      <c r="M20" s="102">
        <v>45479.0</v>
      </c>
      <c r="N20" s="103"/>
      <c r="O20" s="103"/>
      <c r="P20" s="103"/>
      <c r="Q20" s="103"/>
      <c r="R20" s="103"/>
      <c r="S20" s="103"/>
      <c r="T20" s="89"/>
      <c r="U20" s="16"/>
      <c r="V20" s="16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</row>
    <row r="21">
      <c r="A21" s="72"/>
      <c r="B21" s="72"/>
      <c r="C21" s="104">
        <v>45703.0</v>
      </c>
      <c r="D21" s="105"/>
      <c r="E21" s="105"/>
      <c r="F21" s="105"/>
      <c r="G21" s="85"/>
      <c r="H21" s="106"/>
      <c r="I21" s="104" t="s">
        <v>104</v>
      </c>
      <c r="J21" s="107">
        <v>1910.0</v>
      </c>
      <c r="K21" s="85"/>
      <c r="L21" s="101">
        <v>1.0</v>
      </c>
      <c r="M21" s="108">
        <f t="shared" ref="M21:M32" si="2">M20+7</f>
        <v>45486</v>
      </c>
      <c r="N21" s="109" t="str">
        <f>D28</f>
        <v>#DIV/0!</v>
      </c>
      <c r="O21" s="110" t="str">
        <f t="shared" ref="O21:S21" si="1">C32</f>
        <v/>
      </c>
      <c r="P21" s="110" t="str">
        <f t="shared" si="1"/>
        <v/>
      </c>
      <c r="Q21" s="110" t="str">
        <f t="shared" si="1"/>
        <v/>
      </c>
      <c r="R21" s="110" t="str">
        <f t="shared" si="1"/>
        <v/>
      </c>
      <c r="S21" s="110" t="str">
        <f t="shared" si="1"/>
        <v/>
      </c>
      <c r="T21" s="89"/>
      <c r="U21" s="16"/>
      <c r="V21" s="16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</row>
    <row r="22">
      <c r="A22" s="99"/>
      <c r="B22" s="99"/>
      <c r="C22" s="104">
        <v>45704.0</v>
      </c>
      <c r="D22" s="105"/>
      <c r="E22" s="105"/>
      <c r="F22" s="105"/>
      <c r="G22" s="85"/>
      <c r="H22" s="106"/>
      <c r="I22" s="104" t="s">
        <v>105</v>
      </c>
      <c r="J22" s="107">
        <v>170.0</v>
      </c>
      <c r="K22" s="85"/>
      <c r="L22" s="101">
        <v>2.0</v>
      </c>
      <c r="M22" s="108">
        <f t="shared" si="2"/>
        <v>45493</v>
      </c>
      <c r="N22" s="111" t="str">
        <f>AVERAGE(D55:D61)</f>
        <v>#DIV/0!</v>
      </c>
      <c r="O22" s="112" t="str">
        <f t="shared" ref="O22:S22" si="3">C49</f>
        <v/>
      </c>
      <c r="P22" s="112" t="str">
        <f t="shared" si="3"/>
        <v/>
      </c>
      <c r="Q22" s="112" t="str">
        <f t="shared" si="3"/>
        <v/>
      </c>
      <c r="R22" s="112" t="str">
        <f t="shared" si="3"/>
        <v/>
      </c>
      <c r="S22" s="112" t="str">
        <f t="shared" si="3"/>
        <v/>
      </c>
      <c r="T22" s="89"/>
      <c r="U22" s="16"/>
      <c r="V22" s="16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</row>
    <row r="23">
      <c r="A23" s="113"/>
      <c r="B23" s="113"/>
      <c r="C23" s="104">
        <v>45705.0</v>
      </c>
      <c r="D23" s="105"/>
      <c r="E23" s="105"/>
      <c r="F23" s="105"/>
      <c r="G23" s="85"/>
      <c r="H23" s="106"/>
      <c r="I23" s="104" t="s">
        <v>106</v>
      </c>
      <c r="J23" s="107">
        <v>195.0</v>
      </c>
      <c r="K23" s="85"/>
      <c r="L23" s="101">
        <v>3.0</v>
      </c>
      <c r="M23" s="108">
        <f t="shared" si="2"/>
        <v>45500</v>
      </c>
      <c r="N23" s="105" t="str">
        <f>AVERAGE(D55:D61)</f>
        <v>#DIV/0!</v>
      </c>
      <c r="O23" s="114" t="str">
        <f t="shared" ref="O23:S23" si="4">C66</f>
        <v/>
      </c>
      <c r="P23" s="114" t="str">
        <f t="shared" si="4"/>
        <v/>
      </c>
      <c r="Q23" s="114" t="str">
        <f t="shared" si="4"/>
        <v/>
      </c>
      <c r="R23" s="114" t="str">
        <f t="shared" si="4"/>
        <v/>
      </c>
      <c r="S23" s="114" t="str">
        <f t="shared" si="4"/>
        <v/>
      </c>
      <c r="T23" s="89"/>
      <c r="U23" s="16"/>
      <c r="V23" s="16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</row>
    <row r="24">
      <c r="A24" s="85"/>
      <c r="B24" s="85"/>
      <c r="C24" s="104">
        <v>45706.0</v>
      </c>
      <c r="D24" s="105"/>
      <c r="E24" s="105"/>
      <c r="F24" s="105"/>
      <c r="G24" s="85"/>
      <c r="H24" s="106"/>
      <c r="I24" s="104" t="s">
        <v>107</v>
      </c>
      <c r="J24" s="107">
        <v>50.0</v>
      </c>
      <c r="K24" s="85"/>
      <c r="L24" s="101">
        <v>4.0</v>
      </c>
      <c r="M24" s="108">
        <f t="shared" si="2"/>
        <v>45507</v>
      </c>
      <c r="N24" s="111" t="str">
        <f>AVERAGE(D71:D77)</f>
        <v>#DIV/0!</v>
      </c>
      <c r="O24" s="112" t="str">
        <f t="shared" ref="O24:S24" si="5">C82</f>
        <v/>
      </c>
      <c r="P24" s="112" t="str">
        <f t="shared" si="5"/>
        <v/>
      </c>
      <c r="Q24" s="112" t="str">
        <f t="shared" si="5"/>
        <v/>
      </c>
      <c r="R24" s="112" t="str">
        <f t="shared" si="5"/>
        <v/>
      </c>
      <c r="S24" s="112" t="str">
        <f t="shared" si="5"/>
        <v/>
      </c>
      <c r="T24" s="89"/>
      <c r="U24" s="16"/>
      <c r="V24" s="16"/>
      <c r="W24" s="16"/>
      <c r="X24" s="85"/>
      <c r="Y24" s="85"/>
      <c r="Z24" s="85"/>
      <c r="AA24" s="85"/>
      <c r="AB24" s="85"/>
      <c r="AC24" s="85"/>
      <c r="AD24" s="85"/>
      <c r="AE24" s="85"/>
      <c r="AF24" s="85"/>
      <c r="AG24" s="85"/>
    </row>
    <row r="25">
      <c r="A25" s="113"/>
      <c r="B25" s="113"/>
      <c r="C25" s="104">
        <v>45707.0</v>
      </c>
      <c r="D25" s="105"/>
      <c r="E25" s="105"/>
      <c r="F25" s="105"/>
      <c r="G25" s="85"/>
      <c r="H25" s="85"/>
      <c r="I25" s="85"/>
      <c r="J25" s="85"/>
      <c r="K25" s="85"/>
      <c r="L25" s="101">
        <v>5.0</v>
      </c>
      <c r="M25" s="108">
        <f t="shared" si="2"/>
        <v>45514</v>
      </c>
      <c r="N25" s="105" t="str">
        <f>AVERAGE(D87:D93)</f>
        <v>#DIV/0!</v>
      </c>
      <c r="O25" s="114" t="str">
        <f t="shared" ref="O25:S25" si="6">C98</f>
        <v/>
      </c>
      <c r="P25" s="114" t="str">
        <f t="shared" si="6"/>
        <v/>
      </c>
      <c r="Q25" s="114" t="str">
        <f t="shared" si="6"/>
        <v/>
      </c>
      <c r="R25" s="114" t="str">
        <f t="shared" si="6"/>
        <v/>
      </c>
      <c r="S25" s="114" t="str">
        <f t="shared" si="6"/>
        <v/>
      </c>
      <c r="T25" s="89"/>
      <c r="U25" s="16"/>
      <c r="V25" s="16"/>
      <c r="W25" s="16"/>
      <c r="X25" s="85"/>
      <c r="Y25" s="85"/>
      <c r="Z25" s="85"/>
      <c r="AA25" s="85"/>
      <c r="AB25" s="85"/>
      <c r="AC25" s="85"/>
      <c r="AD25" s="85"/>
      <c r="AE25" s="85"/>
      <c r="AF25" s="85"/>
      <c r="AG25" s="85"/>
    </row>
    <row r="26">
      <c r="A26" s="113"/>
      <c r="B26" s="113"/>
      <c r="C26" s="104">
        <v>45708.0</v>
      </c>
      <c r="D26" s="115"/>
      <c r="E26" s="105"/>
      <c r="F26" s="105"/>
      <c r="G26" s="85"/>
      <c r="H26" s="85"/>
      <c r="I26" s="85"/>
      <c r="J26" s="85"/>
      <c r="K26" s="85"/>
      <c r="L26" s="101">
        <v>6.0</v>
      </c>
      <c r="M26" s="108">
        <f t="shared" si="2"/>
        <v>45521</v>
      </c>
      <c r="N26" s="111" t="str">
        <f>AVERAGE(D103:D109)</f>
        <v>#DIV/0!</v>
      </c>
      <c r="O26" s="112" t="str">
        <f t="shared" ref="O26:S26" si="7">C114</f>
        <v/>
      </c>
      <c r="P26" s="112" t="str">
        <f t="shared" si="7"/>
        <v/>
      </c>
      <c r="Q26" s="112" t="str">
        <f t="shared" si="7"/>
        <v/>
      </c>
      <c r="R26" s="112" t="str">
        <f t="shared" si="7"/>
        <v/>
      </c>
      <c r="S26" s="112" t="str">
        <f t="shared" si="7"/>
        <v/>
      </c>
      <c r="T26" s="89"/>
      <c r="U26" s="16"/>
      <c r="V26" s="16"/>
      <c r="W26" s="16"/>
      <c r="X26" s="85"/>
      <c r="Y26" s="85"/>
      <c r="Z26" s="85"/>
      <c r="AA26" s="85"/>
      <c r="AB26" s="85"/>
      <c r="AC26" s="85"/>
      <c r="AD26" s="85"/>
      <c r="AE26" s="85"/>
      <c r="AF26" s="85"/>
      <c r="AG26" s="85"/>
    </row>
    <row r="27">
      <c r="A27" s="85"/>
      <c r="B27" s="85"/>
      <c r="C27" s="104">
        <v>45709.0</v>
      </c>
      <c r="D27" s="115"/>
      <c r="E27" s="105"/>
      <c r="F27" s="115"/>
      <c r="G27" s="85"/>
      <c r="H27" s="85"/>
      <c r="I27" s="85"/>
      <c r="J27" s="85"/>
      <c r="K27" s="85"/>
      <c r="L27" s="101">
        <v>7.0</v>
      </c>
      <c r="M27" s="108">
        <f t="shared" si="2"/>
        <v>45528</v>
      </c>
      <c r="N27" s="105" t="str">
        <f>AVERAGE(D120:D126)</f>
        <v>#DIV/0!</v>
      </c>
      <c r="O27" s="114" t="str">
        <f t="shared" ref="O27:S27" si="8">C131</f>
        <v/>
      </c>
      <c r="P27" s="114" t="str">
        <f t="shared" si="8"/>
        <v/>
      </c>
      <c r="Q27" s="114" t="str">
        <f t="shared" si="8"/>
        <v/>
      </c>
      <c r="R27" s="114" t="str">
        <f t="shared" si="8"/>
        <v/>
      </c>
      <c r="S27" s="114" t="str">
        <f t="shared" si="8"/>
        <v/>
      </c>
      <c r="T27" s="89"/>
      <c r="U27" s="16"/>
      <c r="V27" s="16"/>
      <c r="W27" s="16"/>
      <c r="X27" s="85"/>
      <c r="Y27" s="85"/>
      <c r="Z27" s="85"/>
      <c r="AA27" s="85"/>
      <c r="AB27" s="85"/>
      <c r="AC27" s="85"/>
      <c r="AD27" s="85"/>
      <c r="AE27" s="85"/>
      <c r="AF27" s="85"/>
      <c r="AG27" s="85"/>
    </row>
    <row r="28">
      <c r="A28" s="113"/>
      <c r="B28" s="113"/>
      <c r="C28" s="116" t="s">
        <v>108</v>
      </c>
      <c r="D28" s="117" t="str">
        <f t="shared" ref="D28:F28" si="9">AVERAGE(D21:D27)</f>
        <v>#DIV/0!</v>
      </c>
      <c r="E28" s="117" t="str">
        <f t="shared" si="9"/>
        <v>#DIV/0!</v>
      </c>
      <c r="F28" s="117" t="str">
        <f t="shared" si="9"/>
        <v>#DIV/0!</v>
      </c>
      <c r="G28" s="85"/>
      <c r="H28" s="85"/>
      <c r="I28" s="85"/>
      <c r="J28" s="85"/>
      <c r="K28" s="85"/>
      <c r="L28" s="101">
        <v>8.0</v>
      </c>
      <c r="M28" s="108">
        <f t="shared" si="2"/>
        <v>45535</v>
      </c>
      <c r="N28" s="111" t="str">
        <f>AVERAGE(D137:D143)</f>
        <v>#DIV/0!</v>
      </c>
      <c r="O28" s="112" t="str">
        <f t="shared" ref="O28:S28" si="10">C148</f>
        <v/>
      </c>
      <c r="P28" s="112" t="str">
        <f t="shared" si="10"/>
        <v/>
      </c>
      <c r="Q28" s="112" t="str">
        <f t="shared" si="10"/>
        <v/>
      </c>
      <c r="R28" s="112" t="str">
        <f t="shared" si="10"/>
        <v/>
      </c>
      <c r="S28" s="112" t="str">
        <f t="shared" si="10"/>
        <v/>
      </c>
      <c r="T28" s="89"/>
      <c r="U28" s="16"/>
      <c r="V28" s="16"/>
      <c r="W28" s="16"/>
      <c r="X28" s="85"/>
      <c r="Y28" s="85"/>
      <c r="Z28" s="85"/>
      <c r="AA28" s="85"/>
      <c r="AB28" s="85"/>
      <c r="AC28" s="85"/>
      <c r="AD28" s="85"/>
      <c r="AE28" s="85"/>
      <c r="AF28" s="85"/>
      <c r="AG28" s="85"/>
    </row>
    <row r="29">
      <c r="A29" s="113"/>
      <c r="B29" s="113"/>
      <c r="C29" s="86"/>
      <c r="D29" s="86"/>
      <c r="E29" s="86"/>
      <c r="F29" s="86"/>
      <c r="G29" s="85"/>
      <c r="H29" s="85"/>
      <c r="I29" s="85"/>
      <c r="J29" s="85"/>
      <c r="K29" s="85"/>
      <c r="L29" s="101">
        <v>9.0</v>
      </c>
      <c r="M29" s="108">
        <f t="shared" si="2"/>
        <v>45542</v>
      </c>
      <c r="N29" s="105" t="str">
        <f>AVERAGE(D153:D159)</f>
        <v>#DIV/0!</v>
      </c>
      <c r="O29" s="114" t="str">
        <f t="shared" ref="O29:S29" si="11">C164</f>
        <v/>
      </c>
      <c r="P29" s="114" t="str">
        <f t="shared" si="11"/>
        <v/>
      </c>
      <c r="Q29" s="114" t="str">
        <f t="shared" si="11"/>
        <v/>
      </c>
      <c r="R29" s="114" t="str">
        <f t="shared" si="11"/>
        <v/>
      </c>
      <c r="S29" s="114" t="str">
        <f t="shared" si="11"/>
        <v/>
      </c>
      <c r="T29" s="89"/>
      <c r="U29" s="16"/>
      <c r="V29" s="16"/>
      <c r="W29" s="16"/>
      <c r="X29" s="85"/>
      <c r="Y29" s="85"/>
      <c r="Z29" s="85"/>
      <c r="AA29" s="85"/>
      <c r="AB29" s="85"/>
      <c r="AC29" s="85"/>
      <c r="AD29" s="85"/>
      <c r="AE29" s="85"/>
      <c r="AF29" s="85"/>
      <c r="AG29" s="85"/>
    </row>
    <row r="30">
      <c r="A30" s="118"/>
      <c r="B30" s="118"/>
      <c r="C30" s="100" t="s">
        <v>109</v>
      </c>
      <c r="D30" s="43"/>
      <c r="E30" s="43"/>
      <c r="F30" s="43"/>
      <c r="G30" s="23"/>
      <c r="H30" s="119"/>
      <c r="I30" s="119"/>
      <c r="J30" s="119"/>
      <c r="K30" s="119"/>
      <c r="L30" s="101">
        <v>10.0</v>
      </c>
      <c r="M30" s="108">
        <f t="shared" si="2"/>
        <v>45549</v>
      </c>
      <c r="N30" s="111" t="str">
        <f>AVERAGE(D169:D175)</f>
        <v>#DIV/0!</v>
      </c>
      <c r="O30" s="112" t="str">
        <f>C164</f>
        <v/>
      </c>
      <c r="P30" s="112" t="str">
        <f t="shared" ref="P30:S30" si="12">D180</f>
        <v/>
      </c>
      <c r="Q30" s="112" t="str">
        <f t="shared" si="12"/>
        <v/>
      </c>
      <c r="R30" s="112" t="str">
        <f t="shared" si="12"/>
        <v/>
      </c>
      <c r="S30" s="112" t="str">
        <f t="shared" si="12"/>
        <v/>
      </c>
      <c r="T30" s="8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</row>
    <row r="31">
      <c r="A31" s="72"/>
      <c r="B31" s="72"/>
      <c r="C31" s="104" t="s">
        <v>93</v>
      </c>
      <c r="D31" s="104" t="s">
        <v>110</v>
      </c>
      <c r="E31" s="104" t="s">
        <v>95</v>
      </c>
      <c r="F31" s="104" t="s">
        <v>96</v>
      </c>
      <c r="G31" s="104" t="s">
        <v>97</v>
      </c>
      <c r="H31" s="119"/>
      <c r="I31" s="119"/>
      <c r="J31" s="119"/>
      <c r="K31" s="119"/>
      <c r="L31" s="101">
        <v>11.0</v>
      </c>
      <c r="M31" s="108">
        <f t="shared" si="2"/>
        <v>45556</v>
      </c>
      <c r="N31" s="105" t="str">
        <f>AVERAGE(D185:D191)</f>
        <v>#DIV/0!</v>
      </c>
      <c r="O31" s="114" t="str">
        <f t="shared" ref="O31:S31" si="13">C196</f>
        <v/>
      </c>
      <c r="P31" s="114" t="str">
        <f t="shared" si="13"/>
        <v/>
      </c>
      <c r="Q31" s="114" t="str">
        <f t="shared" si="13"/>
        <v/>
      </c>
      <c r="R31" s="114" t="str">
        <f t="shared" si="13"/>
        <v/>
      </c>
      <c r="S31" s="114" t="str">
        <f t="shared" si="13"/>
        <v/>
      </c>
      <c r="T31" s="8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</row>
    <row r="32">
      <c r="A32" s="99"/>
      <c r="B32" s="99"/>
      <c r="C32" s="120"/>
      <c r="D32" s="120"/>
      <c r="E32" s="120"/>
      <c r="F32" s="120"/>
      <c r="G32" s="120"/>
      <c r="H32" s="119"/>
      <c r="I32" s="119"/>
      <c r="J32" s="119"/>
      <c r="K32" s="119"/>
      <c r="L32" s="101">
        <v>12.0</v>
      </c>
      <c r="M32" s="108">
        <f t="shared" si="2"/>
        <v>45563</v>
      </c>
      <c r="N32" s="111" t="str">
        <f>AVERAGE(D201:D207)</f>
        <v>#DIV/0!</v>
      </c>
      <c r="O32" s="112" t="str">
        <f t="shared" ref="O32:S32" si="14">C212</f>
        <v/>
      </c>
      <c r="P32" s="112" t="str">
        <f t="shared" si="14"/>
        <v/>
      </c>
      <c r="Q32" s="112" t="str">
        <f t="shared" si="14"/>
        <v/>
      </c>
      <c r="R32" s="112" t="str">
        <f t="shared" si="14"/>
        <v/>
      </c>
      <c r="S32" s="112" t="str">
        <f t="shared" si="14"/>
        <v/>
      </c>
      <c r="T32" s="8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</row>
    <row r="33">
      <c r="A33" s="106"/>
      <c r="B33" s="106"/>
      <c r="C33" s="85"/>
      <c r="D33" s="85"/>
      <c r="E33" s="85"/>
      <c r="F33" s="85"/>
      <c r="G33" s="119"/>
      <c r="H33" s="119"/>
      <c r="I33" s="119"/>
      <c r="J33" s="119"/>
      <c r="K33" s="119"/>
      <c r="L33" s="85"/>
      <c r="M33" s="85"/>
      <c r="N33" s="85"/>
      <c r="O33" s="85"/>
      <c r="P33" s="85"/>
      <c r="Q33" s="85"/>
      <c r="R33" s="85"/>
      <c r="S33" s="85"/>
      <c r="T33" s="8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</row>
    <row r="34">
      <c r="A34" s="85"/>
      <c r="B34" s="85"/>
      <c r="C34" s="16"/>
      <c r="D34" s="16"/>
      <c r="E34" s="16"/>
      <c r="F34" s="16"/>
      <c r="G34" s="119"/>
      <c r="H34" s="119"/>
      <c r="I34" s="119"/>
      <c r="J34" s="119"/>
      <c r="K34" s="119"/>
      <c r="L34" s="16"/>
      <c r="M34" s="85"/>
      <c r="N34" s="71" t="s">
        <v>111</v>
      </c>
      <c r="O34" s="85"/>
      <c r="P34" s="85"/>
      <c r="Q34" s="85"/>
      <c r="R34" s="85"/>
      <c r="S34" s="85"/>
      <c r="T34" s="89"/>
      <c r="U34" s="121" t="s">
        <v>112</v>
      </c>
      <c r="V34" s="23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</row>
    <row r="35">
      <c r="A35" s="85"/>
      <c r="B35" s="85"/>
      <c r="C35" s="16"/>
      <c r="D35" s="16"/>
      <c r="E35" s="16"/>
      <c r="F35" s="16"/>
      <c r="G35" s="119"/>
      <c r="H35" s="119"/>
      <c r="I35" s="119"/>
      <c r="J35" s="119"/>
      <c r="K35" s="119"/>
      <c r="L35" s="85"/>
      <c r="M35" s="85"/>
      <c r="N35" s="85"/>
      <c r="O35" s="85"/>
      <c r="P35" s="85"/>
      <c r="Q35" s="85"/>
      <c r="R35" s="85"/>
      <c r="S35" s="85"/>
      <c r="T35" s="89"/>
      <c r="U35" s="122" t="s">
        <v>113</v>
      </c>
      <c r="V35" s="123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</row>
    <row r="36" ht="31.5" customHeight="1">
      <c r="A36" s="85"/>
      <c r="B36" s="85"/>
      <c r="C36" s="86"/>
      <c r="D36" s="124" t="s">
        <v>1</v>
      </c>
      <c r="E36" s="23"/>
      <c r="F36" s="86"/>
      <c r="G36" s="85"/>
      <c r="H36" s="85"/>
      <c r="I36" s="85"/>
      <c r="J36" s="85"/>
      <c r="K36" s="119"/>
      <c r="L36" s="85"/>
      <c r="M36" s="85"/>
      <c r="N36" s="85"/>
      <c r="O36" s="85"/>
      <c r="P36" s="85"/>
      <c r="Q36" s="85"/>
      <c r="R36" s="85"/>
      <c r="S36" s="85"/>
      <c r="T36" s="89"/>
      <c r="U36" s="122" t="s">
        <v>114</v>
      </c>
      <c r="V36" s="125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</row>
    <row r="37">
      <c r="A37" s="113"/>
      <c r="B37" s="113"/>
      <c r="C37" s="97" t="s">
        <v>98</v>
      </c>
      <c r="D37" s="97" t="s">
        <v>99</v>
      </c>
      <c r="E37" s="97" t="s">
        <v>100</v>
      </c>
      <c r="F37" s="97" t="s">
        <v>101</v>
      </c>
      <c r="G37" s="85"/>
      <c r="H37" s="99"/>
      <c r="I37" s="100" t="s">
        <v>102</v>
      </c>
      <c r="J37" s="23"/>
      <c r="K37" s="119"/>
      <c r="L37" s="85"/>
      <c r="M37" s="85"/>
      <c r="N37" s="85"/>
      <c r="O37" s="85"/>
      <c r="P37" s="85"/>
      <c r="Q37" s="85"/>
      <c r="R37" s="85"/>
      <c r="S37" s="85"/>
      <c r="T37" s="8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</row>
    <row r="38">
      <c r="A38" s="35"/>
      <c r="B38" s="35"/>
      <c r="C38" s="104">
        <v>45710.0</v>
      </c>
      <c r="D38" s="105"/>
      <c r="E38" s="105"/>
      <c r="F38" s="105"/>
      <c r="G38" s="85"/>
      <c r="H38" s="106"/>
      <c r="I38" s="104" t="s">
        <v>104</v>
      </c>
      <c r="J38" s="107">
        <v>1910.0</v>
      </c>
      <c r="K38" s="119"/>
      <c r="L38" s="85"/>
      <c r="M38" s="85"/>
      <c r="N38" s="85"/>
      <c r="O38" s="85"/>
      <c r="P38" s="85"/>
      <c r="Q38" s="85"/>
      <c r="R38" s="85"/>
      <c r="S38" s="85"/>
      <c r="T38" s="8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</row>
    <row r="39">
      <c r="A39" s="119"/>
      <c r="B39" s="119"/>
      <c r="C39" s="104">
        <v>45711.0</v>
      </c>
      <c r="D39" s="105"/>
      <c r="E39" s="105"/>
      <c r="F39" s="105"/>
      <c r="G39" s="85"/>
      <c r="H39" s="106"/>
      <c r="I39" s="104" t="s">
        <v>105</v>
      </c>
      <c r="J39" s="107">
        <v>170.0</v>
      </c>
      <c r="K39" s="119"/>
      <c r="L39" s="85"/>
      <c r="M39" s="85"/>
      <c r="N39" s="85"/>
      <c r="O39" s="85"/>
      <c r="P39" s="85"/>
      <c r="Q39" s="85"/>
      <c r="R39" s="85"/>
      <c r="S39" s="85"/>
      <c r="T39" s="8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</row>
    <row r="40">
      <c r="A40" s="119"/>
      <c r="B40" s="119"/>
      <c r="C40" s="104">
        <v>45712.0</v>
      </c>
      <c r="D40" s="105"/>
      <c r="E40" s="105"/>
      <c r="F40" s="105"/>
      <c r="G40" s="85"/>
      <c r="H40" s="106"/>
      <c r="I40" s="104" t="s">
        <v>106</v>
      </c>
      <c r="J40" s="107">
        <v>195.0</v>
      </c>
      <c r="K40" s="119"/>
      <c r="L40" s="85"/>
      <c r="M40" s="85"/>
      <c r="N40" s="85"/>
      <c r="O40" s="85"/>
      <c r="P40" s="85"/>
      <c r="Q40" s="85"/>
      <c r="R40" s="85"/>
      <c r="S40" s="85"/>
      <c r="T40" s="8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</row>
    <row r="41">
      <c r="A41" s="119"/>
      <c r="B41" s="119"/>
      <c r="C41" s="104">
        <v>45713.0</v>
      </c>
      <c r="D41" s="105"/>
      <c r="E41" s="105"/>
      <c r="F41" s="105"/>
      <c r="G41" s="85"/>
      <c r="H41" s="106"/>
      <c r="I41" s="104" t="s">
        <v>107</v>
      </c>
      <c r="J41" s="107">
        <v>50.0</v>
      </c>
      <c r="K41" s="119"/>
      <c r="L41" s="85"/>
      <c r="M41" s="85"/>
      <c r="N41" s="85"/>
      <c r="O41" s="85"/>
      <c r="P41" s="85"/>
      <c r="Q41" s="85"/>
      <c r="R41" s="85"/>
      <c r="S41" s="85"/>
      <c r="T41" s="8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</row>
    <row r="42">
      <c r="A42" s="119"/>
      <c r="B42" s="119"/>
      <c r="C42" s="104">
        <v>45714.0</v>
      </c>
      <c r="D42" s="105"/>
      <c r="E42" s="105"/>
      <c r="F42" s="105"/>
      <c r="G42" s="85"/>
      <c r="H42" s="85"/>
      <c r="I42" s="85"/>
      <c r="J42" s="85"/>
      <c r="K42" s="119"/>
      <c r="L42" s="85"/>
      <c r="M42" s="85"/>
      <c r="N42" s="85"/>
      <c r="O42" s="85"/>
      <c r="P42" s="85"/>
      <c r="Q42" s="85"/>
      <c r="R42" s="85"/>
      <c r="S42" s="85"/>
      <c r="T42" s="8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</row>
    <row r="43">
      <c r="A43" s="81"/>
      <c r="B43" s="81"/>
      <c r="C43" s="104">
        <v>45715.0</v>
      </c>
      <c r="D43" s="115"/>
      <c r="E43" s="105"/>
      <c r="F43" s="105"/>
      <c r="G43" s="85"/>
      <c r="H43" s="85"/>
      <c r="I43" s="85"/>
      <c r="J43" s="85"/>
      <c r="K43" s="81"/>
      <c r="L43" s="85"/>
      <c r="M43" s="85"/>
      <c r="N43" s="85"/>
      <c r="O43" s="85"/>
      <c r="P43" s="85"/>
      <c r="Q43" s="85"/>
      <c r="R43" s="85"/>
      <c r="S43" s="85"/>
      <c r="T43" s="89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</row>
    <row r="44">
      <c r="A44" s="81"/>
      <c r="B44" s="81"/>
      <c r="C44" s="104">
        <v>45716.0</v>
      </c>
      <c r="D44" s="115"/>
      <c r="E44" s="105"/>
      <c r="F44" s="115"/>
      <c r="G44" s="85"/>
      <c r="H44" s="85"/>
      <c r="I44" s="85"/>
      <c r="J44" s="85"/>
      <c r="K44" s="81"/>
      <c r="L44" s="85"/>
      <c r="M44" s="85"/>
      <c r="N44" s="85"/>
      <c r="O44" s="85"/>
      <c r="P44" s="85"/>
      <c r="Q44" s="85"/>
      <c r="R44" s="85"/>
      <c r="S44" s="85"/>
      <c r="T44" s="89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</row>
    <row r="45">
      <c r="A45" s="81"/>
      <c r="B45" s="81"/>
      <c r="C45" s="116" t="s">
        <v>108</v>
      </c>
      <c r="D45" s="117" t="str">
        <f t="shared" ref="D45:F45" si="15">AVERAGE(D38:D44)</f>
        <v>#DIV/0!</v>
      </c>
      <c r="E45" s="117" t="str">
        <f t="shared" si="15"/>
        <v>#DIV/0!</v>
      </c>
      <c r="F45" s="117" t="str">
        <f t="shared" si="15"/>
        <v>#DIV/0!</v>
      </c>
      <c r="G45" s="85"/>
      <c r="H45" s="85"/>
      <c r="I45" s="85"/>
      <c r="J45" s="85"/>
      <c r="K45" s="81"/>
      <c r="L45" s="85"/>
      <c r="M45" s="85"/>
      <c r="N45" s="85"/>
      <c r="O45" s="85"/>
      <c r="P45" s="85"/>
      <c r="Q45" s="85"/>
      <c r="R45" s="85"/>
      <c r="S45" s="85"/>
      <c r="T45" s="89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</row>
    <row r="46">
      <c r="A46" s="81"/>
      <c r="B46" s="81"/>
      <c r="C46" s="86"/>
      <c r="D46" s="86"/>
      <c r="E46" s="86"/>
      <c r="F46" s="86"/>
      <c r="G46" s="85"/>
      <c r="H46" s="85"/>
      <c r="I46" s="85"/>
      <c r="J46" s="85"/>
      <c r="K46" s="81"/>
      <c r="L46" s="85"/>
      <c r="M46" s="85"/>
      <c r="N46" s="85"/>
      <c r="O46" s="85"/>
      <c r="P46" s="85"/>
      <c r="Q46" s="85"/>
      <c r="R46" s="85"/>
      <c r="S46" s="85"/>
      <c r="T46" s="89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</row>
    <row r="47">
      <c r="A47" s="81"/>
      <c r="B47" s="81"/>
      <c r="C47" s="100" t="s">
        <v>109</v>
      </c>
      <c r="D47" s="43"/>
      <c r="E47" s="43"/>
      <c r="F47" s="43"/>
      <c r="G47" s="23"/>
      <c r="H47" s="119"/>
      <c r="I47" s="119"/>
      <c r="J47" s="119"/>
      <c r="K47" s="81"/>
      <c r="L47" s="85"/>
      <c r="M47" s="85"/>
      <c r="N47" s="85"/>
      <c r="O47" s="85"/>
      <c r="P47" s="85"/>
      <c r="Q47" s="85"/>
      <c r="R47" s="85"/>
      <c r="S47" s="85"/>
      <c r="T47" s="89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</row>
    <row r="48">
      <c r="A48" s="81"/>
      <c r="B48" s="81"/>
      <c r="C48" s="104" t="s">
        <v>93</v>
      </c>
      <c r="D48" s="104" t="s">
        <v>110</v>
      </c>
      <c r="E48" s="104" t="s">
        <v>95</v>
      </c>
      <c r="F48" s="104" t="s">
        <v>96</v>
      </c>
      <c r="G48" s="104" t="s">
        <v>97</v>
      </c>
      <c r="H48" s="119"/>
      <c r="I48" s="119"/>
      <c r="J48" s="119"/>
      <c r="K48" s="81"/>
      <c r="L48" s="89"/>
      <c r="M48" s="89"/>
      <c r="N48" s="89"/>
      <c r="O48" s="89"/>
      <c r="P48" s="89"/>
      <c r="Q48" s="89"/>
      <c r="R48" s="89"/>
      <c r="S48" s="89"/>
      <c r="T48" s="89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</row>
    <row r="49">
      <c r="A49" s="81"/>
      <c r="B49" s="81"/>
      <c r="C49" s="120"/>
      <c r="D49" s="120"/>
      <c r="E49" s="120"/>
      <c r="F49" s="120"/>
      <c r="G49" s="120"/>
      <c r="H49" s="119"/>
      <c r="I49" s="119"/>
      <c r="J49" s="119"/>
      <c r="K49" s="81"/>
      <c r="L49" s="89"/>
      <c r="M49" s="89"/>
      <c r="N49" s="89"/>
      <c r="O49" s="89"/>
      <c r="P49" s="89"/>
      <c r="Q49" s="89"/>
      <c r="R49" s="89"/>
      <c r="S49" s="89"/>
      <c r="T49" s="89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16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16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16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</row>
    <row r="53" ht="30.0" customHeight="1">
      <c r="A53" s="81"/>
      <c r="B53" s="81"/>
      <c r="C53" s="86"/>
      <c r="D53" s="124" t="s">
        <v>2</v>
      </c>
      <c r="E53" s="23"/>
      <c r="F53" s="86"/>
      <c r="G53" s="85"/>
      <c r="H53" s="85"/>
      <c r="I53" s="85"/>
      <c r="J53" s="85"/>
      <c r="K53" s="81"/>
      <c r="L53" s="16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</row>
    <row r="54">
      <c r="A54" s="81"/>
      <c r="B54" s="81"/>
      <c r="C54" s="97" t="s">
        <v>98</v>
      </c>
      <c r="D54" s="97" t="s">
        <v>99</v>
      </c>
      <c r="E54" s="97" t="s">
        <v>100</v>
      </c>
      <c r="F54" s="97" t="s">
        <v>101</v>
      </c>
      <c r="G54" s="85"/>
      <c r="H54" s="99"/>
      <c r="I54" s="100" t="s">
        <v>102</v>
      </c>
      <c r="J54" s="23"/>
      <c r="K54" s="81"/>
      <c r="L54" s="16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</row>
    <row r="55">
      <c r="A55" s="81"/>
      <c r="B55" s="81"/>
      <c r="C55" s="104">
        <v>45717.0</v>
      </c>
      <c r="D55" s="105"/>
      <c r="E55" s="105"/>
      <c r="F55" s="105"/>
      <c r="G55" s="85"/>
      <c r="H55" s="106"/>
      <c r="I55" s="104" t="s">
        <v>104</v>
      </c>
      <c r="J55" s="107">
        <v>1910.0</v>
      </c>
      <c r="K55" s="81"/>
      <c r="L55" s="16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</row>
    <row r="56">
      <c r="A56" s="81"/>
      <c r="B56" s="81"/>
      <c r="C56" s="104">
        <v>45718.0</v>
      </c>
      <c r="D56" s="105"/>
      <c r="E56" s="105"/>
      <c r="F56" s="105"/>
      <c r="G56" s="85"/>
      <c r="H56" s="106"/>
      <c r="I56" s="104" t="s">
        <v>105</v>
      </c>
      <c r="J56" s="107">
        <v>170.0</v>
      </c>
      <c r="K56" s="81"/>
      <c r="L56" s="16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</row>
    <row r="57">
      <c r="A57" s="81"/>
      <c r="B57" s="81"/>
      <c r="C57" s="104">
        <v>45719.0</v>
      </c>
      <c r="D57" s="105"/>
      <c r="E57" s="105"/>
      <c r="F57" s="105"/>
      <c r="G57" s="85"/>
      <c r="H57" s="106"/>
      <c r="I57" s="104" t="s">
        <v>106</v>
      </c>
      <c r="J57" s="107">
        <v>195.0</v>
      </c>
      <c r="K57" s="81"/>
      <c r="L57" s="16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</row>
    <row r="58">
      <c r="A58" s="81"/>
      <c r="B58" s="81"/>
      <c r="C58" s="104">
        <v>45720.0</v>
      </c>
      <c r="D58" s="105"/>
      <c r="E58" s="105"/>
      <c r="F58" s="105"/>
      <c r="G58" s="85"/>
      <c r="H58" s="106"/>
      <c r="I58" s="104" t="s">
        <v>107</v>
      </c>
      <c r="J58" s="107">
        <v>50.0</v>
      </c>
      <c r="K58" s="81"/>
      <c r="L58" s="16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</row>
    <row r="59">
      <c r="A59" s="81"/>
      <c r="B59" s="81"/>
      <c r="C59" s="104">
        <v>45721.0</v>
      </c>
      <c r="D59" s="105"/>
      <c r="E59" s="105"/>
      <c r="F59" s="105"/>
      <c r="G59" s="85"/>
      <c r="H59" s="85"/>
      <c r="I59" s="85"/>
      <c r="J59" s="85"/>
      <c r="K59" s="81"/>
      <c r="L59" s="16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</row>
    <row r="60">
      <c r="A60" s="81"/>
      <c r="B60" s="81"/>
      <c r="C60" s="104">
        <v>45722.0</v>
      </c>
      <c r="D60" s="115"/>
      <c r="E60" s="105"/>
      <c r="F60" s="105"/>
      <c r="G60" s="85"/>
      <c r="H60" s="85"/>
      <c r="I60" s="85"/>
      <c r="J60" s="85"/>
      <c r="K60" s="81"/>
      <c r="L60" s="16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</row>
    <row r="61">
      <c r="A61" s="81"/>
      <c r="B61" s="81"/>
      <c r="C61" s="104">
        <v>45723.0</v>
      </c>
      <c r="D61" s="115"/>
      <c r="E61" s="105"/>
      <c r="F61" s="115"/>
      <c r="G61" s="85"/>
      <c r="H61" s="85"/>
      <c r="I61" s="85"/>
      <c r="J61" s="85"/>
      <c r="K61" s="81"/>
      <c r="L61" s="16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</row>
    <row r="62">
      <c r="A62" s="81"/>
      <c r="B62" s="81"/>
      <c r="C62" s="116" t="s">
        <v>108</v>
      </c>
      <c r="D62" s="117" t="str">
        <f t="shared" ref="D62:F62" si="16">AVERAGE(D55:D61)</f>
        <v>#DIV/0!</v>
      </c>
      <c r="E62" s="117" t="str">
        <f t="shared" si="16"/>
        <v>#DIV/0!</v>
      </c>
      <c r="F62" s="117" t="str">
        <f t="shared" si="16"/>
        <v>#DIV/0!</v>
      </c>
      <c r="G62" s="85"/>
      <c r="H62" s="85"/>
      <c r="I62" s="85"/>
      <c r="J62" s="85"/>
      <c r="K62" s="81"/>
      <c r="L62" s="16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</row>
    <row r="63">
      <c r="A63" s="81"/>
      <c r="B63" s="81"/>
      <c r="C63" s="86"/>
      <c r="D63" s="86"/>
      <c r="E63" s="86"/>
      <c r="F63" s="86"/>
      <c r="G63" s="85"/>
      <c r="H63" s="85"/>
      <c r="I63" s="85"/>
      <c r="J63" s="85"/>
      <c r="K63" s="81"/>
      <c r="L63" s="16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</row>
    <row r="64">
      <c r="A64" s="81"/>
      <c r="B64" s="81"/>
      <c r="C64" s="100" t="s">
        <v>109</v>
      </c>
      <c r="D64" s="43"/>
      <c r="E64" s="43"/>
      <c r="F64" s="43"/>
      <c r="G64" s="23"/>
      <c r="H64" s="119"/>
      <c r="I64" s="119"/>
      <c r="J64" s="119"/>
      <c r="K64" s="81"/>
      <c r="L64" s="16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</row>
    <row r="65">
      <c r="A65" s="81"/>
      <c r="B65" s="81"/>
      <c r="C65" s="104" t="s">
        <v>93</v>
      </c>
      <c r="D65" s="104" t="s">
        <v>110</v>
      </c>
      <c r="E65" s="104" t="s">
        <v>95</v>
      </c>
      <c r="F65" s="104" t="s">
        <v>96</v>
      </c>
      <c r="G65" s="104" t="s">
        <v>97</v>
      </c>
      <c r="H65" s="119"/>
      <c r="I65" s="119"/>
      <c r="J65" s="119"/>
      <c r="K65" s="81"/>
      <c r="L65" s="16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</row>
    <row r="66">
      <c r="A66" s="81"/>
      <c r="B66" s="81"/>
      <c r="C66" s="120"/>
      <c r="D66" s="120"/>
      <c r="E66" s="120"/>
      <c r="F66" s="120"/>
      <c r="G66" s="120"/>
      <c r="H66" s="119"/>
      <c r="I66" s="119"/>
      <c r="J66" s="119"/>
      <c r="K66" s="81"/>
      <c r="L66" s="16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</row>
    <row r="67" ht="21.0" customHeight="1">
      <c r="A67" s="81"/>
      <c r="B67" s="81"/>
      <c r="C67" s="81"/>
      <c r="D67" s="81"/>
      <c r="E67" s="81"/>
      <c r="F67" s="81"/>
      <c r="G67" s="81"/>
      <c r="H67" s="119"/>
      <c r="I67" s="119"/>
      <c r="J67" s="119"/>
      <c r="K67" s="81"/>
      <c r="L67" s="16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</row>
    <row r="68" ht="31.5" customHeight="1">
      <c r="A68" s="81"/>
      <c r="B68" s="81"/>
      <c r="C68" s="81"/>
      <c r="D68" s="81"/>
      <c r="E68" s="81"/>
      <c r="F68" s="81"/>
      <c r="G68" s="81"/>
      <c r="H68" s="119"/>
      <c r="I68" s="119"/>
      <c r="J68" s="119"/>
      <c r="K68" s="81"/>
      <c r="L68" s="16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</row>
    <row r="69" ht="30.0" customHeight="1">
      <c r="A69" s="81"/>
      <c r="B69" s="81"/>
      <c r="C69" s="86"/>
      <c r="D69" s="124" t="s">
        <v>3</v>
      </c>
      <c r="E69" s="23"/>
      <c r="F69" s="86"/>
      <c r="G69" s="85"/>
      <c r="H69" s="85"/>
      <c r="I69" s="85"/>
      <c r="J69" s="85"/>
      <c r="K69" s="81"/>
      <c r="L69" s="16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</row>
    <row r="70">
      <c r="A70" s="81"/>
      <c r="B70" s="81"/>
      <c r="C70" s="97" t="s">
        <v>98</v>
      </c>
      <c r="D70" s="97" t="s">
        <v>99</v>
      </c>
      <c r="E70" s="97" t="s">
        <v>100</v>
      </c>
      <c r="F70" s="97" t="s">
        <v>101</v>
      </c>
      <c r="G70" s="85"/>
      <c r="H70" s="99"/>
      <c r="I70" s="100" t="s">
        <v>102</v>
      </c>
      <c r="J70" s="23"/>
      <c r="K70" s="81"/>
      <c r="L70" s="16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</row>
    <row r="71">
      <c r="A71" s="81"/>
      <c r="B71" s="81"/>
      <c r="C71" s="104">
        <v>45724.0</v>
      </c>
      <c r="D71" s="105"/>
      <c r="E71" s="105"/>
      <c r="F71" s="105"/>
      <c r="G71" s="85"/>
      <c r="H71" s="106"/>
      <c r="I71" s="104" t="s">
        <v>104</v>
      </c>
      <c r="J71" s="107">
        <v>1910.0</v>
      </c>
      <c r="K71" s="81"/>
      <c r="L71" s="16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</row>
    <row r="72">
      <c r="A72" s="81"/>
      <c r="B72" s="81"/>
      <c r="C72" s="104">
        <v>45725.0</v>
      </c>
      <c r="D72" s="105"/>
      <c r="E72" s="105"/>
      <c r="F72" s="105"/>
      <c r="G72" s="85"/>
      <c r="H72" s="106"/>
      <c r="I72" s="104" t="s">
        <v>105</v>
      </c>
      <c r="J72" s="107">
        <v>170.0</v>
      </c>
      <c r="K72" s="81"/>
      <c r="L72" s="16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</row>
    <row r="73">
      <c r="A73" s="81"/>
      <c r="B73" s="81"/>
      <c r="C73" s="104">
        <v>45726.0</v>
      </c>
      <c r="D73" s="105"/>
      <c r="E73" s="105"/>
      <c r="F73" s="105"/>
      <c r="G73" s="85"/>
      <c r="H73" s="106"/>
      <c r="I73" s="104" t="s">
        <v>106</v>
      </c>
      <c r="J73" s="107">
        <v>195.0</v>
      </c>
      <c r="K73" s="81"/>
      <c r="L73" s="16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</row>
    <row r="74">
      <c r="A74" s="81"/>
      <c r="B74" s="81"/>
      <c r="C74" s="104">
        <v>45727.0</v>
      </c>
      <c r="D74" s="105"/>
      <c r="E74" s="105"/>
      <c r="F74" s="105"/>
      <c r="G74" s="85"/>
      <c r="H74" s="106"/>
      <c r="I74" s="104" t="s">
        <v>107</v>
      </c>
      <c r="J74" s="107">
        <v>50.0</v>
      </c>
      <c r="K74" s="81"/>
      <c r="L74" s="16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</row>
    <row r="75">
      <c r="A75" s="81"/>
      <c r="B75" s="81"/>
      <c r="C75" s="104">
        <v>45728.0</v>
      </c>
      <c r="D75" s="105"/>
      <c r="E75" s="105"/>
      <c r="F75" s="105"/>
      <c r="G75" s="85"/>
      <c r="H75" s="85"/>
      <c r="I75" s="85"/>
      <c r="J75" s="85"/>
      <c r="K75" s="81"/>
      <c r="L75" s="16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</row>
    <row r="76">
      <c r="A76" s="81"/>
      <c r="B76" s="81"/>
      <c r="C76" s="104">
        <v>45729.0</v>
      </c>
      <c r="D76" s="115"/>
      <c r="E76" s="105"/>
      <c r="F76" s="105"/>
      <c r="G76" s="85"/>
      <c r="H76" s="85"/>
      <c r="I76" s="85"/>
      <c r="J76" s="85"/>
      <c r="K76" s="81"/>
      <c r="L76" s="16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</row>
    <row r="77">
      <c r="A77" s="81"/>
      <c r="B77" s="81"/>
      <c r="C77" s="104">
        <v>45730.0</v>
      </c>
      <c r="D77" s="115"/>
      <c r="E77" s="105"/>
      <c r="F77" s="115"/>
      <c r="G77" s="85"/>
      <c r="H77" s="85"/>
      <c r="I77" s="85"/>
      <c r="J77" s="85"/>
      <c r="K77" s="81"/>
      <c r="L77" s="16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</row>
    <row r="78">
      <c r="A78" s="81"/>
      <c r="B78" s="81"/>
      <c r="C78" s="116" t="s">
        <v>108</v>
      </c>
      <c r="D78" s="117" t="str">
        <f t="shared" ref="D78:F78" si="17">AVERAGE(D71:D77)</f>
        <v>#DIV/0!</v>
      </c>
      <c r="E78" s="117" t="str">
        <f t="shared" si="17"/>
        <v>#DIV/0!</v>
      </c>
      <c r="F78" s="117" t="str">
        <f t="shared" si="17"/>
        <v>#DIV/0!</v>
      </c>
      <c r="G78" s="85"/>
      <c r="H78" s="85"/>
      <c r="I78" s="85"/>
      <c r="J78" s="85"/>
      <c r="K78" s="81"/>
      <c r="L78" s="16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</row>
    <row r="79">
      <c r="A79" s="81"/>
      <c r="B79" s="81"/>
      <c r="C79" s="86"/>
      <c r="D79" s="86"/>
      <c r="E79" s="86"/>
      <c r="F79" s="86"/>
      <c r="G79" s="85"/>
      <c r="H79" s="85"/>
      <c r="I79" s="85"/>
      <c r="J79" s="85"/>
      <c r="K79" s="81"/>
      <c r="L79" s="16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</row>
    <row r="80">
      <c r="A80" s="81"/>
      <c r="B80" s="81"/>
      <c r="C80" s="100" t="s">
        <v>109</v>
      </c>
      <c r="D80" s="43"/>
      <c r="E80" s="43"/>
      <c r="F80" s="43"/>
      <c r="G80" s="23"/>
      <c r="H80" s="119"/>
      <c r="I80" s="119"/>
      <c r="J80" s="119"/>
      <c r="K80" s="81"/>
      <c r="L80" s="16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</row>
    <row r="81">
      <c r="A81" s="81"/>
      <c r="B81" s="81"/>
      <c r="C81" s="104" t="s">
        <v>93</v>
      </c>
      <c r="D81" s="104" t="s">
        <v>110</v>
      </c>
      <c r="E81" s="104" t="s">
        <v>95</v>
      </c>
      <c r="F81" s="104" t="s">
        <v>96</v>
      </c>
      <c r="G81" s="104" t="s">
        <v>97</v>
      </c>
      <c r="H81" s="119"/>
      <c r="I81" s="119"/>
      <c r="J81" s="119"/>
      <c r="K81" s="81"/>
      <c r="L81" s="16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</row>
    <row r="82">
      <c r="A82" s="81"/>
      <c r="B82" s="81"/>
      <c r="C82" s="120"/>
      <c r="D82" s="120"/>
      <c r="E82" s="120"/>
      <c r="F82" s="120"/>
      <c r="G82" s="120"/>
      <c r="H82" s="119"/>
      <c r="I82" s="119"/>
      <c r="J82" s="119"/>
      <c r="K82" s="81"/>
      <c r="L82" s="16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</row>
    <row r="83">
      <c r="A83" s="81"/>
      <c r="B83" s="81"/>
      <c r="C83" s="81"/>
      <c r="D83" s="81"/>
      <c r="E83" s="81"/>
      <c r="F83" s="81"/>
      <c r="G83" s="81"/>
      <c r="H83" s="119"/>
      <c r="I83" s="119"/>
      <c r="J83" s="119"/>
      <c r="K83" s="81"/>
      <c r="L83" s="16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</row>
    <row r="84">
      <c r="A84" s="81"/>
      <c r="B84" s="81"/>
      <c r="C84" s="81"/>
      <c r="D84" s="81"/>
      <c r="E84" s="81"/>
      <c r="F84" s="81"/>
      <c r="G84" s="81"/>
      <c r="H84" s="119"/>
      <c r="I84" s="119"/>
      <c r="J84" s="119"/>
      <c r="K84" s="81"/>
      <c r="L84" s="16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</row>
    <row r="85" ht="30.0" customHeight="1">
      <c r="A85" s="81"/>
      <c r="B85" s="81"/>
      <c r="C85" s="86"/>
      <c r="D85" s="124" t="s">
        <v>115</v>
      </c>
      <c r="E85" s="23"/>
      <c r="F85" s="86"/>
      <c r="G85" s="85"/>
      <c r="H85" s="85"/>
      <c r="I85" s="85"/>
      <c r="J85" s="85"/>
      <c r="K85" s="81"/>
      <c r="L85" s="16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</row>
    <row r="86">
      <c r="A86" s="81"/>
      <c r="B86" s="81"/>
      <c r="C86" s="97" t="s">
        <v>98</v>
      </c>
      <c r="D86" s="97" t="s">
        <v>99</v>
      </c>
      <c r="E86" s="97" t="s">
        <v>100</v>
      </c>
      <c r="F86" s="97" t="s">
        <v>101</v>
      </c>
      <c r="G86" s="85"/>
      <c r="H86" s="99"/>
      <c r="I86" s="100" t="s">
        <v>102</v>
      </c>
      <c r="J86" s="23"/>
      <c r="K86" s="81"/>
      <c r="L86" s="16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</row>
    <row r="87">
      <c r="A87" s="81"/>
      <c r="B87" s="81"/>
      <c r="C87" s="104">
        <v>45483.0</v>
      </c>
      <c r="D87" s="105"/>
      <c r="E87" s="105"/>
      <c r="F87" s="105"/>
      <c r="G87" s="85"/>
      <c r="H87" s="106"/>
      <c r="I87" s="104" t="s">
        <v>104</v>
      </c>
      <c r="J87" s="107">
        <v>1910.0</v>
      </c>
      <c r="K87" s="81"/>
      <c r="L87" s="16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</row>
    <row r="88">
      <c r="A88" s="81"/>
      <c r="B88" s="81"/>
      <c r="C88" s="104">
        <v>45484.0</v>
      </c>
      <c r="D88" s="105"/>
      <c r="E88" s="105"/>
      <c r="F88" s="105"/>
      <c r="G88" s="85"/>
      <c r="H88" s="106"/>
      <c r="I88" s="104" t="s">
        <v>105</v>
      </c>
      <c r="J88" s="107">
        <v>170.0</v>
      </c>
      <c r="K88" s="81"/>
      <c r="L88" s="16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</row>
    <row r="89">
      <c r="A89" s="81"/>
      <c r="B89" s="81"/>
      <c r="C89" s="104">
        <v>45485.0</v>
      </c>
      <c r="D89" s="105"/>
      <c r="E89" s="105"/>
      <c r="F89" s="105"/>
      <c r="G89" s="85"/>
      <c r="H89" s="106"/>
      <c r="I89" s="104" t="s">
        <v>106</v>
      </c>
      <c r="J89" s="107">
        <v>195.0</v>
      </c>
      <c r="K89" s="81"/>
      <c r="L89" s="16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</row>
    <row r="90">
      <c r="A90" s="81"/>
      <c r="B90" s="81"/>
      <c r="C90" s="104">
        <v>45486.0</v>
      </c>
      <c r="D90" s="105"/>
      <c r="E90" s="105"/>
      <c r="F90" s="105"/>
      <c r="G90" s="85"/>
      <c r="H90" s="106"/>
      <c r="I90" s="104" t="s">
        <v>107</v>
      </c>
      <c r="J90" s="107">
        <v>50.0</v>
      </c>
      <c r="K90" s="81"/>
      <c r="L90" s="16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</row>
    <row r="91">
      <c r="A91" s="81"/>
      <c r="B91" s="81"/>
      <c r="C91" s="104">
        <v>45487.0</v>
      </c>
      <c r="D91" s="105"/>
      <c r="E91" s="105"/>
      <c r="F91" s="105"/>
      <c r="G91" s="85"/>
      <c r="H91" s="85"/>
      <c r="I91" s="85"/>
      <c r="J91" s="85"/>
      <c r="K91" s="81"/>
      <c r="L91" s="16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</row>
    <row r="92">
      <c r="A92" s="81"/>
      <c r="B92" s="81"/>
      <c r="C92" s="104">
        <v>45488.0</v>
      </c>
      <c r="D92" s="115"/>
      <c r="E92" s="105"/>
      <c r="F92" s="105"/>
      <c r="G92" s="85"/>
      <c r="H92" s="85"/>
      <c r="I92" s="85"/>
      <c r="J92" s="85"/>
      <c r="K92" s="81"/>
      <c r="L92" s="16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</row>
    <row r="93">
      <c r="A93" s="81"/>
      <c r="B93" s="81"/>
      <c r="C93" s="104">
        <v>45489.0</v>
      </c>
      <c r="D93" s="115"/>
      <c r="E93" s="105"/>
      <c r="F93" s="115"/>
      <c r="G93" s="85"/>
      <c r="H93" s="85"/>
      <c r="I93" s="85"/>
      <c r="J93" s="85"/>
      <c r="K93" s="81"/>
      <c r="L93" s="16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</row>
    <row r="94">
      <c r="A94" s="81"/>
      <c r="B94" s="81"/>
      <c r="C94" s="116" t="s">
        <v>108</v>
      </c>
      <c r="D94" s="117" t="str">
        <f t="shared" ref="D94:F94" si="18">AVERAGE(D87:D93)</f>
        <v>#DIV/0!</v>
      </c>
      <c r="E94" s="117" t="str">
        <f t="shared" si="18"/>
        <v>#DIV/0!</v>
      </c>
      <c r="F94" s="117" t="str">
        <f t="shared" si="18"/>
        <v>#DIV/0!</v>
      </c>
      <c r="G94" s="85"/>
      <c r="H94" s="85"/>
      <c r="I94" s="85"/>
      <c r="J94" s="85"/>
      <c r="K94" s="81"/>
      <c r="L94" s="16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</row>
    <row r="95">
      <c r="A95" s="81"/>
      <c r="B95" s="81"/>
      <c r="C95" s="86"/>
      <c r="D95" s="86"/>
      <c r="E95" s="86"/>
      <c r="F95" s="86"/>
      <c r="G95" s="85"/>
      <c r="H95" s="85"/>
      <c r="I95" s="85"/>
      <c r="J95" s="85"/>
      <c r="K95" s="81"/>
      <c r="L95" s="16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</row>
    <row r="96">
      <c r="A96" s="81"/>
      <c r="B96" s="81"/>
      <c r="C96" s="100" t="s">
        <v>109</v>
      </c>
      <c r="D96" s="43"/>
      <c r="E96" s="43"/>
      <c r="F96" s="43"/>
      <c r="G96" s="23"/>
      <c r="H96" s="119"/>
      <c r="I96" s="119"/>
      <c r="J96" s="119"/>
      <c r="K96" s="81"/>
      <c r="L96" s="16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</row>
    <row r="97">
      <c r="A97" s="81"/>
      <c r="B97" s="81"/>
      <c r="C97" s="104" t="s">
        <v>93</v>
      </c>
      <c r="D97" s="104" t="s">
        <v>110</v>
      </c>
      <c r="E97" s="104" t="s">
        <v>95</v>
      </c>
      <c r="F97" s="104" t="s">
        <v>96</v>
      </c>
      <c r="G97" s="104" t="s">
        <v>97</v>
      </c>
      <c r="H97" s="119"/>
      <c r="I97" s="119"/>
      <c r="J97" s="119"/>
      <c r="K97" s="81"/>
      <c r="L97" s="16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</row>
    <row r="98">
      <c r="A98" s="81"/>
      <c r="B98" s="81"/>
      <c r="C98" s="120"/>
      <c r="D98" s="120"/>
      <c r="E98" s="120"/>
      <c r="F98" s="120"/>
      <c r="G98" s="120"/>
      <c r="H98" s="119"/>
      <c r="I98" s="119"/>
      <c r="J98" s="119"/>
      <c r="K98" s="81"/>
      <c r="L98" s="16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</row>
    <row r="99">
      <c r="A99" s="81"/>
      <c r="B99" s="81"/>
      <c r="C99" s="81"/>
      <c r="D99" s="81"/>
      <c r="E99" s="81"/>
      <c r="F99" s="81"/>
      <c r="G99" s="81"/>
      <c r="H99" s="119"/>
      <c r="I99" s="119"/>
      <c r="J99" s="119"/>
      <c r="K99" s="81"/>
      <c r="L99" s="16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</row>
    <row r="100">
      <c r="A100" s="81"/>
      <c r="B100" s="81"/>
      <c r="C100" s="81"/>
      <c r="D100" s="81"/>
      <c r="E100" s="81"/>
      <c r="F100" s="81"/>
      <c r="G100" s="81"/>
      <c r="H100" s="119"/>
      <c r="I100" s="119"/>
      <c r="J100" s="119"/>
      <c r="K100" s="81"/>
      <c r="L100" s="16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</row>
    <row r="101" ht="27.0" customHeight="1">
      <c r="A101" s="81"/>
      <c r="B101" s="81"/>
      <c r="C101" s="86"/>
      <c r="D101" s="124" t="s">
        <v>116</v>
      </c>
      <c r="E101" s="23"/>
      <c r="F101" s="86"/>
      <c r="G101" s="85"/>
      <c r="H101" s="85"/>
      <c r="I101" s="85"/>
      <c r="J101" s="85"/>
      <c r="K101" s="81"/>
      <c r="L101" s="16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</row>
    <row r="102">
      <c r="A102" s="81"/>
      <c r="B102" s="81"/>
      <c r="C102" s="97" t="s">
        <v>98</v>
      </c>
      <c r="D102" s="97" t="s">
        <v>99</v>
      </c>
      <c r="E102" s="97" t="s">
        <v>100</v>
      </c>
      <c r="F102" s="97" t="s">
        <v>101</v>
      </c>
      <c r="G102" s="85"/>
      <c r="H102" s="99"/>
      <c r="I102" s="100" t="s">
        <v>102</v>
      </c>
      <c r="J102" s="23"/>
      <c r="K102" s="81"/>
      <c r="L102" s="16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</row>
    <row r="103">
      <c r="A103" s="81"/>
      <c r="B103" s="81"/>
      <c r="C103" s="104">
        <v>45483.0</v>
      </c>
      <c r="D103" s="105"/>
      <c r="E103" s="105"/>
      <c r="F103" s="105"/>
      <c r="G103" s="85"/>
      <c r="H103" s="106"/>
      <c r="I103" s="104" t="s">
        <v>104</v>
      </c>
      <c r="J103" s="107">
        <v>1910.0</v>
      </c>
      <c r="K103" s="81"/>
      <c r="L103" s="16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</row>
    <row r="104">
      <c r="A104" s="81"/>
      <c r="B104" s="81"/>
      <c r="C104" s="104">
        <v>45484.0</v>
      </c>
      <c r="D104" s="105"/>
      <c r="E104" s="105"/>
      <c r="F104" s="105"/>
      <c r="G104" s="85"/>
      <c r="H104" s="106"/>
      <c r="I104" s="104" t="s">
        <v>105</v>
      </c>
      <c r="J104" s="107">
        <v>170.0</v>
      </c>
      <c r="K104" s="81"/>
      <c r="L104" s="16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</row>
    <row r="105">
      <c r="A105" s="81"/>
      <c r="B105" s="81"/>
      <c r="C105" s="104">
        <v>45485.0</v>
      </c>
      <c r="D105" s="105"/>
      <c r="E105" s="105"/>
      <c r="F105" s="105"/>
      <c r="G105" s="85"/>
      <c r="H105" s="106"/>
      <c r="I105" s="104" t="s">
        <v>106</v>
      </c>
      <c r="J105" s="107">
        <v>195.0</v>
      </c>
      <c r="K105" s="81"/>
      <c r="L105" s="16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</row>
    <row r="106">
      <c r="A106" s="81"/>
      <c r="B106" s="81"/>
      <c r="C106" s="104">
        <v>45486.0</v>
      </c>
      <c r="D106" s="105"/>
      <c r="E106" s="105"/>
      <c r="F106" s="105"/>
      <c r="G106" s="85"/>
      <c r="H106" s="106"/>
      <c r="I106" s="104" t="s">
        <v>107</v>
      </c>
      <c r="J106" s="107">
        <v>50.0</v>
      </c>
      <c r="K106" s="81"/>
      <c r="L106" s="16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</row>
    <row r="107">
      <c r="A107" s="81"/>
      <c r="B107" s="81"/>
      <c r="C107" s="104">
        <v>45487.0</v>
      </c>
      <c r="D107" s="105"/>
      <c r="E107" s="105"/>
      <c r="F107" s="105"/>
      <c r="G107" s="85"/>
      <c r="H107" s="85"/>
      <c r="I107" s="85"/>
      <c r="J107" s="85"/>
      <c r="K107" s="81"/>
      <c r="L107" s="16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</row>
    <row r="108">
      <c r="A108" s="81"/>
      <c r="B108" s="81"/>
      <c r="C108" s="104">
        <v>45488.0</v>
      </c>
      <c r="D108" s="115"/>
      <c r="E108" s="105"/>
      <c r="F108" s="105"/>
      <c r="G108" s="85"/>
      <c r="H108" s="85"/>
      <c r="I108" s="85"/>
      <c r="J108" s="85"/>
      <c r="K108" s="81"/>
      <c r="L108" s="16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</row>
    <row r="109">
      <c r="A109" s="81"/>
      <c r="B109" s="81"/>
      <c r="C109" s="104">
        <v>45489.0</v>
      </c>
      <c r="D109" s="115"/>
      <c r="E109" s="105"/>
      <c r="F109" s="115"/>
      <c r="G109" s="85"/>
      <c r="H109" s="85"/>
      <c r="I109" s="85"/>
      <c r="J109" s="85"/>
      <c r="K109" s="81"/>
      <c r="L109" s="16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</row>
    <row r="110">
      <c r="A110" s="81"/>
      <c r="B110" s="81"/>
      <c r="C110" s="116" t="s">
        <v>108</v>
      </c>
      <c r="D110" s="117" t="str">
        <f t="shared" ref="D110:F110" si="19">AVERAGE(D103:D109)</f>
        <v>#DIV/0!</v>
      </c>
      <c r="E110" s="117" t="str">
        <f t="shared" si="19"/>
        <v>#DIV/0!</v>
      </c>
      <c r="F110" s="117" t="str">
        <f t="shared" si="19"/>
        <v>#DIV/0!</v>
      </c>
      <c r="G110" s="85"/>
      <c r="H110" s="85"/>
      <c r="I110" s="85"/>
      <c r="J110" s="85"/>
      <c r="K110" s="81"/>
      <c r="L110" s="16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</row>
    <row r="111">
      <c r="A111" s="81"/>
      <c r="B111" s="81"/>
      <c r="C111" s="86"/>
      <c r="D111" s="86"/>
      <c r="E111" s="86"/>
      <c r="F111" s="86"/>
      <c r="G111" s="85"/>
      <c r="H111" s="85"/>
      <c r="I111" s="85"/>
      <c r="J111" s="85"/>
      <c r="K111" s="81"/>
      <c r="L111" s="16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</row>
    <row r="112">
      <c r="A112" s="81"/>
      <c r="B112" s="81"/>
      <c r="C112" s="100" t="s">
        <v>109</v>
      </c>
      <c r="D112" s="43"/>
      <c r="E112" s="43"/>
      <c r="F112" s="43"/>
      <c r="G112" s="23"/>
      <c r="H112" s="119"/>
      <c r="I112" s="119"/>
      <c r="J112" s="119"/>
      <c r="K112" s="81"/>
      <c r="L112" s="16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</row>
    <row r="113">
      <c r="A113" s="81"/>
      <c r="B113" s="81"/>
      <c r="C113" s="104" t="s">
        <v>93</v>
      </c>
      <c r="D113" s="104" t="s">
        <v>110</v>
      </c>
      <c r="E113" s="104" t="s">
        <v>95</v>
      </c>
      <c r="F113" s="104" t="s">
        <v>96</v>
      </c>
      <c r="G113" s="104" t="s">
        <v>97</v>
      </c>
      <c r="H113" s="119"/>
      <c r="I113" s="119"/>
      <c r="J113" s="119"/>
      <c r="K113" s="81"/>
      <c r="L113" s="16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</row>
    <row r="114">
      <c r="A114" s="81"/>
      <c r="B114" s="81"/>
      <c r="C114" s="120"/>
      <c r="D114" s="120"/>
      <c r="E114" s="120"/>
      <c r="F114" s="120"/>
      <c r="G114" s="120"/>
      <c r="H114" s="119"/>
      <c r="I114" s="119"/>
      <c r="J114" s="119"/>
      <c r="K114" s="81"/>
      <c r="L114" s="16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</row>
    <row r="115">
      <c r="A115" s="81"/>
      <c r="B115" s="81"/>
      <c r="C115" s="85"/>
      <c r="D115" s="85"/>
      <c r="E115" s="85"/>
      <c r="F115" s="85"/>
      <c r="G115" s="81"/>
      <c r="H115" s="81"/>
      <c r="I115" s="81"/>
      <c r="J115" s="81"/>
      <c r="K115" s="81"/>
      <c r="L115" s="16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</row>
    <row r="116">
      <c r="A116" s="81"/>
      <c r="B116" s="81"/>
      <c r="C116" s="16"/>
      <c r="D116" s="16"/>
      <c r="E116" s="16"/>
      <c r="F116" s="16"/>
      <c r="G116" s="81"/>
      <c r="H116" s="81"/>
      <c r="I116" s="81"/>
      <c r="J116" s="81"/>
      <c r="K116" s="81"/>
      <c r="L116" s="16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</row>
    <row r="117">
      <c r="A117" s="81"/>
      <c r="B117" s="81"/>
      <c r="C117" s="16"/>
      <c r="D117" s="16"/>
      <c r="E117" s="16"/>
      <c r="F117" s="16"/>
      <c r="G117" s="81"/>
      <c r="H117" s="81"/>
      <c r="I117" s="81"/>
      <c r="J117" s="81"/>
      <c r="K117" s="81"/>
      <c r="L117" s="16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</row>
    <row r="118" ht="30.0" customHeight="1">
      <c r="A118" s="81"/>
      <c r="B118" s="81"/>
      <c r="C118" s="86"/>
      <c r="D118" s="124" t="s">
        <v>117</v>
      </c>
      <c r="E118" s="23"/>
      <c r="F118" s="86"/>
      <c r="G118" s="85"/>
      <c r="H118" s="85"/>
      <c r="I118" s="85"/>
      <c r="J118" s="85"/>
      <c r="K118" s="81"/>
      <c r="L118" s="16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</row>
    <row r="119">
      <c r="A119" s="81"/>
      <c r="B119" s="81"/>
      <c r="C119" s="97" t="s">
        <v>98</v>
      </c>
      <c r="D119" s="97" t="s">
        <v>99</v>
      </c>
      <c r="E119" s="97" t="s">
        <v>100</v>
      </c>
      <c r="F119" s="97" t="s">
        <v>101</v>
      </c>
      <c r="G119" s="85"/>
      <c r="H119" s="99"/>
      <c r="I119" s="100" t="s">
        <v>102</v>
      </c>
      <c r="J119" s="23"/>
      <c r="K119" s="81"/>
      <c r="L119" s="16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</row>
    <row r="120">
      <c r="A120" s="81"/>
      <c r="B120" s="81"/>
      <c r="C120" s="104">
        <v>45483.0</v>
      </c>
      <c r="D120" s="105"/>
      <c r="E120" s="105"/>
      <c r="F120" s="105"/>
      <c r="G120" s="85"/>
      <c r="H120" s="106"/>
      <c r="I120" s="104" t="s">
        <v>104</v>
      </c>
      <c r="J120" s="107">
        <v>1910.0</v>
      </c>
      <c r="K120" s="81"/>
      <c r="L120" s="16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</row>
    <row r="121">
      <c r="A121" s="81"/>
      <c r="B121" s="81"/>
      <c r="C121" s="104">
        <v>45484.0</v>
      </c>
      <c r="D121" s="105"/>
      <c r="E121" s="105"/>
      <c r="F121" s="105"/>
      <c r="G121" s="85"/>
      <c r="H121" s="106"/>
      <c r="I121" s="104" t="s">
        <v>105</v>
      </c>
      <c r="J121" s="107">
        <v>170.0</v>
      </c>
      <c r="K121" s="81"/>
      <c r="L121" s="16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</row>
    <row r="122">
      <c r="A122" s="81"/>
      <c r="B122" s="81"/>
      <c r="C122" s="104">
        <v>45485.0</v>
      </c>
      <c r="D122" s="105"/>
      <c r="E122" s="105"/>
      <c r="F122" s="105"/>
      <c r="G122" s="85"/>
      <c r="H122" s="106"/>
      <c r="I122" s="104" t="s">
        <v>106</v>
      </c>
      <c r="J122" s="107">
        <v>195.0</v>
      </c>
      <c r="K122" s="81"/>
      <c r="L122" s="16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</row>
    <row r="123">
      <c r="A123" s="81"/>
      <c r="B123" s="81"/>
      <c r="C123" s="104">
        <v>45486.0</v>
      </c>
      <c r="D123" s="105"/>
      <c r="E123" s="105"/>
      <c r="F123" s="105"/>
      <c r="G123" s="85"/>
      <c r="H123" s="106"/>
      <c r="I123" s="104" t="s">
        <v>107</v>
      </c>
      <c r="J123" s="107">
        <v>50.0</v>
      </c>
      <c r="K123" s="81"/>
      <c r="L123" s="16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</row>
    <row r="124">
      <c r="A124" s="81"/>
      <c r="B124" s="81"/>
      <c r="C124" s="104">
        <v>45487.0</v>
      </c>
      <c r="D124" s="105"/>
      <c r="E124" s="105"/>
      <c r="F124" s="105"/>
      <c r="G124" s="85"/>
      <c r="H124" s="85"/>
      <c r="I124" s="85"/>
      <c r="J124" s="85"/>
      <c r="K124" s="81"/>
      <c r="L124" s="16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</row>
    <row r="125">
      <c r="A125" s="81"/>
      <c r="B125" s="81"/>
      <c r="C125" s="104">
        <v>45488.0</v>
      </c>
      <c r="D125" s="115"/>
      <c r="E125" s="105"/>
      <c r="F125" s="105"/>
      <c r="G125" s="85"/>
      <c r="H125" s="85"/>
      <c r="I125" s="85"/>
      <c r="J125" s="85"/>
      <c r="K125" s="81"/>
      <c r="L125" s="16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</row>
    <row r="126">
      <c r="A126" s="81"/>
      <c r="B126" s="81"/>
      <c r="C126" s="104">
        <v>45489.0</v>
      </c>
      <c r="D126" s="115"/>
      <c r="E126" s="105"/>
      <c r="F126" s="115"/>
      <c r="G126" s="85"/>
      <c r="H126" s="85"/>
      <c r="I126" s="85"/>
      <c r="J126" s="85"/>
      <c r="K126" s="81"/>
      <c r="L126" s="16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</row>
    <row r="127">
      <c r="A127" s="81"/>
      <c r="B127" s="81"/>
      <c r="C127" s="116" t="s">
        <v>108</v>
      </c>
      <c r="D127" s="117" t="str">
        <f t="shared" ref="D127:F127" si="20">AVERAGE(D120:D126)</f>
        <v>#DIV/0!</v>
      </c>
      <c r="E127" s="117" t="str">
        <f t="shared" si="20"/>
        <v>#DIV/0!</v>
      </c>
      <c r="F127" s="117" t="str">
        <f t="shared" si="20"/>
        <v>#DIV/0!</v>
      </c>
      <c r="G127" s="85"/>
      <c r="H127" s="85"/>
      <c r="I127" s="85"/>
      <c r="J127" s="85"/>
      <c r="K127" s="81"/>
      <c r="L127" s="16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</row>
    <row r="128">
      <c r="A128" s="81"/>
      <c r="B128" s="81"/>
      <c r="C128" s="86"/>
      <c r="D128" s="86"/>
      <c r="E128" s="86"/>
      <c r="F128" s="86"/>
      <c r="G128" s="85"/>
      <c r="H128" s="85"/>
      <c r="I128" s="85"/>
      <c r="J128" s="85"/>
      <c r="K128" s="81"/>
      <c r="L128" s="16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</row>
    <row r="129">
      <c r="A129" s="81"/>
      <c r="B129" s="81"/>
      <c r="C129" s="100" t="s">
        <v>109</v>
      </c>
      <c r="D129" s="43"/>
      <c r="E129" s="43"/>
      <c r="F129" s="43"/>
      <c r="G129" s="23"/>
      <c r="H129" s="119"/>
      <c r="I129" s="119"/>
      <c r="J129" s="119"/>
      <c r="K129" s="81"/>
      <c r="L129" s="16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</row>
    <row r="130">
      <c r="A130" s="81"/>
      <c r="B130" s="81"/>
      <c r="C130" s="104" t="s">
        <v>93</v>
      </c>
      <c r="D130" s="104" t="s">
        <v>110</v>
      </c>
      <c r="E130" s="104" t="s">
        <v>95</v>
      </c>
      <c r="F130" s="104" t="s">
        <v>96</v>
      </c>
      <c r="G130" s="104" t="s">
        <v>97</v>
      </c>
      <c r="H130" s="119"/>
      <c r="I130" s="119"/>
      <c r="J130" s="119"/>
      <c r="K130" s="81"/>
      <c r="L130" s="16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</row>
    <row r="131">
      <c r="A131" s="81"/>
      <c r="B131" s="81"/>
      <c r="C131" s="120"/>
      <c r="D131" s="120"/>
      <c r="E131" s="120"/>
      <c r="F131" s="120"/>
      <c r="G131" s="120"/>
      <c r="H131" s="119"/>
      <c r="I131" s="119"/>
      <c r="J131" s="119"/>
      <c r="K131" s="81"/>
      <c r="L131" s="16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</row>
    <row r="132">
      <c r="A132" s="81"/>
      <c r="B132" s="81"/>
      <c r="C132" s="81"/>
      <c r="D132" s="81"/>
      <c r="E132" s="81"/>
      <c r="F132" s="81"/>
      <c r="G132" s="81"/>
      <c r="H132" s="119"/>
      <c r="I132" s="119"/>
      <c r="J132" s="119"/>
      <c r="K132" s="81"/>
      <c r="L132" s="16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</row>
    <row r="133">
      <c r="A133" s="81"/>
      <c r="B133" s="81"/>
      <c r="C133" s="81"/>
      <c r="D133" s="81"/>
      <c r="E133" s="81"/>
      <c r="F133" s="81"/>
      <c r="G133" s="81"/>
      <c r="H133" s="119"/>
      <c r="I133" s="119"/>
      <c r="J133" s="119"/>
      <c r="K133" s="81"/>
      <c r="L133" s="16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</row>
    <row r="134">
      <c r="A134" s="81"/>
      <c r="B134" s="81"/>
      <c r="C134" s="81"/>
      <c r="D134" s="81"/>
      <c r="E134" s="81"/>
      <c r="F134" s="81"/>
      <c r="G134" s="81"/>
      <c r="H134" s="119"/>
      <c r="I134" s="119"/>
      <c r="J134" s="119"/>
      <c r="K134" s="81"/>
      <c r="L134" s="16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</row>
    <row r="135" ht="31.5" customHeight="1">
      <c r="A135" s="81"/>
      <c r="B135" s="81"/>
      <c r="C135" s="86"/>
      <c r="D135" s="124" t="s">
        <v>118</v>
      </c>
      <c r="E135" s="23"/>
      <c r="F135" s="86"/>
      <c r="G135" s="85"/>
      <c r="H135" s="85"/>
      <c r="I135" s="85"/>
      <c r="J135" s="85"/>
      <c r="K135" s="81"/>
      <c r="L135" s="16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</row>
    <row r="136">
      <c r="A136" s="81"/>
      <c r="B136" s="81"/>
      <c r="C136" s="97" t="s">
        <v>98</v>
      </c>
      <c r="D136" s="97" t="s">
        <v>99</v>
      </c>
      <c r="E136" s="97" t="s">
        <v>100</v>
      </c>
      <c r="F136" s="97" t="s">
        <v>101</v>
      </c>
      <c r="G136" s="85"/>
      <c r="H136" s="99"/>
      <c r="I136" s="100" t="s">
        <v>102</v>
      </c>
      <c r="J136" s="23"/>
      <c r="K136" s="81"/>
      <c r="L136" s="16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</row>
    <row r="137">
      <c r="A137" s="81"/>
      <c r="B137" s="81"/>
      <c r="C137" s="104">
        <v>45483.0</v>
      </c>
      <c r="D137" s="105"/>
      <c r="E137" s="105"/>
      <c r="F137" s="105"/>
      <c r="G137" s="85"/>
      <c r="H137" s="106"/>
      <c r="I137" s="104" t="s">
        <v>104</v>
      </c>
      <c r="J137" s="107">
        <v>1910.0</v>
      </c>
      <c r="K137" s="81"/>
      <c r="L137" s="16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</row>
    <row r="138">
      <c r="A138" s="81"/>
      <c r="B138" s="81"/>
      <c r="C138" s="104">
        <v>45484.0</v>
      </c>
      <c r="D138" s="105"/>
      <c r="E138" s="105"/>
      <c r="F138" s="105"/>
      <c r="G138" s="85"/>
      <c r="H138" s="106"/>
      <c r="I138" s="104" t="s">
        <v>105</v>
      </c>
      <c r="J138" s="107">
        <v>170.0</v>
      </c>
      <c r="K138" s="81"/>
      <c r="L138" s="16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</row>
    <row r="139">
      <c r="A139" s="81"/>
      <c r="B139" s="81"/>
      <c r="C139" s="104">
        <v>45485.0</v>
      </c>
      <c r="D139" s="105"/>
      <c r="E139" s="105"/>
      <c r="F139" s="105"/>
      <c r="G139" s="85"/>
      <c r="H139" s="106"/>
      <c r="I139" s="104" t="s">
        <v>106</v>
      </c>
      <c r="J139" s="107">
        <v>195.0</v>
      </c>
      <c r="K139" s="81"/>
      <c r="L139" s="16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</row>
    <row r="140">
      <c r="A140" s="81"/>
      <c r="B140" s="81"/>
      <c r="C140" s="104">
        <v>45486.0</v>
      </c>
      <c r="D140" s="105"/>
      <c r="E140" s="105"/>
      <c r="F140" s="105"/>
      <c r="G140" s="85"/>
      <c r="H140" s="106"/>
      <c r="I140" s="104" t="s">
        <v>107</v>
      </c>
      <c r="J140" s="107">
        <v>50.0</v>
      </c>
      <c r="K140" s="81"/>
      <c r="L140" s="16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</row>
    <row r="141">
      <c r="A141" s="81"/>
      <c r="B141" s="81"/>
      <c r="C141" s="104">
        <v>45487.0</v>
      </c>
      <c r="D141" s="105"/>
      <c r="E141" s="105"/>
      <c r="F141" s="105"/>
      <c r="G141" s="85"/>
      <c r="H141" s="85"/>
      <c r="I141" s="85"/>
      <c r="J141" s="85"/>
      <c r="K141" s="81"/>
      <c r="L141" s="16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</row>
    <row r="142">
      <c r="A142" s="81"/>
      <c r="B142" s="81"/>
      <c r="C142" s="104">
        <v>45488.0</v>
      </c>
      <c r="D142" s="115"/>
      <c r="E142" s="105"/>
      <c r="F142" s="105"/>
      <c r="G142" s="85"/>
      <c r="H142" s="85"/>
      <c r="I142" s="85"/>
      <c r="J142" s="85"/>
      <c r="K142" s="81"/>
      <c r="L142" s="16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</row>
    <row r="143">
      <c r="A143" s="81"/>
      <c r="B143" s="81"/>
      <c r="C143" s="104">
        <v>45489.0</v>
      </c>
      <c r="D143" s="115"/>
      <c r="E143" s="105"/>
      <c r="F143" s="115"/>
      <c r="G143" s="85"/>
      <c r="H143" s="85"/>
      <c r="I143" s="85"/>
      <c r="J143" s="85"/>
      <c r="K143" s="81"/>
      <c r="L143" s="16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</row>
    <row r="144">
      <c r="A144" s="81"/>
      <c r="B144" s="81"/>
      <c r="C144" s="116" t="s">
        <v>108</v>
      </c>
      <c r="D144" s="117" t="str">
        <f t="shared" ref="D144:F144" si="21">AVERAGE(D137:D143)</f>
        <v>#DIV/0!</v>
      </c>
      <c r="E144" s="117" t="str">
        <f t="shared" si="21"/>
        <v>#DIV/0!</v>
      </c>
      <c r="F144" s="117" t="str">
        <f t="shared" si="21"/>
        <v>#DIV/0!</v>
      </c>
      <c r="G144" s="85"/>
      <c r="H144" s="85"/>
      <c r="I144" s="85"/>
      <c r="J144" s="85"/>
      <c r="K144" s="81"/>
      <c r="L144" s="16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</row>
    <row r="145">
      <c r="A145" s="81"/>
      <c r="B145" s="81"/>
      <c r="C145" s="86"/>
      <c r="D145" s="86"/>
      <c r="E145" s="86"/>
      <c r="F145" s="86"/>
      <c r="G145" s="85"/>
      <c r="H145" s="85"/>
      <c r="I145" s="85"/>
      <c r="J145" s="85"/>
      <c r="K145" s="81"/>
      <c r="L145" s="16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</row>
    <row r="146">
      <c r="A146" s="81"/>
      <c r="B146" s="81"/>
      <c r="C146" s="100" t="s">
        <v>109</v>
      </c>
      <c r="D146" s="43"/>
      <c r="E146" s="43"/>
      <c r="F146" s="43"/>
      <c r="G146" s="23"/>
      <c r="H146" s="119"/>
      <c r="I146" s="119"/>
      <c r="J146" s="119"/>
      <c r="K146" s="81"/>
      <c r="L146" s="16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</row>
    <row r="147">
      <c r="A147" s="81"/>
      <c r="B147" s="81"/>
      <c r="C147" s="104" t="s">
        <v>93</v>
      </c>
      <c r="D147" s="104" t="s">
        <v>110</v>
      </c>
      <c r="E147" s="104" t="s">
        <v>95</v>
      </c>
      <c r="F147" s="104" t="s">
        <v>96</v>
      </c>
      <c r="G147" s="104" t="s">
        <v>97</v>
      </c>
      <c r="H147" s="119"/>
      <c r="I147" s="119"/>
      <c r="J147" s="119"/>
      <c r="K147" s="81"/>
      <c r="L147" s="16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</row>
    <row r="148">
      <c r="A148" s="81"/>
      <c r="B148" s="81"/>
      <c r="C148" s="120"/>
      <c r="D148" s="120"/>
      <c r="E148" s="120"/>
      <c r="F148" s="120"/>
      <c r="G148" s="120"/>
      <c r="H148" s="119"/>
      <c r="I148" s="119"/>
      <c r="J148" s="119"/>
      <c r="K148" s="81"/>
      <c r="L148" s="16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16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16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</row>
    <row r="151" ht="28.5" customHeight="1">
      <c r="A151" s="81"/>
      <c r="B151" s="81"/>
      <c r="C151" s="86"/>
      <c r="D151" s="124" t="s">
        <v>119</v>
      </c>
      <c r="E151" s="23"/>
      <c r="F151" s="86"/>
      <c r="G151" s="85"/>
      <c r="H151" s="85"/>
      <c r="I151" s="85"/>
      <c r="J151" s="85"/>
      <c r="K151" s="81"/>
      <c r="L151" s="16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</row>
    <row r="152">
      <c r="A152" s="81"/>
      <c r="B152" s="81"/>
      <c r="C152" s="97" t="s">
        <v>98</v>
      </c>
      <c r="D152" s="97" t="s">
        <v>99</v>
      </c>
      <c r="E152" s="97" t="s">
        <v>100</v>
      </c>
      <c r="F152" s="97" t="s">
        <v>101</v>
      </c>
      <c r="G152" s="85"/>
      <c r="H152" s="99"/>
      <c r="I152" s="100" t="s">
        <v>102</v>
      </c>
      <c r="J152" s="23"/>
      <c r="K152" s="81"/>
      <c r="L152" s="16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</row>
    <row r="153">
      <c r="A153" s="81"/>
      <c r="B153" s="81"/>
      <c r="C153" s="104">
        <v>45483.0</v>
      </c>
      <c r="D153" s="105"/>
      <c r="E153" s="105"/>
      <c r="F153" s="105"/>
      <c r="G153" s="85"/>
      <c r="H153" s="106"/>
      <c r="I153" s="104" t="s">
        <v>104</v>
      </c>
      <c r="J153" s="107">
        <v>1910.0</v>
      </c>
      <c r="K153" s="81"/>
      <c r="L153" s="16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</row>
    <row r="154">
      <c r="A154" s="81"/>
      <c r="B154" s="81"/>
      <c r="C154" s="104">
        <v>45484.0</v>
      </c>
      <c r="D154" s="105"/>
      <c r="E154" s="105"/>
      <c r="F154" s="105"/>
      <c r="G154" s="85"/>
      <c r="H154" s="106"/>
      <c r="I154" s="104" t="s">
        <v>105</v>
      </c>
      <c r="J154" s="107">
        <v>170.0</v>
      </c>
      <c r="K154" s="81"/>
      <c r="L154" s="16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</row>
    <row r="155">
      <c r="A155" s="81"/>
      <c r="B155" s="81"/>
      <c r="C155" s="104">
        <v>45485.0</v>
      </c>
      <c r="D155" s="105"/>
      <c r="E155" s="105"/>
      <c r="F155" s="105"/>
      <c r="G155" s="85"/>
      <c r="H155" s="106"/>
      <c r="I155" s="104" t="s">
        <v>106</v>
      </c>
      <c r="J155" s="107">
        <v>195.0</v>
      </c>
      <c r="K155" s="81"/>
      <c r="L155" s="16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</row>
    <row r="156">
      <c r="A156" s="81"/>
      <c r="B156" s="81"/>
      <c r="C156" s="104">
        <v>45486.0</v>
      </c>
      <c r="D156" s="105"/>
      <c r="E156" s="105"/>
      <c r="F156" s="105"/>
      <c r="G156" s="85"/>
      <c r="H156" s="106"/>
      <c r="I156" s="104" t="s">
        <v>107</v>
      </c>
      <c r="J156" s="107">
        <v>50.0</v>
      </c>
      <c r="K156" s="81"/>
      <c r="L156" s="16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</row>
    <row r="157">
      <c r="A157" s="81"/>
      <c r="B157" s="81"/>
      <c r="C157" s="104">
        <v>45487.0</v>
      </c>
      <c r="D157" s="105"/>
      <c r="E157" s="105"/>
      <c r="F157" s="105"/>
      <c r="G157" s="85"/>
      <c r="H157" s="85"/>
      <c r="I157" s="85"/>
      <c r="J157" s="85"/>
      <c r="K157" s="81"/>
      <c r="L157" s="16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</row>
    <row r="158">
      <c r="A158" s="81"/>
      <c r="B158" s="81"/>
      <c r="C158" s="104">
        <v>45488.0</v>
      </c>
      <c r="D158" s="115"/>
      <c r="E158" s="105"/>
      <c r="F158" s="105"/>
      <c r="G158" s="85"/>
      <c r="H158" s="85"/>
      <c r="I158" s="85"/>
      <c r="J158" s="85"/>
      <c r="K158" s="81"/>
      <c r="L158" s="16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</row>
    <row r="159">
      <c r="A159" s="81"/>
      <c r="B159" s="81"/>
      <c r="C159" s="104">
        <v>45489.0</v>
      </c>
      <c r="D159" s="115"/>
      <c r="E159" s="105"/>
      <c r="F159" s="115"/>
      <c r="G159" s="85"/>
      <c r="H159" s="85"/>
      <c r="I159" s="85"/>
      <c r="J159" s="85"/>
      <c r="K159" s="81"/>
      <c r="L159" s="16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</row>
    <row r="160">
      <c r="A160" s="81"/>
      <c r="B160" s="81"/>
      <c r="C160" s="116" t="s">
        <v>108</v>
      </c>
      <c r="D160" s="117" t="str">
        <f t="shared" ref="D160:F160" si="22">AVERAGE(D153:D159)</f>
        <v>#DIV/0!</v>
      </c>
      <c r="E160" s="117" t="str">
        <f t="shared" si="22"/>
        <v>#DIV/0!</v>
      </c>
      <c r="F160" s="117" t="str">
        <f t="shared" si="22"/>
        <v>#DIV/0!</v>
      </c>
      <c r="G160" s="85"/>
      <c r="H160" s="85"/>
      <c r="I160" s="85"/>
      <c r="J160" s="85"/>
      <c r="K160" s="81"/>
      <c r="L160" s="16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</row>
    <row r="161">
      <c r="A161" s="81"/>
      <c r="B161" s="81"/>
      <c r="C161" s="86"/>
      <c r="D161" s="86"/>
      <c r="E161" s="86"/>
      <c r="F161" s="86"/>
      <c r="G161" s="85"/>
      <c r="H161" s="85"/>
      <c r="I161" s="85"/>
      <c r="J161" s="85"/>
      <c r="K161" s="81"/>
      <c r="L161" s="16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</row>
    <row r="162">
      <c r="A162" s="81"/>
      <c r="B162" s="81"/>
      <c r="C162" s="100" t="s">
        <v>109</v>
      </c>
      <c r="D162" s="43"/>
      <c r="E162" s="43"/>
      <c r="F162" s="43"/>
      <c r="G162" s="23"/>
      <c r="H162" s="119"/>
      <c r="I162" s="119"/>
      <c r="J162" s="119"/>
      <c r="K162" s="81"/>
      <c r="L162" s="16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</row>
    <row r="163">
      <c r="A163" s="81"/>
      <c r="B163" s="81"/>
      <c r="C163" s="104" t="s">
        <v>93</v>
      </c>
      <c r="D163" s="104" t="s">
        <v>110</v>
      </c>
      <c r="E163" s="104" t="s">
        <v>95</v>
      </c>
      <c r="F163" s="104" t="s">
        <v>96</v>
      </c>
      <c r="G163" s="104" t="s">
        <v>97</v>
      </c>
      <c r="H163" s="119"/>
      <c r="I163" s="119"/>
      <c r="J163" s="119"/>
      <c r="K163" s="81"/>
      <c r="L163" s="16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</row>
    <row r="164">
      <c r="A164" s="81"/>
      <c r="B164" s="81"/>
      <c r="C164" s="120"/>
      <c r="D164" s="120"/>
      <c r="E164" s="120"/>
      <c r="F164" s="120"/>
      <c r="G164" s="120"/>
      <c r="H164" s="119"/>
      <c r="I164" s="119"/>
      <c r="J164" s="119"/>
      <c r="K164" s="81"/>
      <c r="L164" s="16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</row>
    <row r="165">
      <c r="A165" s="81"/>
      <c r="B165" s="81"/>
      <c r="C165" s="81"/>
      <c r="D165" s="81"/>
      <c r="E165" s="81"/>
      <c r="F165" s="81"/>
      <c r="G165" s="81"/>
      <c r="H165" s="119"/>
      <c r="I165" s="119"/>
      <c r="J165" s="119"/>
      <c r="K165" s="81"/>
      <c r="L165" s="16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</row>
    <row r="166">
      <c r="A166" s="81"/>
      <c r="B166" s="81"/>
      <c r="C166" s="81"/>
      <c r="D166" s="81"/>
      <c r="E166" s="81"/>
      <c r="F166" s="81"/>
      <c r="G166" s="81"/>
      <c r="H166" s="119"/>
      <c r="I166" s="119"/>
      <c r="J166" s="119"/>
      <c r="K166" s="81"/>
      <c r="L166" s="16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</row>
    <row r="167" ht="31.5" customHeight="1">
      <c r="A167" s="81"/>
      <c r="B167" s="81"/>
      <c r="C167" s="86"/>
      <c r="D167" s="124" t="s">
        <v>120</v>
      </c>
      <c r="E167" s="23"/>
      <c r="F167" s="86"/>
      <c r="G167" s="85"/>
      <c r="H167" s="85"/>
      <c r="I167" s="85"/>
      <c r="J167" s="85"/>
      <c r="K167" s="81"/>
      <c r="L167" s="16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</row>
    <row r="168">
      <c r="A168" s="81"/>
      <c r="B168" s="81"/>
      <c r="C168" s="97" t="s">
        <v>98</v>
      </c>
      <c r="D168" s="97" t="s">
        <v>99</v>
      </c>
      <c r="E168" s="97" t="s">
        <v>100</v>
      </c>
      <c r="F168" s="97" t="s">
        <v>101</v>
      </c>
      <c r="G168" s="85"/>
      <c r="H168" s="99"/>
      <c r="I168" s="100" t="s">
        <v>102</v>
      </c>
      <c r="J168" s="23"/>
      <c r="K168" s="81"/>
      <c r="L168" s="16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</row>
    <row r="169">
      <c r="A169" s="81"/>
      <c r="B169" s="81"/>
      <c r="C169" s="104">
        <v>45483.0</v>
      </c>
      <c r="D169" s="105"/>
      <c r="E169" s="105"/>
      <c r="F169" s="105"/>
      <c r="G169" s="85"/>
      <c r="H169" s="106"/>
      <c r="I169" s="104" t="s">
        <v>104</v>
      </c>
      <c r="J169" s="107">
        <v>1910.0</v>
      </c>
      <c r="K169" s="81"/>
      <c r="L169" s="16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</row>
    <row r="170">
      <c r="A170" s="81"/>
      <c r="B170" s="81"/>
      <c r="C170" s="104">
        <v>45484.0</v>
      </c>
      <c r="D170" s="105"/>
      <c r="E170" s="105"/>
      <c r="F170" s="105"/>
      <c r="G170" s="85"/>
      <c r="H170" s="106"/>
      <c r="I170" s="104" t="s">
        <v>105</v>
      </c>
      <c r="J170" s="107">
        <v>170.0</v>
      </c>
      <c r="K170" s="81"/>
      <c r="L170" s="16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</row>
    <row r="171">
      <c r="A171" s="81"/>
      <c r="B171" s="81"/>
      <c r="C171" s="104">
        <v>45485.0</v>
      </c>
      <c r="D171" s="105"/>
      <c r="E171" s="105"/>
      <c r="F171" s="105"/>
      <c r="G171" s="85"/>
      <c r="H171" s="106"/>
      <c r="I171" s="104" t="s">
        <v>106</v>
      </c>
      <c r="J171" s="107">
        <v>195.0</v>
      </c>
      <c r="K171" s="81"/>
      <c r="L171" s="16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</row>
    <row r="172">
      <c r="A172" s="81"/>
      <c r="B172" s="81"/>
      <c r="C172" s="104">
        <v>45486.0</v>
      </c>
      <c r="D172" s="105"/>
      <c r="E172" s="105"/>
      <c r="F172" s="105"/>
      <c r="G172" s="85"/>
      <c r="H172" s="106"/>
      <c r="I172" s="104" t="s">
        <v>107</v>
      </c>
      <c r="J172" s="107">
        <v>50.0</v>
      </c>
      <c r="K172" s="81"/>
      <c r="L172" s="16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</row>
    <row r="173">
      <c r="A173" s="81"/>
      <c r="B173" s="81"/>
      <c r="C173" s="104">
        <v>45487.0</v>
      </c>
      <c r="D173" s="105"/>
      <c r="E173" s="105"/>
      <c r="F173" s="105"/>
      <c r="G173" s="85"/>
      <c r="H173" s="85"/>
      <c r="I173" s="85"/>
      <c r="J173" s="85"/>
      <c r="K173" s="81"/>
      <c r="L173" s="16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</row>
    <row r="174">
      <c r="A174" s="81"/>
      <c r="B174" s="81"/>
      <c r="C174" s="104">
        <v>45488.0</v>
      </c>
      <c r="D174" s="115"/>
      <c r="E174" s="105"/>
      <c r="F174" s="105"/>
      <c r="G174" s="85"/>
      <c r="H174" s="85"/>
      <c r="I174" s="85"/>
      <c r="J174" s="85"/>
      <c r="K174" s="81"/>
      <c r="L174" s="16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</row>
    <row r="175">
      <c r="A175" s="81"/>
      <c r="B175" s="81"/>
      <c r="C175" s="104">
        <v>45489.0</v>
      </c>
      <c r="D175" s="115"/>
      <c r="E175" s="105"/>
      <c r="F175" s="115"/>
      <c r="G175" s="85"/>
      <c r="H175" s="85"/>
      <c r="I175" s="85"/>
      <c r="J175" s="85"/>
      <c r="K175" s="81"/>
      <c r="L175" s="16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</row>
    <row r="176">
      <c r="A176" s="81"/>
      <c r="B176" s="81"/>
      <c r="C176" s="116" t="s">
        <v>108</v>
      </c>
      <c r="D176" s="117" t="str">
        <f t="shared" ref="D176:F176" si="23">AVERAGE(D169:D175)</f>
        <v>#DIV/0!</v>
      </c>
      <c r="E176" s="117" t="str">
        <f t="shared" si="23"/>
        <v>#DIV/0!</v>
      </c>
      <c r="F176" s="117" t="str">
        <f t="shared" si="23"/>
        <v>#DIV/0!</v>
      </c>
      <c r="G176" s="85"/>
      <c r="H176" s="85"/>
      <c r="I176" s="85"/>
      <c r="J176" s="85"/>
      <c r="K176" s="81"/>
      <c r="L176" s="16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</row>
    <row r="177">
      <c r="A177" s="81"/>
      <c r="B177" s="81"/>
      <c r="C177" s="86"/>
      <c r="D177" s="86"/>
      <c r="E177" s="86"/>
      <c r="F177" s="86"/>
      <c r="G177" s="85"/>
      <c r="H177" s="85"/>
      <c r="I177" s="85"/>
      <c r="J177" s="85"/>
      <c r="K177" s="81"/>
      <c r="L177" s="16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</row>
    <row r="178">
      <c r="A178" s="81"/>
      <c r="B178" s="81"/>
      <c r="C178" s="100" t="s">
        <v>109</v>
      </c>
      <c r="D178" s="43"/>
      <c r="E178" s="43"/>
      <c r="F178" s="43"/>
      <c r="G178" s="23"/>
      <c r="H178" s="119"/>
      <c r="I178" s="119"/>
      <c r="J178" s="119"/>
      <c r="K178" s="81"/>
      <c r="L178" s="16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</row>
    <row r="179">
      <c r="A179" s="81"/>
      <c r="B179" s="81"/>
      <c r="C179" s="104" t="s">
        <v>93</v>
      </c>
      <c r="D179" s="104" t="s">
        <v>110</v>
      </c>
      <c r="E179" s="104" t="s">
        <v>95</v>
      </c>
      <c r="F179" s="104" t="s">
        <v>96</v>
      </c>
      <c r="G179" s="104" t="s">
        <v>97</v>
      </c>
      <c r="H179" s="119"/>
      <c r="I179" s="119"/>
      <c r="J179" s="119"/>
      <c r="K179" s="81"/>
      <c r="L179" s="16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</row>
    <row r="180">
      <c r="A180" s="81"/>
      <c r="B180" s="81"/>
      <c r="C180" s="120"/>
      <c r="D180" s="120"/>
      <c r="E180" s="120"/>
      <c r="F180" s="120"/>
      <c r="G180" s="120"/>
      <c r="H180" s="119"/>
      <c r="I180" s="119"/>
      <c r="J180" s="119"/>
      <c r="K180" s="81"/>
      <c r="L180" s="16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</row>
    <row r="181">
      <c r="A181" s="81"/>
      <c r="B181" s="81"/>
      <c r="C181" s="81"/>
      <c r="D181" s="81"/>
      <c r="E181" s="81"/>
      <c r="F181" s="81"/>
      <c r="G181" s="81"/>
      <c r="H181" s="119"/>
      <c r="I181" s="119"/>
      <c r="J181" s="119"/>
      <c r="K181" s="81"/>
      <c r="L181" s="16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</row>
    <row r="182">
      <c r="A182" s="81"/>
      <c r="B182" s="81"/>
      <c r="C182" s="81"/>
      <c r="D182" s="81"/>
      <c r="E182" s="81"/>
      <c r="F182" s="81"/>
      <c r="G182" s="81"/>
      <c r="H182" s="119"/>
      <c r="I182" s="119"/>
      <c r="J182" s="119"/>
      <c r="K182" s="81"/>
      <c r="L182" s="16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</row>
    <row r="183" ht="30.0" customHeight="1">
      <c r="A183" s="81"/>
      <c r="B183" s="81"/>
      <c r="C183" s="86"/>
      <c r="D183" s="124" t="s">
        <v>121</v>
      </c>
      <c r="E183" s="23"/>
      <c r="F183" s="86"/>
      <c r="G183" s="85"/>
      <c r="H183" s="85"/>
      <c r="I183" s="85"/>
      <c r="J183" s="85"/>
      <c r="K183" s="81"/>
      <c r="L183" s="16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</row>
    <row r="184">
      <c r="A184" s="81"/>
      <c r="B184" s="81"/>
      <c r="C184" s="97" t="s">
        <v>98</v>
      </c>
      <c r="D184" s="97" t="s">
        <v>99</v>
      </c>
      <c r="E184" s="97" t="s">
        <v>100</v>
      </c>
      <c r="F184" s="97" t="s">
        <v>101</v>
      </c>
      <c r="G184" s="85"/>
      <c r="H184" s="99"/>
      <c r="I184" s="100" t="s">
        <v>102</v>
      </c>
      <c r="J184" s="23"/>
      <c r="K184" s="81"/>
      <c r="L184" s="16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</row>
    <row r="185">
      <c r="A185" s="81"/>
      <c r="B185" s="81"/>
      <c r="C185" s="104">
        <v>45483.0</v>
      </c>
      <c r="D185" s="105"/>
      <c r="E185" s="105"/>
      <c r="F185" s="105"/>
      <c r="G185" s="85"/>
      <c r="H185" s="106"/>
      <c r="I185" s="104" t="s">
        <v>104</v>
      </c>
      <c r="J185" s="107">
        <v>1910.0</v>
      </c>
      <c r="K185" s="81"/>
      <c r="L185" s="16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</row>
    <row r="186">
      <c r="A186" s="81"/>
      <c r="B186" s="81"/>
      <c r="C186" s="104">
        <v>45484.0</v>
      </c>
      <c r="D186" s="105"/>
      <c r="E186" s="105"/>
      <c r="F186" s="105"/>
      <c r="G186" s="85"/>
      <c r="H186" s="106"/>
      <c r="I186" s="104" t="s">
        <v>105</v>
      </c>
      <c r="J186" s="107">
        <v>170.0</v>
      </c>
      <c r="K186" s="81"/>
      <c r="L186" s="16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</row>
    <row r="187">
      <c r="A187" s="81"/>
      <c r="B187" s="81"/>
      <c r="C187" s="104">
        <v>45485.0</v>
      </c>
      <c r="D187" s="105"/>
      <c r="E187" s="105"/>
      <c r="F187" s="105"/>
      <c r="G187" s="85"/>
      <c r="H187" s="106"/>
      <c r="I187" s="104" t="s">
        <v>106</v>
      </c>
      <c r="J187" s="107">
        <v>195.0</v>
      </c>
      <c r="K187" s="81"/>
      <c r="L187" s="16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</row>
    <row r="188">
      <c r="A188" s="81"/>
      <c r="B188" s="81"/>
      <c r="C188" s="104">
        <v>45486.0</v>
      </c>
      <c r="D188" s="105"/>
      <c r="E188" s="105"/>
      <c r="F188" s="105"/>
      <c r="G188" s="85"/>
      <c r="H188" s="106"/>
      <c r="I188" s="104" t="s">
        <v>107</v>
      </c>
      <c r="J188" s="107">
        <v>50.0</v>
      </c>
      <c r="K188" s="81"/>
      <c r="L188" s="16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</row>
    <row r="189">
      <c r="A189" s="81"/>
      <c r="B189" s="81"/>
      <c r="C189" s="104">
        <v>45487.0</v>
      </c>
      <c r="D189" s="105"/>
      <c r="E189" s="105"/>
      <c r="F189" s="105"/>
      <c r="G189" s="85"/>
      <c r="H189" s="85"/>
      <c r="I189" s="85"/>
      <c r="J189" s="85"/>
      <c r="K189" s="81"/>
      <c r="L189" s="16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</row>
    <row r="190">
      <c r="A190" s="81"/>
      <c r="B190" s="81"/>
      <c r="C190" s="104">
        <v>45488.0</v>
      </c>
      <c r="D190" s="115"/>
      <c r="E190" s="105"/>
      <c r="F190" s="105"/>
      <c r="G190" s="85"/>
      <c r="H190" s="85"/>
      <c r="I190" s="85"/>
      <c r="J190" s="85"/>
      <c r="K190" s="81"/>
      <c r="L190" s="16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</row>
    <row r="191">
      <c r="A191" s="81"/>
      <c r="B191" s="81"/>
      <c r="C191" s="104">
        <v>45489.0</v>
      </c>
      <c r="D191" s="115"/>
      <c r="E191" s="105"/>
      <c r="F191" s="115"/>
      <c r="G191" s="85"/>
      <c r="H191" s="85"/>
      <c r="I191" s="85"/>
      <c r="J191" s="85"/>
      <c r="K191" s="81"/>
      <c r="L191" s="16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</row>
    <row r="192">
      <c r="A192" s="81"/>
      <c r="B192" s="81"/>
      <c r="C192" s="116" t="s">
        <v>108</v>
      </c>
      <c r="D192" s="117" t="str">
        <f t="shared" ref="D192:F192" si="24">AVERAGE(D185:D191)</f>
        <v>#DIV/0!</v>
      </c>
      <c r="E192" s="117" t="str">
        <f t="shared" si="24"/>
        <v>#DIV/0!</v>
      </c>
      <c r="F192" s="117" t="str">
        <f t="shared" si="24"/>
        <v>#DIV/0!</v>
      </c>
      <c r="G192" s="85"/>
      <c r="H192" s="85"/>
      <c r="I192" s="85"/>
      <c r="J192" s="85"/>
      <c r="K192" s="81"/>
      <c r="L192" s="16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</row>
    <row r="193">
      <c r="A193" s="81"/>
      <c r="B193" s="81"/>
      <c r="C193" s="86"/>
      <c r="D193" s="86"/>
      <c r="E193" s="86"/>
      <c r="F193" s="86"/>
      <c r="G193" s="85"/>
      <c r="H193" s="85"/>
      <c r="I193" s="85"/>
      <c r="J193" s="85"/>
      <c r="K193" s="81"/>
      <c r="L193" s="16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</row>
    <row r="194">
      <c r="A194" s="81"/>
      <c r="B194" s="81"/>
      <c r="C194" s="100" t="s">
        <v>109</v>
      </c>
      <c r="D194" s="43"/>
      <c r="E194" s="43"/>
      <c r="F194" s="43"/>
      <c r="G194" s="23"/>
      <c r="H194" s="119"/>
      <c r="I194" s="119"/>
      <c r="J194" s="119"/>
      <c r="K194" s="81"/>
      <c r="L194" s="16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</row>
    <row r="195">
      <c r="A195" s="81"/>
      <c r="B195" s="81"/>
      <c r="C195" s="104" t="s">
        <v>93</v>
      </c>
      <c r="D195" s="104" t="s">
        <v>110</v>
      </c>
      <c r="E195" s="104" t="s">
        <v>95</v>
      </c>
      <c r="F195" s="104" t="s">
        <v>96</v>
      </c>
      <c r="G195" s="104" t="s">
        <v>97</v>
      </c>
      <c r="H195" s="119"/>
      <c r="I195" s="119"/>
      <c r="J195" s="119"/>
      <c r="K195" s="81"/>
      <c r="L195" s="16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</row>
    <row r="196">
      <c r="A196" s="81"/>
      <c r="B196" s="81"/>
      <c r="C196" s="120"/>
      <c r="D196" s="120"/>
      <c r="E196" s="120"/>
      <c r="F196" s="120"/>
      <c r="G196" s="120"/>
      <c r="H196" s="119"/>
      <c r="I196" s="119"/>
      <c r="J196" s="119"/>
      <c r="K196" s="81"/>
      <c r="L196" s="16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</row>
    <row r="197">
      <c r="A197" s="81"/>
      <c r="B197" s="81"/>
      <c r="C197" s="81"/>
      <c r="D197" s="81"/>
      <c r="E197" s="81"/>
      <c r="F197" s="81"/>
      <c r="G197" s="81"/>
      <c r="H197" s="119"/>
      <c r="I197" s="119"/>
      <c r="J197" s="119"/>
      <c r="K197" s="81"/>
      <c r="L197" s="16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</row>
    <row r="198">
      <c r="A198" s="81"/>
      <c r="B198" s="81"/>
      <c r="C198" s="81"/>
      <c r="D198" s="81"/>
      <c r="E198" s="81"/>
      <c r="F198" s="81"/>
      <c r="G198" s="81"/>
      <c r="H198" s="119"/>
      <c r="I198" s="119"/>
      <c r="J198" s="119"/>
      <c r="K198" s="81"/>
      <c r="L198" s="16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</row>
    <row r="199" ht="25.5" customHeight="1">
      <c r="A199" s="81"/>
      <c r="B199" s="81"/>
      <c r="C199" s="86"/>
      <c r="D199" s="124" t="s">
        <v>122</v>
      </c>
      <c r="E199" s="23"/>
      <c r="F199" s="86"/>
      <c r="G199" s="85"/>
      <c r="H199" s="85"/>
      <c r="I199" s="85"/>
      <c r="J199" s="85"/>
      <c r="K199" s="81"/>
      <c r="L199" s="16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</row>
    <row r="200">
      <c r="A200" s="81"/>
      <c r="B200" s="81"/>
      <c r="C200" s="97" t="s">
        <v>98</v>
      </c>
      <c r="D200" s="97" t="s">
        <v>99</v>
      </c>
      <c r="E200" s="97" t="s">
        <v>100</v>
      </c>
      <c r="F200" s="97" t="s">
        <v>101</v>
      </c>
      <c r="G200" s="85"/>
      <c r="H200" s="99"/>
      <c r="I200" s="100" t="s">
        <v>102</v>
      </c>
      <c r="J200" s="23"/>
      <c r="K200" s="81"/>
      <c r="L200" s="16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</row>
    <row r="201">
      <c r="A201" s="81"/>
      <c r="B201" s="81"/>
      <c r="C201" s="104">
        <v>45483.0</v>
      </c>
      <c r="D201" s="105"/>
      <c r="E201" s="105"/>
      <c r="F201" s="105"/>
      <c r="G201" s="85"/>
      <c r="H201" s="106"/>
      <c r="I201" s="104" t="s">
        <v>104</v>
      </c>
      <c r="J201" s="107">
        <v>1910.0</v>
      </c>
      <c r="K201" s="81"/>
      <c r="L201" s="16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</row>
    <row r="202">
      <c r="A202" s="81"/>
      <c r="B202" s="81"/>
      <c r="C202" s="104">
        <v>45484.0</v>
      </c>
      <c r="D202" s="105"/>
      <c r="E202" s="105"/>
      <c r="F202" s="105"/>
      <c r="G202" s="85"/>
      <c r="H202" s="106"/>
      <c r="I202" s="104" t="s">
        <v>105</v>
      </c>
      <c r="J202" s="107">
        <v>170.0</v>
      </c>
      <c r="K202" s="81"/>
      <c r="L202" s="16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</row>
    <row r="203">
      <c r="A203" s="81"/>
      <c r="B203" s="81"/>
      <c r="C203" s="104">
        <v>45485.0</v>
      </c>
      <c r="D203" s="105"/>
      <c r="E203" s="105"/>
      <c r="F203" s="105"/>
      <c r="G203" s="85"/>
      <c r="H203" s="106"/>
      <c r="I203" s="104" t="s">
        <v>106</v>
      </c>
      <c r="J203" s="107">
        <v>195.0</v>
      </c>
      <c r="K203" s="81"/>
      <c r="L203" s="16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</row>
    <row r="204">
      <c r="A204" s="81"/>
      <c r="B204" s="81"/>
      <c r="C204" s="104">
        <v>45486.0</v>
      </c>
      <c r="D204" s="105"/>
      <c r="E204" s="105"/>
      <c r="F204" s="105"/>
      <c r="G204" s="85"/>
      <c r="H204" s="106"/>
      <c r="I204" s="104" t="s">
        <v>107</v>
      </c>
      <c r="J204" s="107">
        <v>50.0</v>
      </c>
      <c r="K204" s="81"/>
      <c r="L204" s="16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</row>
    <row r="205">
      <c r="A205" s="81"/>
      <c r="B205" s="81"/>
      <c r="C205" s="104">
        <v>45487.0</v>
      </c>
      <c r="D205" s="105"/>
      <c r="E205" s="105"/>
      <c r="F205" s="105"/>
      <c r="G205" s="85"/>
      <c r="H205" s="85"/>
      <c r="I205" s="85"/>
      <c r="J205" s="85"/>
      <c r="K205" s="81"/>
      <c r="L205" s="16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</row>
    <row r="206">
      <c r="A206" s="81"/>
      <c r="B206" s="81"/>
      <c r="C206" s="104">
        <v>45488.0</v>
      </c>
      <c r="D206" s="115"/>
      <c r="E206" s="105"/>
      <c r="F206" s="105"/>
      <c r="G206" s="85"/>
      <c r="H206" s="85"/>
      <c r="I206" s="85"/>
      <c r="J206" s="85"/>
      <c r="K206" s="81"/>
      <c r="L206" s="16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</row>
    <row r="207">
      <c r="A207" s="81"/>
      <c r="B207" s="81"/>
      <c r="C207" s="104">
        <v>45489.0</v>
      </c>
      <c r="D207" s="115"/>
      <c r="E207" s="105"/>
      <c r="F207" s="115"/>
      <c r="G207" s="85"/>
      <c r="H207" s="85"/>
      <c r="I207" s="85"/>
      <c r="J207" s="85"/>
      <c r="K207" s="81"/>
      <c r="L207" s="16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</row>
    <row r="208">
      <c r="A208" s="81"/>
      <c r="B208" s="81"/>
      <c r="C208" s="116" t="s">
        <v>108</v>
      </c>
      <c r="D208" s="117" t="str">
        <f t="shared" ref="D208:F208" si="25">AVERAGE(D201:D207)</f>
        <v>#DIV/0!</v>
      </c>
      <c r="E208" s="117" t="str">
        <f t="shared" si="25"/>
        <v>#DIV/0!</v>
      </c>
      <c r="F208" s="117" t="str">
        <f t="shared" si="25"/>
        <v>#DIV/0!</v>
      </c>
      <c r="G208" s="85"/>
      <c r="H208" s="85"/>
      <c r="I208" s="85"/>
      <c r="J208" s="85"/>
      <c r="K208" s="81"/>
      <c r="L208" s="16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</row>
    <row r="209">
      <c r="A209" s="81"/>
      <c r="B209" s="81"/>
      <c r="C209" s="86"/>
      <c r="D209" s="86"/>
      <c r="E209" s="86"/>
      <c r="F209" s="86"/>
      <c r="G209" s="85"/>
      <c r="H209" s="85"/>
      <c r="I209" s="85"/>
      <c r="J209" s="85"/>
      <c r="K209" s="81"/>
      <c r="L209" s="16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</row>
    <row r="210">
      <c r="A210" s="81"/>
      <c r="B210" s="81"/>
      <c r="C210" s="100" t="s">
        <v>109</v>
      </c>
      <c r="D210" s="43"/>
      <c r="E210" s="43"/>
      <c r="F210" s="43"/>
      <c r="G210" s="23"/>
      <c r="H210" s="119"/>
      <c r="I210" s="119"/>
      <c r="J210" s="119"/>
      <c r="K210" s="81"/>
      <c r="L210" s="16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</row>
    <row r="211">
      <c r="A211" s="81"/>
      <c r="B211" s="81"/>
      <c r="C211" s="104" t="s">
        <v>93</v>
      </c>
      <c r="D211" s="104" t="s">
        <v>110</v>
      </c>
      <c r="E211" s="104" t="s">
        <v>95</v>
      </c>
      <c r="F211" s="104" t="s">
        <v>96</v>
      </c>
      <c r="G211" s="104" t="s">
        <v>97</v>
      </c>
      <c r="H211" s="119"/>
      <c r="I211" s="119"/>
      <c r="J211" s="119"/>
      <c r="K211" s="81"/>
      <c r="L211" s="16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</row>
    <row r="212">
      <c r="A212" s="81"/>
      <c r="B212" s="81"/>
      <c r="C212" s="120"/>
      <c r="D212" s="120"/>
      <c r="E212" s="120"/>
      <c r="F212" s="120"/>
      <c r="G212" s="120"/>
      <c r="H212" s="119"/>
      <c r="I212" s="119"/>
      <c r="J212" s="119"/>
      <c r="K212" s="81"/>
      <c r="L212" s="16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16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16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16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16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16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16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16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16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16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16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16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16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16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16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16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16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16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16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16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16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16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16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16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16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16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16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16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16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16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16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16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16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16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16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16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16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16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16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16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16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16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16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16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16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16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16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16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16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16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16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16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16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16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16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16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16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16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16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16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16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16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16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16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16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16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16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16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16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16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16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16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16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16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16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16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16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16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16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16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16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16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16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16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16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16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16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16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16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16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16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16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16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16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16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16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16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16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16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16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16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16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16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16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16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16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16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16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16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16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16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16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16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16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16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16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16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16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16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16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16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16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16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16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16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16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16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16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16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16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16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16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16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16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16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16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16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16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16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16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16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16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16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16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16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16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16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16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16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16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16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16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16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16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16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16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16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16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16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16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16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16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16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16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16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16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16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16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16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16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16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16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16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16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16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16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16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16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16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16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16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16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16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16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16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16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16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16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16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16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16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16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16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16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16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16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16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16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16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16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16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16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16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16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16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16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16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16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16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16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16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16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16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16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16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16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16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16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16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16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16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16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16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16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16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16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16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16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16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16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16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16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16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16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16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16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16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16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16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16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16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16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16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16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16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16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16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16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16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16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16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16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16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16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16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16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16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16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16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16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16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16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16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16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16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16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16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16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16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16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16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16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16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16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16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16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16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16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16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16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16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16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16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16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16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16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16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16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16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16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16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16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16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16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16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16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16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16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16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16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16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16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16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16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16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16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16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16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16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16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16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16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16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16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16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16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16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16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16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16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16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16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16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16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16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16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16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16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16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16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16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16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16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16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16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16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16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16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16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16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16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16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16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16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16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16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16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16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16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16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16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16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16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16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16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16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16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16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16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16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16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16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16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16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16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16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16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16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16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16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16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16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16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16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16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16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16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16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16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16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16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16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16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16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16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16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16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16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16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16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16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16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16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16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16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16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16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16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16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16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16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16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16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16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16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16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16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16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16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16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16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16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16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16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16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16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16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16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16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16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16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16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16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16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16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16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16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16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16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16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16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16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16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16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16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16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16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16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16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16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16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16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16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16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16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16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16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16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16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16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16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16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16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16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16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16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16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16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16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16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16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16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16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16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16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16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16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16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16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16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16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16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16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16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16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16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16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16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16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16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16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16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16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16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16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16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16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16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16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16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16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16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16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16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16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16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16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16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16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16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16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16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16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16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16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16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16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16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16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16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16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16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16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16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16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16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16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16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16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16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16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16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16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16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16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16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16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16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16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16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16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16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16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16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16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16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16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16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16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16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16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16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16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16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16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16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16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16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16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16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16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16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16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16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16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16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16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16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16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16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16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16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16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16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16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16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16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16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16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16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16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16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16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16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16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16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16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16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16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16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16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16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16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16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16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16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16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16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16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16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16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16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16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16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16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16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16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16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16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16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16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16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16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16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16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16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16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16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16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16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16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16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16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16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16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16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16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16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16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16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16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16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16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16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16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16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16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16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16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16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16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16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16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16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16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16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16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16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16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16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16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16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16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16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16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16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16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16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16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16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16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16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16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16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16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16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16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16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16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16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16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16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16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16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16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16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16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16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16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16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16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16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16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16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16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16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16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16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16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16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16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16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16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16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16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16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16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16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16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16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16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16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16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16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16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16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16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16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16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16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16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16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16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16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16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16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16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16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16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16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16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16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16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16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16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16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16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16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16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16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16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16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16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16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16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</row>
    <row r="937">
      <c r="A937" s="81"/>
      <c r="B937" s="81"/>
      <c r="C937" s="126"/>
      <c r="D937" s="126"/>
      <c r="E937" s="126"/>
      <c r="F937" s="126"/>
      <c r="G937" s="126"/>
      <c r="H937" s="126"/>
      <c r="I937" s="126"/>
      <c r="J937" s="126"/>
      <c r="K937" s="126"/>
      <c r="L937" s="1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6"/>
      <c r="AE937" s="126"/>
      <c r="AF937" s="126"/>
      <c r="AG937" s="126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123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123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7" t="s">
        <v>123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7" t="s">
        <v>123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128" t="s">
        <v>6</v>
      </c>
      <c r="AB11" s="128" t="s">
        <v>7</v>
      </c>
      <c r="AC11" s="128" t="s">
        <v>8</v>
      </c>
      <c r="AD11" s="128" t="s">
        <v>9</v>
      </c>
      <c r="AE11" s="128" t="s">
        <v>10</v>
      </c>
      <c r="AF11" s="129" t="s">
        <v>11</v>
      </c>
      <c r="AG11" s="130" t="s">
        <v>12</v>
      </c>
      <c r="AH11" s="23"/>
      <c r="AI11" s="130" t="s">
        <v>13</v>
      </c>
      <c r="AJ11" s="23"/>
      <c r="AK11" s="2"/>
      <c r="AL11" s="19" t="s">
        <v>5</v>
      </c>
      <c r="AM11" s="128" t="s">
        <v>6</v>
      </c>
      <c r="AN11" s="128" t="s">
        <v>7</v>
      </c>
      <c r="AO11" s="128" t="s">
        <v>8</v>
      </c>
      <c r="AP11" s="128" t="s">
        <v>9</v>
      </c>
      <c r="AQ11" s="128" t="s">
        <v>10</v>
      </c>
      <c r="AR11" s="129" t="s">
        <v>11</v>
      </c>
      <c r="AS11" s="130" t="s">
        <v>12</v>
      </c>
      <c r="AT11" s="23"/>
      <c r="AU11" s="130" t="s">
        <v>13</v>
      </c>
      <c r="AV11" s="23"/>
    </row>
    <row r="12" ht="20.25" customHeight="1">
      <c r="A12" s="1"/>
      <c r="B12" s="1"/>
      <c r="C12" s="131" t="s">
        <v>14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131" t="s">
        <v>14</v>
      </c>
      <c r="P12" s="27">
        <v>3.0</v>
      </c>
      <c r="Q12" s="28">
        <v>8.0</v>
      </c>
      <c r="R12" s="28">
        <v>8.0</v>
      </c>
      <c r="S12" s="40"/>
      <c r="T12" s="30"/>
      <c r="U12" s="31"/>
      <c r="V12" s="23"/>
      <c r="W12" s="31"/>
      <c r="X12" s="23"/>
      <c r="Y12" s="1"/>
      <c r="Z12" s="11"/>
      <c r="AA12" s="132" t="s">
        <v>14</v>
      </c>
      <c r="AB12" s="38">
        <v>3.0</v>
      </c>
      <c r="AC12" s="133">
        <v>8.0</v>
      </c>
      <c r="AD12" s="133">
        <v>8.0</v>
      </c>
      <c r="AE12" s="134"/>
      <c r="AF12" s="134"/>
      <c r="AG12" s="135"/>
      <c r="AH12" s="23"/>
      <c r="AI12" s="135"/>
      <c r="AJ12" s="23"/>
      <c r="AK12" s="33"/>
      <c r="AL12" s="11"/>
      <c r="AM12" s="132" t="s">
        <v>14</v>
      </c>
      <c r="AN12" s="38">
        <v>3.0</v>
      </c>
      <c r="AO12" s="133">
        <v>8.0</v>
      </c>
      <c r="AP12" s="133">
        <v>8.0</v>
      </c>
      <c r="AQ12" s="134"/>
      <c r="AR12" s="134"/>
      <c r="AS12" s="135"/>
      <c r="AT12" s="23"/>
      <c r="AU12" s="135"/>
      <c r="AV12" s="23"/>
    </row>
    <row r="13" ht="20.25" customHeight="1">
      <c r="A13" s="4"/>
      <c r="B13" s="1"/>
      <c r="C13" s="132" t="s">
        <v>124</v>
      </c>
      <c r="D13" s="27">
        <v>3.0</v>
      </c>
      <c r="E13" s="28" t="s">
        <v>17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132" t="s">
        <v>124</v>
      </c>
      <c r="P13" s="27">
        <v>3.0</v>
      </c>
      <c r="Q13" s="28" t="s">
        <v>17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132" t="s">
        <v>124</v>
      </c>
      <c r="AB13" s="38">
        <v>3.0</v>
      </c>
      <c r="AC13" s="133" t="s">
        <v>17</v>
      </c>
      <c r="AD13" s="133">
        <v>8.0</v>
      </c>
      <c r="AE13" s="134"/>
      <c r="AF13" s="134"/>
      <c r="AG13" s="135"/>
      <c r="AH13" s="23"/>
      <c r="AI13" s="135"/>
      <c r="AJ13" s="23"/>
      <c r="AK13" s="33"/>
      <c r="AL13" s="11"/>
      <c r="AM13" s="132" t="s">
        <v>124</v>
      </c>
      <c r="AN13" s="38">
        <v>3.0</v>
      </c>
      <c r="AO13" s="133" t="s">
        <v>17</v>
      </c>
      <c r="AP13" s="133">
        <v>8.0</v>
      </c>
      <c r="AQ13" s="134"/>
      <c r="AR13" s="134"/>
      <c r="AS13" s="135"/>
      <c r="AT13" s="23"/>
      <c r="AU13" s="135"/>
      <c r="AV13" s="23"/>
    </row>
    <row r="14" ht="20.25" customHeight="1">
      <c r="A14" s="4"/>
      <c r="B14" s="1"/>
      <c r="C14" s="132" t="s">
        <v>18</v>
      </c>
      <c r="D14" s="27">
        <v>3.0</v>
      </c>
      <c r="E14" s="28" t="s">
        <v>17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132" t="s">
        <v>18</v>
      </c>
      <c r="P14" s="27">
        <v>3.0</v>
      </c>
      <c r="Q14" s="28" t="s">
        <v>17</v>
      </c>
      <c r="R14" s="28">
        <v>8.0</v>
      </c>
      <c r="S14" s="30"/>
      <c r="T14" s="30"/>
      <c r="U14" s="31"/>
      <c r="V14" s="23"/>
      <c r="W14" s="31"/>
      <c r="X14" s="23"/>
      <c r="Y14" s="24"/>
      <c r="Z14" s="136"/>
      <c r="AA14" s="132" t="s">
        <v>18</v>
      </c>
      <c r="AB14" s="38">
        <v>3.0</v>
      </c>
      <c r="AC14" s="133" t="s">
        <v>17</v>
      </c>
      <c r="AD14" s="133">
        <v>8.0</v>
      </c>
      <c r="AE14" s="134"/>
      <c r="AF14" s="134"/>
      <c r="AG14" s="135"/>
      <c r="AH14" s="23"/>
      <c r="AI14" s="135"/>
      <c r="AJ14" s="23"/>
      <c r="AK14" s="33"/>
      <c r="AL14" s="136"/>
      <c r="AM14" s="132" t="s">
        <v>18</v>
      </c>
      <c r="AN14" s="38">
        <v>3.0</v>
      </c>
      <c r="AO14" s="133" t="s">
        <v>17</v>
      </c>
      <c r="AP14" s="133">
        <v>8.0</v>
      </c>
      <c r="AQ14" s="134"/>
      <c r="AR14" s="134"/>
      <c r="AS14" s="135"/>
      <c r="AT14" s="23"/>
      <c r="AU14" s="135"/>
      <c r="AV14" s="23"/>
    </row>
    <row r="15" ht="20.25" customHeight="1">
      <c r="A15" s="1"/>
      <c r="B15" s="1"/>
      <c r="C15" s="132" t="s">
        <v>125</v>
      </c>
      <c r="D15" s="27">
        <v>3.0</v>
      </c>
      <c r="E15" s="27" t="s">
        <v>17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132" t="s">
        <v>125</v>
      </c>
      <c r="P15" s="27">
        <v>3.0</v>
      </c>
      <c r="Q15" s="27" t="s">
        <v>17</v>
      </c>
      <c r="R15" s="28">
        <v>8.0</v>
      </c>
      <c r="S15" s="30"/>
      <c r="T15" s="30"/>
      <c r="U15" s="31"/>
      <c r="V15" s="23"/>
      <c r="W15" s="31"/>
      <c r="X15" s="23"/>
      <c r="Y15" s="24"/>
      <c r="Z15" s="136"/>
      <c r="AA15" s="132" t="s">
        <v>125</v>
      </c>
      <c r="AB15" s="38">
        <v>3.0</v>
      </c>
      <c r="AC15" s="38" t="s">
        <v>17</v>
      </c>
      <c r="AD15" s="133">
        <v>8.0</v>
      </c>
      <c r="AE15" s="134"/>
      <c r="AF15" s="134"/>
      <c r="AG15" s="135"/>
      <c r="AH15" s="23"/>
      <c r="AI15" s="135"/>
      <c r="AJ15" s="23"/>
      <c r="AK15" s="33"/>
      <c r="AL15" s="136"/>
      <c r="AM15" s="132" t="s">
        <v>125</v>
      </c>
      <c r="AN15" s="38">
        <v>3.0</v>
      </c>
      <c r="AO15" s="38" t="s">
        <v>17</v>
      </c>
      <c r="AP15" s="133">
        <v>8.0</v>
      </c>
      <c r="AQ15" s="134"/>
      <c r="AR15" s="134"/>
      <c r="AS15" s="135"/>
      <c r="AT15" s="23"/>
      <c r="AU15" s="135"/>
      <c r="AV15" s="23"/>
    </row>
    <row r="16">
      <c r="A16" s="1"/>
      <c r="B16" s="1"/>
      <c r="C16" s="132" t="s">
        <v>20</v>
      </c>
      <c r="D16" s="27">
        <v>3.0</v>
      </c>
      <c r="E16" s="27" t="s">
        <v>17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132" t="s">
        <v>20</v>
      </c>
      <c r="P16" s="27">
        <v>3.0</v>
      </c>
      <c r="Q16" s="27" t="s">
        <v>17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132" t="s">
        <v>20</v>
      </c>
      <c r="AB16" s="38">
        <v>3.0</v>
      </c>
      <c r="AC16" s="38" t="s">
        <v>17</v>
      </c>
      <c r="AD16" s="133">
        <v>8.0</v>
      </c>
      <c r="AE16" s="134"/>
      <c r="AF16" s="134"/>
      <c r="AG16" s="135"/>
      <c r="AH16" s="23"/>
      <c r="AI16" s="135"/>
      <c r="AJ16" s="23"/>
      <c r="AK16" s="33"/>
      <c r="AL16" s="11"/>
      <c r="AM16" s="132" t="s">
        <v>20</v>
      </c>
      <c r="AN16" s="38">
        <v>3.0</v>
      </c>
      <c r="AO16" s="38" t="s">
        <v>17</v>
      </c>
      <c r="AP16" s="133">
        <v>8.0</v>
      </c>
      <c r="AQ16" s="134"/>
      <c r="AR16" s="134"/>
      <c r="AS16" s="135"/>
      <c r="AT16" s="23"/>
      <c r="AU16" s="135"/>
      <c r="AV16" s="23"/>
    </row>
    <row r="17" ht="20.25" customHeight="1">
      <c r="A17" s="1"/>
      <c r="B17" s="1"/>
      <c r="C17" s="132" t="s">
        <v>126</v>
      </c>
      <c r="D17" s="27">
        <v>3.0</v>
      </c>
      <c r="E17" s="28" t="s">
        <v>127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132" t="s">
        <v>126</v>
      </c>
      <c r="P17" s="27">
        <v>3.0</v>
      </c>
      <c r="Q17" s="28" t="s">
        <v>127</v>
      </c>
      <c r="R17" s="28">
        <v>8.0</v>
      </c>
      <c r="S17" s="30"/>
      <c r="T17" s="30"/>
      <c r="U17" s="31"/>
      <c r="V17" s="23"/>
      <c r="W17" s="31"/>
      <c r="X17" s="23"/>
      <c r="Y17" s="24"/>
      <c r="Z17" s="136"/>
      <c r="AA17" s="132" t="s">
        <v>126</v>
      </c>
      <c r="AB17" s="38">
        <v>3.0</v>
      </c>
      <c r="AC17" s="133" t="s">
        <v>127</v>
      </c>
      <c r="AD17" s="133">
        <v>8.0</v>
      </c>
      <c r="AE17" s="134"/>
      <c r="AF17" s="134"/>
      <c r="AG17" s="135"/>
      <c r="AH17" s="23"/>
      <c r="AI17" s="135"/>
      <c r="AJ17" s="23"/>
      <c r="AK17" s="33"/>
      <c r="AL17" s="136"/>
      <c r="AM17" s="132" t="s">
        <v>126</v>
      </c>
      <c r="AN17" s="38">
        <v>3.0</v>
      </c>
      <c r="AO17" s="133" t="s">
        <v>127</v>
      </c>
      <c r="AP17" s="133">
        <v>8.0</v>
      </c>
      <c r="AQ17" s="134"/>
      <c r="AR17" s="134"/>
      <c r="AS17" s="135"/>
      <c r="AT17" s="23"/>
      <c r="AU17" s="135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37"/>
      <c r="AA18" s="138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137"/>
      <c r="AM18" s="138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128</v>
      </c>
      <c r="D19" s="36"/>
      <c r="E19" s="36"/>
      <c r="F19" s="1"/>
      <c r="G19" s="1"/>
      <c r="H19" s="1"/>
      <c r="I19" s="1"/>
      <c r="J19" s="1"/>
      <c r="K19" s="1"/>
      <c r="L19" s="1"/>
      <c r="M19" s="5"/>
      <c r="N19" s="4"/>
      <c r="O19" s="12" t="s">
        <v>128</v>
      </c>
      <c r="P19" s="36"/>
      <c r="Q19" s="36"/>
      <c r="R19" s="1"/>
      <c r="S19" s="1"/>
      <c r="T19" s="1"/>
      <c r="U19" s="1"/>
      <c r="V19" s="1"/>
      <c r="W19" s="1"/>
      <c r="X19" s="1"/>
      <c r="Y19" s="24"/>
      <c r="Z19" s="136"/>
      <c r="AA19" s="139" t="s">
        <v>128</v>
      </c>
      <c r="AB19" s="11"/>
      <c r="AC19" s="11"/>
      <c r="AD19" s="11"/>
      <c r="AE19" s="11"/>
      <c r="AF19" s="136"/>
      <c r="AG19" s="136"/>
      <c r="AH19" s="136"/>
      <c r="AI19" s="136"/>
      <c r="AJ19" s="136"/>
      <c r="AK19" s="3"/>
      <c r="AL19" s="136"/>
      <c r="AM19" s="139" t="s">
        <v>128</v>
      </c>
      <c r="AN19" s="11"/>
      <c r="AO19" s="11"/>
      <c r="AP19" s="11"/>
      <c r="AQ19" s="11"/>
      <c r="AR19" s="136"/>
      <c r="AS19" s="136"/>
      <c r="AT19" s="136"/>
      <c r="AU19" s="136"/>
      <c r="AV19" s="136"/>
    </row>
    <row r="20">
      <c r="A20" s="1"/>
      <c r="B20" s="12" t="s">
        <v>24</v>
      </c>
      <c r="C20" s="37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24</v>
      </c>
      <c r="O20" s="37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127" t="s">
        <v>24</v>
      </c>
      <c r="AA20" s="130" t="s">
        <v>6</v>
      </c>
      <c r="AB20" s="128" t="s">
        <v>7</v>
      </c>
      <c r="AC20" s="129" t="s">
        <v>8</v>
      </c>
      <c r="AD20" s="129" t="s">
        <v>9</v>
      </c>
      <c r="AE20" s="129" t="s">
        <v>10</v>
      </c>
      <c r="AF20" s="129" t="s">
        <v>11</v>
      </c>
      <c r="AG20" s="130" t="s">
        <v>12</v>
      </c>
      <c r="AH20" s="23"/>
      <c r="AI20" s="130" t="s">
        <v>13</v>
      </c>
      <c r="AJ20" s="23"/>
      <c r="AK20" s="33"/>
      <c r="AL20" s="127" t="s">
        <v>24</v>
      </c>
      <c r="AM20" s="130" t="s">
        <v>6</v>
      </c>
      <c r="AN20" s="128" t="s">
        <v>7</v>
      </c>
      <c r="AO20" s="129" t="s">
        <v>8</v>
      </c>
      <c r="AP20" s="129" t="s">
        <v>9</v>
      </c>
      <c r="AQ20" s="129" t="s">
        <v>10</v>
      </c>
      <c r="AR20" s="129" t="s">
        <v>11</v>
      </c>
      <c r="AS20" s="130" t="s">
        <v>12</v>
      </c>
      <c r="AT20" s="23"/>
      <c r="AU20" s="130" t="s">
        <v>13</v>
      </c>
      <c r="AV20" s="23"/>
    </row>
    <row r="21" ht="20.25" customHeight="1">
      <c r="A21" s="4"/>
      <c r="B21" s="1"/>
      <c r="C21" s="132" t="s">
        <v>19</v>
      </c>
      <c r="D21" s="38">
        <v>3.0</v>
      </c>
      <c r="E21" s="39">
        <v>10.0</v>
      </c>
      <c r="F21" s="39">
        <v>8.0</v>
      </c>
      <c r="G21" s="40"/>
      <c r="H21" s="41"/>
      <c r="I21" s="31"/>
      <c r="J21" s="23"/>
      <c r="K21" s="31"/>
      <c r="L21" s="23"/>
      <c r="M21" s="17"/>
      <c r="N21" s="1"/>
      <c r="O21" s="132" t="s">
        <v>19</v>
      </c>
      <c r="P21" s="38">
        <v>3.0</v>
      </c>
      <c r="Q21" s="39">
        <v>10.0</v>
      </c>
      <c r="R21" s="39">
        <v>8.0</v>
      </c>
      <c r="S21" s="40"/>
      <c r="T21" s="41"/>
      <c r="U21" s="31"/>
      <c r="V21" s="23"/>
      <c r="W21" s="31"/>
      <c r="X21" s="23"/>
      <c r="Y21" s="1"/>
      <c r="Z21" s="11"/>
      <c r="AA21" s="26" t="s">
        <v>19</v>
      </c>
      <c r="AB21" s="38">
        <v>3.0</v>
      </c>
      <c r="AC21" s="133">
        <v>10.0</v>
      </c>
      <c r="AD21" s="133">
        <v>8.0</v>
      </c>
      <c r="AE21" s="134"/>
      <c r="AF21" s="140"/>
      <c r="AG21" s="135"/>
      <c r="AH21" s="23"/>
      <c r="AI21" s="135"/>
      <c r="AJ21" s="23"/>
      <c r="AK21" s="33"/>
      <c r="AL21" s="11"/>
      <c r="AM21" s="26" t="s">
        <v>19</v>
      </c>
      <c r="AN21" s="38">
        <v>3.0</v>
      </c>
      <c r="AO21" s="133">
        <v>10.0</v>
      </c>
      <c r="AP21" s="133">
        <v>8.0</v>
      </c>
      <c r="AQ21" s="134"/>
      <c r="AR21" s="140"/>
      <c r="AS21" s="135"/>
      <c r="AT21" s="23"/>
      <c r="AU21" s="135"/>
      <c r="AV21" s="23"/>
    </row>
    <row r="22" ht="20.25" customHeight="1">
      <c r="A22" s="1"/>
      <c r="B22" s="1"/>
      <c r="C22" s="26" t="s">
        <v>26</v>
      </c>
      <c r="D22" s="38">
        <v>3.0</v>
      </c>
      <c r="E22" s="39" t="s">
        <v>17</v>
      </c>
      <c r="F22" s="39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26</v>
      </c>
      <c r="P22" s="38">
        <v>3.0</v>
      </c>
      <c r="Q22" s="39" t="s">
        <v>17</v>
      </c>
      <c r="R22" s="39">
        <v>8.0</v>
      </c>
      <c r="S22" s="30"/>
      <c r="T22" s="30"/>
      <c r="U22" s="31"/>
      <c r="V22" s="23"/>
      <c r="W22" s="31"/>
      <c r="X22" s="23"/>
      <c r="Y22" s="24"/>
      <c r="Z22" s="136"/>
      <c r="AA22" s="132" t="s">
        <v>26</v>
      </c>
      <c r="AB22" s="38">
        <v>3.0</v>
      </c>
      <c r="AC22" s="133" t="s">
        <v>17</v>
      </c>
      <c r="AD22" s="133">
        <v>8.0</v>
      </c>
      <c r="AE22" s="134"/>
      <c r="AF22" s="134"/>
      <c r="AG22" s="135"/>
      <c r="AH22" s="23"/>
      <c r="AI22" s="135"/>
      <c r="AJ22" s="23"/>
      <c r="AK22" s="33"/>
      <c r="AL22" s="136"/>
      <c r="AM22" s="132" t="s">
        <v>26</v>
      </c>
      <c r="AN22" s="38">
        <v>3.0</v>
      </c>
      <c r="AO22" s="133" t="s">
        <v>17</v>
      </c>
      <c r="AP22" s="133">
        <v>8.0</v>
      </c>
      <c r="AQ22" s="134"/>
      <c r="AR22" s="134"/>
      <c r="AS22" s="135"/>
      <c r="AT22" s="23"/>
      <c r="AU22" s="135"/>
      <c r="AV22" s="23"/>
    </row>
    <row r="23" ht="20.25" customHeight="1">
      <c r="A23" s="1"/>
      <c r="B23" s="1"/>
      <c r="C23" s="132" t="s">
        <v>16</v>
      </c>
      <c r="D23" s="38">
        <v>3.0</v>
      </c>
      <c r="E23" s="39" t="s">
        <v>17</v>
      </c>
      <c r="F23" s="39">
        <v>8.0</v>
      </c>
      <c r="G23" s="30"/>
      <c r="H23" s="30"/>
      <c r="I23" s="31"/>
      <c r="J23" s="23"/>
      <c r="K23" s="31"/>
      <c r="L23" s="23"/>
      <c r="M23" s="32"/>
      <c r="N23" s="1"/>
      <c r="O23" s="132" t="s">
        <v>16</v>
      </c>
      <c r="P23" s="38">
        <v>3.0</v>
      </c>
      <c r="Q23" s="39" t="s">
        <v>17</v>
      </c>
      <c r="R23" s="39">
        <v>8.0</v>
      </c>
      <c r="S23" s="30"/>
      <c r="T23" s="30"/>
      <c r="U23" s="31"/>
      <c r="V23" s="23"/>
      <c r="W23" s="31"/>
      <c r="X23" s="23"/>
      <c r="Y23" s="24"/>
      <c r="Z23" s="136"/>
      <c r="AA23" s="132" t="s">
        <v>16</v>
      </c>
      <c r="AB23" s="38">
        <v>3.0</v>
      </c>
      <c r="AC23" s="133" t="s">
        <v>17</v>
      </c>
      <c r="AD23" s="133">
        <v>8.0</v>
      </c>
      <c r="AE23" s="134"/>
      <c r="AF23" s="134"/>
      <c r="AG23" s="135"/>
      <c r="AH23" s="23"/>
      <c r="AI23" s="135"/>
      <c r="AJ23" s="23"/>
      <c r="AK23" s="33"/>
      <c r="AL23" s="136"/>
      <c r="AM23" s="132" t="s">
        <v>16</v>
      </c>
      <c r="AN23" s="38">
        <v>3.0</v>
      </c>
      <c r="AO23" s="133" t="s">
        <v>17</v>
      </c>
      <c r="AP23" s="133">
        <v>8.0</v>
      </c>
      <c r="AQ23" s="134"/>
      <c r="AR23" s="134"/>
      <c r="AS23" s="135"/>
      <c r="AT23" s="23"/>
      <c r="AU23" s="135"/>
      <c r="AV23" s="23"/>
    </row>
    <row r="24" ht="20.25" customHeight="1">
      <c r="A24" s="1"/>
      <c r="B24" s="1"/>
      <c r="C24" s="132" t="s">
        <v>129</v>
      </c>
      <c r="D24" s="38">
        <v>3.0</v>
      </c>
      <c r="E24" s="39" t="s">
        <v>17</v>
      </c>
      <c r="F24" s="39">
        <v>8.0</v>
      </c>
      <c r="G24" s="30"/>
      <c r="H24" s="30"/>
      <c r="I24" s="31"/>
      <c r="J24" s="23"/>
      <c r="K24" s="31"/>
      <c r="L24" s="23"/>
      <c r="M24" s="32"/>
      <c r="N24" s="1"/>
      <c r="O24" s="132" t="s">
        <v>129</v>
      </c>
      <c r="P24" s="38">
        <v>3.0</v>
      </c>
      <c r="Q24" s="39" t="s">
        <v>17</v>
      </c>
      <c r="R24" s="39">
        <v>8.0</v>
      </c>
      <c r="S24" s="30"/>
      <c r="T24" s="30"/>
      <c r="U24" s="31"/>
      <c r="V24" s="23"/>
      <c r="W24" s="31"/>
      <c r="X24" s="23"/>
      <c r="Y24" s="24"/>
      <c r="Z24" s="136"/>
      <c r="AA24" s="132" t="s">
        <v>129</v>
      </c>
      <c r="AB24" s="38">
        <v>3.0</v>
      </c>
      <c r="AC24" s="133" t="s">
        <v>17</v>
      </c>
      <c r="AD24" s="133">
        <v>8.0</v>
      </c>
      <c r="AE24" s="134"/>
      <c r="AF24" s="134"/>
      <c r="AG24" s="135"/>
      <c r="AH24" s="23"/>
      <c r="AI24" s="135"/>
      <c r="AJ24" s="23"/>
      <c r="AK24" s="33"/>
      <c r="AL24" s="136"/>
      <c r="AM24" s="132" t="s">
        <v>129</v>
      </c>
      <c r="AN24" s="38">
        <v>3.0</v>
      </c>
      <c r="AO24" s="133" t="s">
        <v>17</v>
      </c>
      <c r="AP24" s="133">
        <v>8.0</v>
      </c>
      <c r="AQ24" s="134"/>
      <c r="AR24" s="134"/>
      <c r="AS24" s="135"/>
      <c r="AT24" s="23"/>
      <c r="AU24" s="135"/>
      <c r="AV24" s="23"/>
    </row>
    <row r="25" ht="20.25" customHeight="1">
      <c r="A25" s="1"/>
      <c r="B25" s="1"/>
      <c r="C25" s="132" t="s">
        <v>27</v>
      </c>
      <c r="D25" s="38">
        <v>3.0</v>
      </c>
      <c r="E25" s="39" t="s">
        <v>17</v>
      </c>
      <c r="F25" s="39">
        <v>8.0</v>
      </c>
      <c r="G25" s="30"/>
      <c r="H25" s="30"/>
      <c r="I25" s="31"/>
      <c r="J25" s="23"/>
      <c r="K25" s="31"/>
      <c r="L25" s="23"/>
      <c r="M25" s="32"/>
      <c r="N25" s="1"/>
      <c r="O25" s="132" t="s">
        <v>27</v>
      </c>
      <c r="P25" s="38">
        <v>3.0</v>
      </c>
      <c r="Q25" s="39" t="s">
        <v>17</v>
      </c>
      <c r="R25" s="39">
        <v>8.0</v>
      </c>
      <c r="S25" s="30"/>
      <c r="T25" s="30"/>
      <c r="U25" s="31"/>
      <c r="V25" s="23"/>
      <c r="W25" s="31"/>
      <c r="X25" s="23"/>
      <c r="Y25" s="24"/>
      <c r="Z25" s="136"/>
      <c r="AA25" s="132" t="s">
        <v>27</v>
      </c>
      <c r="AB25" s="38">
        <v>3.0</v>
      </c>
      <c r="AC25" s="38" t="s">
        <v>17</v>
      </c>
      <c r="AD25" s="133">
        <v>8.0</v>
      </c>
      <c r="AE25" s="134"/>
      <c r="AF25" s="134"/>
      <c r="AG25" s="135"/>
      <c r="AH25" s="23"/>
      <c r="AI25" s="135"/>
      <c r="AJ25" s="23"/>
      <c r="AK25" s="33"/>
      <c r="AL25" s="136"/>
      <c r="AM25" s="132" t="s">
        <v>27</v>
      </c>
      <c r="AN25" s="38">
        <v>3.0</v>
      </c>
      <c r="AO25" s="38" t="s">
        <v>17</v>
      </c>
      <c r="AP25" s="133">
        <v>8.0</v>
      </c>
      <c r="AQ25" s="134"/>
      <c r="AR25" s="134"/>
      <c r="AS25" s="135"/>
      <c r="AT25" s="23"/>
      <c r="AU25" s="135"/>
      <c r="AV25" s="23"/>
    </row>
    <row r="26" ht="20.25" customHeight="1">
      <c r="A26" s="1"/>
      <c r="B26" s="1"/>
      <c r="C26" s="132" t="s">
        <v>130</v>
      </c>
      <c r="D26" s="38">
        <v>3.0</v>
      </c>
      <c r="E26" s="38" t="s">
        <v>17</v>
      </c>
      <c r="F26" s="39">
        <v>8.0</v>
      </c>
      <c r="G26" s="30"/>
      <c r="H26" s="30"/>
      <c r="I26" s="31"/>
      <c r="J26" s="23"/>
      <c r="K26" s="31"/>
      <c r="L26" s="23"/>
      <c r="M26" s="32"/>
      <c r="N26" s="1"/>
      <c r="O26" s="132" t="s">
        <v>130</v>
      </c>
      <c r="P26" s="38">
        <v>3.0</v>
      </c>
      <c r="Q26" s="38" t="s">
        <v>17</v>
      </c>
      <c r="R26" s="39">
        <v>8.0</v>
      </c>
      <c r="S26" s="30"/>
      <c r="T26" s="30"/>
      <c r="U26" s="31"/>
      <c r="V26" s="23"/>
      <c r="W26" s="31"/>
      <c r="X26" s="23"/>
      <c r="Y26" s="34"/>
      <c r="Z26" s="136"/>
      <c r="AA26" s="132" t="s">
        <v>130</v>
      </c>
      <c r="AB26" s="38">
        <v>3.0</v>
      </c>
      <c r="AC26" s="38" t="s">
        <v>17</v>
      </c>
      <c r="AD26" s="133">
        <v>8.0</v>
      </c>
      <c r="AE26" s="134"/>
      <c r="AF26" s="134"/>
      <c r="AG26" s="135"/>
      <c r="AH26" s="23"/>
      <c r="AI26" s="135"/>
      <c r="AJ26" s="23"/>
      <c r="AK26" s="33"/>
      <c r="AL26" s="136"/>
      <c r="AM26" s="132" t="s">
        <v>130</v>
      </c>
      <c r="AN26" s="38">
        <v>3.0</v>
      </c>
      <c r="AO26" s="38" t="s">
        <v>17</v>
      </c>
      <c r="AP26" s="133">
        <v>8.0</v>
      </c>
      <c r="AQ26" s="134"/>
      <c r="AR26" s="134"/>
      <c r="AS26" s="135"/>
      <c r="AT26" s="23"/>
      <c r="AU26" s="135"/>
      <c r="AV26" s="23"/>
    </row>
    <row r="27" ht="20.25" customHeight="1">
      <c r="A27" s="1"/>
      <c r="B27" s="16"/>
      <c r="C27" s="141" t="s">
        <v>131</v>
      </c>
      <c r="D27" s="142">
        <v>3.0</v>
      </c>
      <c r="E27" s="142" t="s">
        <v>17</v>
      </c>
      <c r="F27" s="143">
        <v>8.0</v>
      </c>
      <c r="G27" s="144"/>
      <c r="H27" s="144"/>
      <c r="I27" s="145"/>
      <c r="J27" s="10"/>
      <c r="K27" s="145"/>
      <c r="L27" s="10"/>
      <c r="M27" s="17"/>
      <c r="N27" s="16"/>
      <c r="O27" s="141" t="s">
        <v>131</v>
      </c>
      <c r="P27" s="142">
        <v>3.0</v>
      </c>
      <c r="Q27" s="142" t="s">
        <v>17</v>
      </c>
      <c r="R27" s="143">
        <v>8.0</v>
      </c>
      <c r="S27" s="144"/>
      <c r="T27" s="144"/>
      <c r="U27" s="145"/>
      <c r="V27" s="10"/>
      <c r="W27" s="145"/>
      <c r="X27" s="10"/>
      <c r="Y27" s="146"/>
      <c r="Z27" s="18"/>
      <c r="AA27" s="132" t="s">
        <v>131</v>
      </c>
      <c r="AB27" s="147">
        <v>3.0</v>
      </c>
      <c r="AC27" s="147" t="s">
        <v>17</v>
      </c>
      <c r="AD27" s="147">
        <v>8.0</v>
      </c>
      <c r="AE27" s="148"/>
      <c r="AF27" s="148"/>
      <c r="AG27" s="149"/>
      <c r="AH27" s="10"/>
      <c r="AI27" s="149"/>
      <c r="AJ27" s="10"/>
      <c r="AK27" s="150"/>
      <c r="AL27" s="18"/>
      <c r="AM27" s="132" t="s">
        <v>131</v>
      </c>
      <c r="AN27" s="147">
        <v>3.0</v>
      </c>
      <c r="AO27" s="147" t="s">
        <v>17</v>
      </c>
      <c r="AP27" s="147">
        <v>8.0</v>
      </c>
      <c r="AQ27" s="148"/>
      <c r="AR27" s="148"/>
      <c r="AS27" s="149"/>
      <c r="AT27" s="10"/>
      <c r="AU27" s="149"/>
      <c r="AV27" s="10"/>
    </row>
    <row r="28" ht="20.25" customHeight="1">
      <c r="A28" s="1"/>
      <c r="B28" s="1"/>
      <c r="C28" s="132" t="s">
        <v>132</v>
      </c>
      <c r="D28" s="39">
        <v>1.0</v>
      </c>
      <c r="E28" s="151" t="s">
        <v>133</v>
      </c>
      <c r="F28" s="151" t="s">
        <v>134</v>
      </c>
      <c r="G28" s="30"/>
      <c r="H28" s="30"/>
      <c r="I28" s="31"/>
      <c r="J28" s="23"/>
      <c r="K28" s="31"/>
      <c r="L28" s="23"/>
      <c r="M28" s="17"/>
      <c r="N28" s="1"/>
      <c r="O28" s="132" t="s">
        <v>132</v>
      </c>
      <c r="P28" s="39">
        <v>1.0</v>
      </c>
      <c r="Q28" s="151" t="s">
        <v>133</v>
      </c>
      <c r="R28" s="151" t="s">
        <v>134</v>
      </c>
      <c r="S28" s="30"/>
      <c r="T28" s="30"/>
      <c r="U28" s="31"/>
      <c r="V28" s="23"/>
      <c r="W28" s="31"/>
      <c r="X28" s="23"/>
      <c r="Y28" s="146"/>
      <c r="Z28" s="11"/>
      <c r="AA28" s="132" t="s">
        <v>132</v>
      </c>
      <c r="AB28" s="133">
        <v>1.0</v>
      </c>
      <c r="AC28" s="133" t="s">
        <v>133</v>
      </c>
      <c r="AD28" s="133" t="s">
        <v>134</v>
      </c>
      <c r="AE28" s="134"/>
      <c r="AF28" s="134"/>
      <c r="AG28" s="135"/>
      <c r="AH28" s="23"/>
      <c r="AI28" s="135"/>
      <c r="AJ28" s="23"/>
      <c r="AK28" s="150"/>
      <c r="AL28" s="11"/>
      <c r="AM28" s="132" t="s">
        <v>132</v>
      </c>
      <c r="AN28" s="133">
        <v>1.0</v>
      </c>
      <c r="AO28" s="133" t="s">
        <v>133</v>
      </c>
      <c r="AP28" s="133" t="s">
        <v>134</v>
      </c>
      <c r="AQ28" s="134"/>
      <c r="AR28" s="134"/>
      <c r="AS28" s="135"/>
      <c r="AT28" s="23"/>
      <c r="AU28" s="135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138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138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42" t="s">
        <v>34</v>
      </c>
      <c r="D30" s="43"/>
      <c r="E30" s="43"/>
      <c r="F30" s="43"/>
      <c r="G30" s="43"/>
      <c r="H30" s="43"/>
      <c r="I30" s="43"/>
      <c r="J30" s="43"/>
      <c r="K30" s="43"/>
      <c r="L30" s="23"/>
      <c r="M30" s="5"/>
      <c r="N30" s="1"/>
      <c r="O30" s="42" t="s">
        <v>34</v>
      </c>
      <c r="P30" s="43"/>
      <c r="Q30" s="43"/>
      <c r="R30" s="43"/>
      <c r="S30" s="43"/>
      <c r="T30" s="43"/>
      <c r="U30" s="43"/>
      <c r="V30" s="43"/>
      <c r="W30" s="43"/>
      <c r="X30" s="23"/>
      <c r="Y30" s="44"/>
      <c r="Z30" s="136"/>
      <c r="AA30" s="152" t="s">
        <v>34</v>
      </c>
      <c r="AB30" s="43"/>
      <c r="AC30" s="43"/>
      <c r="AD30" s="43"/>
      <c r="AE30" s="43"/>
      <c r="AF30" s="43"/>
      <c r="AG30" s="43"/>
      <c r="AH30" s="43"/>
      <c r="AI30" s="43"/>
      <c r="AJ30" s="23"/>
      <c r="AK30" s="3"/>
      <c r="AL30" s="136"/>
      <c r="AM30" s="152" t="s">
        <v>34</v>
      </c>
      <c r="AN30" s="43"/>
      <c r="AO30" s="43"/>
      <c r="AP30" s="43"/>
      <c r="AQ30" s="43"/>
      <c r="AR30" s="43"/>
      <c r="AS30" s="43"/>
      <c r="AT30" s="43"/>
      <c r="AU30" s="43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136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33"/>
      <c r="AL31" s="136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</row>
    <row r="32">
      <c r="A32" s="1"/>
      <c r="B32" s="16"/>
      <c r="C32" s="12" t="s">
        <v>135</v>
      </c>
      <c r="D32" s="36"/>
      <c r="E32" s="36"/>
      <c r="F32" s="1"/>
      <c r="G32" s="1"/>
      <c r="H32" s="1"/>
      <c r="I32" s="1"/>
      <c r="J32" s="1"/>
      <c r="K32" s="1"/>
      <c r="L32" s="1"/>
      <c r="M32" s="32"/>
      <c r="N32" s="16"/>
      <c r="O32" s="12" t="s">
        <v>135</v>
      </c>
      <c r="P32" s="36"/>
      <c r="Q32" s="36"/>
      <c r="R32" s="1"/>
      <c r="S32" s="1"/>
      <c r="T32" s="1"/>
      <c r="U32" s="1"/>
      <c r="V32" s="1"/>
      <c r="W32" s="1"/>
      <c r="X32" s="1"/>
      <c r="Y32" s="34"/>
      <c r="Z32" s="138"/>
      <c r="AA32" s="127" t="s">
        <v>135</v>
      </c>
      <c r="AB32" s="11"/>
      <c r="AC32" s="136"/>
      <c r="AD32" s="136"/>
      <c r="AE32" s="136"/>
      <c r="AF32" s="136"/>
      <c r="AG32" s="136"/>
      <c r="AH32" s="136"/>
      <c r="AI32" s="136"/>
      <c r="AJ32" s="136"/>
      <c r="AK32" s="33"/>
      <c r="AL32" s="138"/>
      <c r="AM32" s="127" t="s">
        <v>135</v>
      </c>
      <c r="AN32" s="11"/>
      <c r="AO32" s="136"/>
      <c r="AP32" s="136"/>
      <c r="AQ32" s="136"/>
      <c r="AR32" s="136"/>
      <c r="AS32" s="136"/>
      <c r="AT32" s="136"/>
      <c r="AU32" s="136"/>
      <c r="AV32" s="136"/>
    </row>
    <row r="33" ht="20.25" customHeight="1">
      <c r="A33" s="7"/>
      <c r="B33" s="46" t="s">
        <v>136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46" t="s">
        <v>136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153" t="s">
        <v>136</v>
      </c>
      <c r="AA33" s="129" t="s">
        <v>6</v>
      </c>
      <c r="AB33" s="129" t="s">
        <v>7</v>
      </c>
      <c r="AC33" s="128" t="s">
        <v>8</v>
      </c>
      <c r="AD33" s="129" t="s">
        <v>9</v>
      </c>
      <c r="AE33" s="129" t="s">
        <v>10</v>
      </c>
      <c r="AF33" s="129" t="s">
        <v>11</v>
      </c>
      <c r="AG33" s="130" t="s">
        <v>12</v>
      </c>
      <c r="AH33" s="23"/>
      <c r="AI33" s="130" t="s">
        <v>13</v>
      </c>
      <c r="AJ33" s="23"/>
      <c r="AK33" s="47"/>
      <c r="AL33" s="153" t="s">
        <v>136</v>
      </c>
      <c r="AM33" s="129" t="s">
        <v>6</v>
      </c>
      <c r="AN33" s="129" t="s">
        <v>7</v>
      </c>
      <c r="AO33" s="128" t="s">
        <v>8</v>
      </c>
      <c r="AP33" s="129" t="s">
        <v>9</v>
      </c>
      <c r="AQ33" s="129" t="s">
        <v>10</v>
      </c>
      <c r="AR33" s="129" t="s">
        <v>11</v>
      </c>
      <c r="AS33" s="130" t="s">
        <v>12</v>
      </c>
      <c r="AT33" s="23"/>
      <c r="AU33" s="130" t="s">
        <v>13</v>
      </c>
      <c r="AV33" s="23"/>
    </row>
    <row r="34" ht="20.25" customHeight="1">
      <c r="A34" s="48"/>
      <c r="B34" s="1"/>
      <c r="C34" s="141" t="s">
        <v>37</v>
      </c>
      <c r="D34" s="39">
        <v>3.0</v>
      </c>
      <c r="E34" s="39">
        <v>8.0</v>
      </c>
      <c r="F34" s="39">
        <v>8.0</v>
      </c>
      <c r="G34" s="40"/>
      <c r="H34" s="30"/>
      <c r="I34" s="31"/>
      <c r="J34" s="23"/>
      <c r="K34" s="31"/>
      <c r="L34" s="23"/>
      <c r="M34" s="5"/>
      <c r="N34" s="1"/>
      <c r="O34" s="141" t="s">
        <v>37</v>
      </c>
      <c r="P34" s="39">
        <v>3.0</v>
      </c>
      <c r="Q34" s="39">
        <v>8.0</v>
      </c>
      <c r="R34" s="39">
        <v>8.0</v>
      </c>
      <c r="S34" s="40"/>
      <c r="T34" s="30"/>
      <c r="U34" s="31"/>
      <c r="V34" s="23"/>
      <c r="W34" s="31"/>
      <c r="X34" s="23"/>
      <c r="Y34" s="24"/>
      <c r="Z34" s="136"/>
      <c r="AA34" s="132" t="s">
        <v>37</v>
      </c>
      <c r="AB34" s="133">
        <v>3.0</v>
      </c>
      <c r="AC34" s="38">
        <v>8.0</v>
      </c>
      <c r="AD34" s="133">
        <v>8.0</v>
      </c>
      <c r="AE34" s="134"/>
      <c r="AF34" s="134"/>
      <c r="AG34" s="135"/>
      <c r="AH34" s="23"/>
      <c r="AI34" s="135"/>
      <c r="AJ34" s="23"/>
      <c r="AK34" s="49"/>
      <c r="AL34" s="136"/>
      <c r="AM34" s="132" t="s">
        <v>37</v>
      </c>
      <c r="AN34" s="133">
        <v>3.0</v>
      </c>
      <c r="AO34" s="38">
        <v>8.0</v>
      </c>
      <c r="AP34" s="133">
        <v>8.0</v>
      </c>
      <c r="AQ34" s="134"/>
      <c r="AR34" s="134"/>
      <c r="AS34" s="135"/>
      <c r="AT34" s="23"/>
      <c r="AU34" s="135"/>
      <c r="AV34" s="23"/>
    </row>
    <row r="35" ht="20.25" customHeight="1">
      <c r="A35" s="4"/>
      <c r="B35" s="1"/>
      <c r="C35" s="154" t="s">
        <v>38</v>
      </c>
      <c r="D35" s="38">
        <v>3.0</v>
      </c>
      <c r="E35" s="39" t="s">
        <v>17</v>
      </c>
      <c r="F35" s="39">
        <v>8.0</v>
      </c>
      <c r="G35" s="30"/>
      <c r="H35" s="30"/>
      <c r="I35" s="31"/>
      <c r="J35" s="23"/>
      <c r="K35" s="31"/>
      <c r="L35" s="23"/>
      <c r="M35" s="32"/>
      <c r="N35" s="1"/>
      <c r="O35" s="154" t="s">
        <v>38</v>
      </c>
      <c r="P35" s="38">
        <v>3.0</v>
      </c>
      <c r="Q35" s="39" t="s">
        <v>17</v>
      </c>
      <c r="R35" s="39">
        <v>8.0</v>
      </c>
      <c r="S35" s="30"/>
      <c r="T35" s="30"/>
      <c r="U35" s="31"/>
      <c r="V35" s="23"/>
      <c r="W35" s="31"/>
      <c r="X35" s="23"/>
      <c r="Y35" s="34"/>
      <c r="Z35" s="136"/>
      <c r="AA35" s="155" t="s">
        <v>38</v>
      </c>
      <c r="AB35" s="133">
        <v>3.0</v>
      </c>
      <c r="AC35" s="38" t="s">
        <v>17</v>
      </c>
      <c r="AD35" s="133">
        <v>8.0</v>
      </c>
      <c r="AE35" s="134"/>
      <c r="AF35" s="134"/>
      <c r="AG35" s="135"/>
      <c r="AH35" s="23"/>
      <c r="AI35" s="135"/>
      <c r="AJ35" s="23"/>
      <c r="AK35" s="33"/>
      <c r="AL35" s="136"/>
      <c r="AM35" s="155" t="s">
        <v>38</v>
      </c>
      <c r="AN35" s="133">
        <v>3.0</v>
      </c>
      <c r="AO35" s="38" t="s">
        <v>17</v>
      </c>
      <c r="AP35" s="133">
        <v>8.0</v>
      </c>
      <c r="AQ35" s="134"/>
      <c r="AR35" s="134"/>
      <c r="AS35" s="135"/>
      <c r="AT35" s="23"/>
      <c r="AU35" s="135"/>
      <c r="AV35" s="23"/>
    </row>
    <row r="36" ht="20.25" customHeight="1">
      <c r="A36" s="1"/>
      <c r="B36" s="1"/>
      <c r="C36" s="131" t="s">
        <v>39</v>
      </c>
      <c r="D36" s="39">
        <v>3.0</v>
      </c>
      <c r="E36" s="38" t="s">
        <v>17</v>
      </c>
      <c r="F36" s="39">
        <v>8.0</v>
      </c>
      <c r="G36" s="30"/>
      <c r="H36" s="50"/>
      <c r="I36" s="31"/>
      <c r="J36" s="23"/>
      <c r="K36" s="31"/>
      <c r="L36" s="23"/>
      <c r="M36" s="32"/>
      <c r="N36" s="1"/>
      <c r="O36" s="131" t="s">
        <v>39</v>
      </c>
      <c r="P36" s="39">
        <v>3.0</v>
      </c>
      <c r="Q36" s="38" t="s">
        <v>17</v>
      </c>
      <c r="R36" s="39">
        <v>8.0</v>
      </c>
      <c r="S36" s="30"/>
      <c r="T36" s="50"/>
      <c r="U36" s="31"/>
      <c r="V36" s="23"/>
      <c r="W36" s="31"/>
      <c r="X36" s="23"/>
      <c r="Y36" s="1"/>
      <c r="Z36" s="11"/>
      <c r="AA36" s="132" t="s">
        <v>39</v>
      </c>
      <c r="AB36" s="38">
        <v>3.0</v>
      </c>
      <c r="AC36" s="38" t="s">
        <v>17</v>
      </c>
      <c r="AD36" s="133">
        <v>8.0</v>
      </c>
      <c r="AE36" s="134"/>
      <c r="AF36" s="135"/>
      <c r="AG36" s="135"/>
      <c r="AH36" s="23"/>
      <c r="AI36" s="135"/>
      <c r="AJ36" s="23"/>
      <c r="AK36" s="33"/>
      <c r="AL36" s="11"/>
      <c r="AM36" s="132" t="s">
        <v>39</v>
      </c>
      <c r="AN36" s="38">
        <v>3.0</v>
      </c>
      <c r="AO36" s="38" t="s">
        <v>17</v>
      </c>
      <c r="AP36" s="133">
        <v>8.0</v>
      </c>
      <c r="AQ36" s="134"/>
      <c r="AR36" s="135"/>
      <c r="AS36" s="135"/>
      <c r="AT36" s="23"/>
      <c r="AU36" s="135"/>
      <c r="AV36" s="23"/>
    </row>
    <row r="37" ht="20.25" customHeight="1">
      <c r="A37" s="1"/>
      <c r="B37" s="1"/>
      <c r="C37" s="131" t="s">
        <v>137</v>
      </c>
      <c r="D37" s="39">
        <v>3.0</v>
      </c>
      <c r="E37" s="38" t="s">
        <v>17</v>
      </c>
      <c r="F37" s="39">
        <v>8.0</v>
      </c>
      <c r="G37" s="30"/>
      <c r="H37" s="50"/>
      <c r="I37" s="31"/>
      <c r="J37" s="23"/>
      <c r="K37" s="31"/>
      <c r="L37" s="23"/>
      <c r="M37" s="32"/>
      <c r="N37" s="1"/>
      <c r="O37" s="131" t="s">
        <v>137</v>
      </c>
      <c r="P37" s="39">
        <v>3.0</v>
      </c>
      <c r="Q37" s="38" t="s">
        <v>17</v>
      </c>
      <c r="R37" s="39">
        <v>8.0</v>
      </c>
      <c r="S37" s="30"/>
      <c r="T37" s="50"/>
      <c r="U37" s="31"/>
      <c r="V37" s="23"/>
      <c r="W37" s="31"/>
      <c r="X37" s="23"/>
      <c r="Y37" s="1"/>
      <c r="Z37" s="11"/>
      <c r="AA37" s="132" t="s">
        <v>137</v>
      </c>
      <c r="AB37" s="38">
        <v>3.0</v>
      </c>
      <c r="AC37" s="133" t="s">
        <v>17</v>
      </c>
      <c r="AD37" s="133">
        <v>8.0</v>
      </c>
      <c r="AE37" s="156"/>
      <c r="AF37" s="157"/>
      <c r="AG37" s="135"/>
      <c r="AH37" s="23"/>
      <c r="AI37" s="135"/>
      <c r="AJ37" s="23"/>
      <c r="AK37" s="33"/>
      <c r="AL37" s="11"/>
      <c r="AM37" s="132" t="s">
        <v>137</v>
      </c>
      <c r="AN37" s="38">
        <v>3.0</v>
      </c>
      <c r="AO37" s="133" t="s">
        <v>17</v>
      </c>
      <c r="AP37" s="133">
        <v>8.0</v>
      </c>
      <c r="AQ37" s="156"/>
      <c r="AR37" s="157"/>
      <c r="AS37" s="135"/>
      <c r="AT37" s="23"/>
      <c r="AU37" s="135"/>
      <c r="AV37" s="23"/>
    </row>
    <row r="38" ht="20.25" customHeight="1">
      <c r="A38" s="1"/>
      <c r="B38" s="1"/>
      <c r="C38" s="131" t="s">
        <v>40</v>
      </c>
      <c r="D38" s="51">
        <v>3.0</v>
      </c>
      <c r="E38" s="52" t="s">
        <v>17</v>
      </c>
      <c r="F38" s="39">
        <v>8.0</v>
      </c>
      <c r="G38" s="30"/>
      <c r="H38" s="30"/>
      <c r="I38" s="31"/>
      <c r="J38" s="23"/>
      <c r="K38" s="31"/>
      <c r="L38" s="23"/>
      <c r="M38" s="5"/>
      <c r="N38" s="1"/>
      <c r="O38" s="131" t="s">
        <v>40</v>
      </c>
      <c r="P38" s="51">
        <v>3.0</v>
      </c>
      <c r="Q38" s="52" t="s">
        <v>17</v>
      </c>
      <c r="R38" s="39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40</v>
      </c>
      <c r="AB38" s="52">
        <v>3.0</v>
      </c>
      <c r="AC38" s="52" t="s">
        <v>17</v>
      </c>
      <c r="AD38" s="38">
        <v>8.0</v>
      </c>
      <c r="AE38" s="158"/>
      <c r="AF38" s="158"/>
      <c r="AG38" s="159"/>
      <c r="AH38" s="23"/>
      <c r="AI38" s="159"/>
      <c r="AJ38" s="23"/>
      <c r="AK38" s="2"/>
      <c r="AL38" s="11"/>
      <c r="AM38" s="26" t="s">
        <v>40</v>
      </c>
      <c r="AN38" s="52">
        <v>3.0</v>
      </c>
      <c r="AO38" s="52" t="s">
        <v>17</v>
      </c>
      <c r="AP38" s="38">
        <v>8.0</v>
      </c>
      <c r="AQ38" s="158"/>
      <c r="AR38" s="158"/>
      <c r="AS38" s="159"/>
      <c r="AT38" s="23"/>
      <c r="AU38" s="159"/>
      <c r="AV38" s="23"/>
    </row>
    <row r="39" ht="20.25" customHeight="1">
      <c r="A39" s="1"/>
      <c r="B39" s="16"/>
      <c r="C39" s="160" t="s">
        <v>138</v>
      </c>
      <c r="D39" s="38">
        <v>3.0</v>
      </c>
      <c r="E39" s="38" t="s">
        <v>17</v>
      </c>
      <c r="F39" s="39">
        <v>8.0</v>
      </c>
      <c r="G39" s="30"/>
      <c r="H39" s="30"/>
      <c r="I39" s="31"/>
      <c r="J39" s="23"/>
      <c r="K39" s="31"/>
      <c r="L39" s="23"/>
      <c r="M39" s="5"/>
      <c r="N39" s="16"/>
      <c r="O39" s="160" t="s">
        <v>138</v>
      </c>
      <c r="P39" s="38">
        <v>3.0</v>
      </c>
      <c r="Q39" s="38" t="s">
        <v>17</v>
      </c>
      <c r="R39" s="39">
        <v>8.0</v>
      </c>
      <c r="S39" s="30"/>
      <c r="T39" s="30"/>
      <c r="U39" s="31"/>
      <c r="V39" s="23"/>
      <c r="W39" s="31"/>
      <c r="X39" s="23"/>
      <c r="Y39" s="44"/>
      <c r="Z39" s="138"/>
      <c r="AA39" s="161" t="s">
        <v>138</v>
      </c>
      <c r="AB39" s="38">
        <v>3.0</v>
      </c>
      <c r="AC39" s="38" t="s">
        <v>17</v>
      </c>
      <c r="AD39" s="38">
        <v>8.0</v>
      </c>
      <c r="AE39" s="158"/>
      <c r="AF39" s="134"/>
      <c r="AG39" s="135"/>
      <c r="AH39" s="23"/>
      <c r="AI39" s="135"/>
      <c r="AJ39" s="23"/>
      <c r="AK39" s="3"/>
      <c r="AL39" s="138"/>
      <c r="AM39" s="161" t="s">
        <v>138</v>
      </c>
      <c r="AN39" s="38">
        <v>3.0</v>
      </c>
      <c r="AO39" s="38" t="s">
        <v>17</v>
      </c>
      <c r="AP39" s="38">
        <v>8.0</v>
      </c>
      <c r="AQ39" s="158"/>
      <c r="AR39" s="134"/>
      <c r="AS39" s="135"/>
      <c r="AT39" s="23"/>
      <c r="AU39" s="135"/>
      <c r="AV39" s="23"/>
    </row>
    <row r="40" ht="20.25" customHeight="1">
      <c r="A40" s="4"/>
      <c r="B40" s="16"/>
      <c r="C40" s="141" t="str">
        <f>HYPERLINK("https://youtu.be/h0XtRD5YUmo", "Overhead cable extension ")</f>
        <v>Overhead cable extension </v>
      </c>
      <c r="D40" s="38">
        <v>3.0</v>
      </c>
      <c r="E40" s="39" t="s">
        <v>17</v>
      </c>
      <c r="F40" s="39">
        <v>8.0</v>
      </c>
      <c r="G40" s="30"/>
      <c r="H40" s="162"/>
      <c r="I40" s="31"/>
      <c r="J40" s="23"/>
      <c r="K40" s="31"/>
      <c r="L40" s="23"/>
      <c r="M40" s="32"/>
      <c r="N40" s="16"/>
      <c r="O40" s="141" t="str">
        <f>HYPERLINK("https://youtu.be/h0XtRD5YUmo", "Overhead cable extension ")</f>
        <v>Overhead cable extension </v>
      </c>
      <c r="P40" s="38">
        <v>3.0</v>
      </c>
      <c r="Q40" s="39" t="s">
        <v>17</v>
      </c>
      <c r="R40" s="39">
        <v>8.0</v>
      </c>
      <c r="S40" s="30"/>
      <c r="T40" s="162"/>
      <c r="U40" s="31"/>
      <c r="V40" s="23"/>
      <c r="W40" s="31"/>
      <c r="X40" s="23"/>
      <c r="Y40" s="34"/>
      <c r="Z40" s="138"/>
      <c r="AA40" s="132" t="str">
        <f>HYPERLINK("https://youtu.be/h0XtRD5YUmo", "Overhead cable extension ")</f>
        <v>Overhead cable extension </v>
      </c>
      <c r="AB40" s="38">
        <v>3.0</v>
      </c>
      <c r="AC40" s="133" t="s">
        <v>17</v>
      </c>
      <c r="AD40" s="133">
        <v>8.0</v>
      </c>
      <c r="AE40" s="134"/>
      <c r="AF40" s="156"/>
      <c r="AG40" s="135"/>
      <c r="AH40" s="23"/>
      <c r="AI40" s="135"/>
      <c r="AJ40" s="23"/>
      <c r="AK40" s="33"/>
      <c r="AL40" s="138"/>
      <c r="AM40" s="132" t="str">
        <f>HYPERLINK("https://youtu.be/h0XtRD5YUmo", "Overhead cable extension ")</f>
        <v>Overhead cable extension </v>
      </c>
      <c r="AN40" s="38">
        <v>3.0</v>
      </c>
      <c r="AO40" s="133" t="s">
        <v>17</v>
      </c>
      <c r="AP40" s="133">
        <v>8.0</v>
      </c>
      <c r="AQ40" s="134"/>
      <c r="AR40" s="156"/>
      <c r="AS40" s="135"/>
      <c r="AT40" s="23"/>
      <c r="AU40" s="135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136"/>
      <c r="AA41" s="18"/>
      <c r="AB41" s="18"/>
      <c r="AC41" s="138"/>
      <c r="AD41" s="138"/>
      <c r="AE41" s="138"/>
      <c r="AF41" s="138"/>
      <c r="AG41" s="138"/>
      <c r="AH41" s="138"/>
      <c r="AI41" s="138"/>
      <c r="AJ41" s="138"/>
      <c r="AK41" s="33"/>
      <c r="AL41" s="136"/>
      <c r="AM41" s="18"/>
      <c r="AN41" s="18"/>
      <c r="AO41" s="138"/>
      <c r="AP41" s="138"/>
      <c r="AQ41" s="138"/>
      <c r="AR41" s="138"/>
      <c r="AS41" s="138"/>
      <c r="AT41" s="138"/>
      <c r="AU41" s="138"/>
      <c r="AV41" s="138"/>
    </row>
    <row r="42" ht="20.25" customHeight="1">
      <c r="A42" s="1"/>
      <c r="B42" s="16"/>
      <c r="C42" s="163" t="s">
        <v>42</v>
      </c>
      <c r="D42" s="36"/>
      <c r="E42" s="36"/>
      <c r="F42" s="1"/>
      <c r="G42" s="1"/>
      <c r="H42" s="1"/>
      <c r="I42" s="1"/>
      <c r="J42" s="1"/>
      <c r="K42" s="1"/>
      <c r="L42" s="1"/>
      <c r="M42" s="32"/>
      <c r="N42" s="16"/>
      <c r="O42" s="163" t="s">
        <v>42</v>
      </c>
      <c r="P42" s="36"/>
      <c r="Q42" s="36"/>
      <c r="R42" s="1"/>
      <c r="S42" s="1"/>
      <c r="T42" s="1"/>
      <c r="U42" s="1"/>
      <c r="V42" s="1"/>
      <c r="W42" s="1"/>
      <c r="X42" s="1"/>
      <c r="Y42" s="34"/>
      <c r="Z42" s="138"/>
      <c r="AA42" s="164" t="s">
        <v>42</v>
      </c>
      <c r="AB42" s="11"/>
      <c r="AC42" s="136"/>
      <c r="AD42" s="136"/>
      <c r="AE42" s="136"/>
      <c r="AF42" s="136"/>
      <c r="AG42" s="136"/>
      <c r="AH42" s="136"/>
      <c r="AI42" s="136"/>
      <c r="AJ42" s="136"/>
      <c r="AK42" s="33"/>
      <c r="AL42" s="138"/>
      <c r="AM42" s="164" t="s">
        <v>42</v>
      </c>
      <c r="AN42" s="11"/>
      <c r="AO42" s="136"/>
      <c r="AP42" s="136"/>
      <c r="AQ42" s="136"/>
      <c r="AR42" s="136"/>
      <c r="AS42" s="136"/>
      <c r="AT42" s="136"/>
      <c r="AU42" s="136"/>
      <c r="AV42" s="136"/>
    </row>
    <row r="43" ht="20.25" customHeight="1">
      <c r="A43" s="1"/>
      <c r="B43" s="165" t="s">
        <v>43</v>
      </c>
      <c r="C43" s="166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2"/>
      <c r="N43" s="165" t="s">
        <v>43</v>
      </c>
      <c r="O43" s="166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34"/>
      <c r="Z43" s="167" t="s">
        <v>43</v>
      </c>
      <c r="AA43" s="168" t="s">
        <v>6</v>
      </c>
      <c r="AB43" s="128" t="s">
        <v>7</v>
      </c>
      <c r="AC43" s="129" t="s">
        <v>8</v>
      </c>
      <c r="AD43" s="129" t="s">
        <v>9</v>
      </c>
      <c r="AE43" s="129" t="s">
        <v>10</v>
      </c>
      <c r="AF43" s="129" t="s">
        <v>11</v>
      </c>
      <c r="AG43" s="130" t="s">
        <v>12</v>
      </c>
      <c r="AH43" s="23"/>
      <c r="AI43" s="130" t="s">
        <v>13</v>
      </c>
      <c r="AJ43" s="23"/>
      <c r="AK43" s="33"/>
      <c r="AL43" s="167" t="s">
        <v>43</v>
      </c>
      <c r="AM43" s="168" t="s">
        <v>6</v>
      </c>
      <c r="AN43" s="128" t="s">
        <v>7</v>
      </c>
      <c r="AO43" s="129" t="s">
        <v>8</v>
      </c>
      <c r="AP43" s="129" t="s">
        <v>9</v>
      </c>
      <c r="AQ43" s="129" t="s">
        <v>10</v>
      </c>
      <c r="AR43" s="129" t="s">
        <v>11</v>
      </c>
      <c r="AS43" s="130" t="s">
        <v>12</v>
      </c>
      <c r="AT43" s="23"/>
      <c r="AU43" s="130" t="s">
        <v>13</v>
      </c>
      <c r="AV43" s="23"/>
    </row>
    <row r="44" ht="20.25" customHeight="1">
      <c r="A44" s="4"/>
      <c r="B44" s="1"/>
      <c r="C44" s="131" t="s">
        <v>44</v>
      </c>
      <c r="D44" s="38">
        <v>3.0</v>
      </c>
      <c r="E44" s="39">
        <v>8.0</v>
      </c>
      <c r="F44" s="39">
        <v>8.0</v>
      </c>
      <c r="G44" s="40"/>
      <c r="H44" s="30"/>
      <c r="I44" s="31"/>
      <c r="J44" s="23"/>
      <c r="K44" s="31"/>
      <c r="L44" s="23"/>
      <c r="M44" s="32"/>
      <c r="N44" s="1"/>
      <c r="O44" s="131" t="s">
        <v>44</v>
      </c>
      <c r="P44" s="38">
        <v>3.0</v>
      </c>
      <c r="Q44" s="39">
        <v>8.0</v>
      </c>
      <c r="R44" s="39">
        <v>8.0</v>
      </c>
      <c r="S44" s="40"/>
      <c r="T44" s="30"/>
      <c r="U44" s="31"/>
      <c r="V44" s="23"/>
      <c r="W44" s="31"/>
      <c r="X44" s="23"/>
      <c r="Y44" s="34"/>
      <c r="Z44" s="136"/>
      <c r="AA44" s="26" t="s">
        <v>44</v>
      </c>
      <c r="AB44" s="38">
        <v>3.0</v>
      </c>
      <c r="AC44" s="133">
        <v>8.0</v>
      </c>
      <c r="AD44" s="133">
        <v>8.0</v>
      </c>
      <c r="AE44" s="134"/>
      <c r="AF44" s="134"/>
      <c r="AG44" s="135"/>
      <c r="AH44" s="23"/>
      <c r="AI44" s="135"/>
      <c r="AJ44" s="23"/>
      <c r="AK44" s="33"/>
      <c r="AL44" s="136"/>
      <c r="AM44" s="26" t="s">
        <v>44</v>
      </c>
      <c r="AN44" s="38">
        <v>3.0</v>
      </c>
      <c r="AO44" s="133">
        <v>8.0</v>
      </c>
      <c r="AP44" s="133">
        <v>8.0</v>
      </c>
      <c r="AQ44" s="134"/>
      <c r="AR44" s="134"/>
      <c r="AS44" s="135"/>
      <c r="AT44" s="23"/>
      <c r="AU44" s="135"/>
      <c r="AV44" s="23"/>
    </row>
    <row r="45" ht="20.25" customHeight="1">
      <c r="A45" s="1"/>
      <c r="B45" s="1"/>
      <c r="C45" s="169" t="s">
        <v>27</v>
      </c>
      <c r="D45" s="38">
        <v>3.0</v>
      </c>
      <c r="E45" s="39" t="s">
        <v>15</v>
      </c>
      <c r="F45" s="39">
        <v>8.0</v>
      </c>
      <c r="G45" s="30"/>
      <c r="H45" s="30"/>
      <c r="I45" s="31"/>
      <c r="J45" s="23"/>
      <c r="K45" s="31"/>
      <c r="L45" s="23"/>
      <c r="M45" s="32"/>
      <c r="N45" s="1"/>
      <c r="O45" s="169" t="s">
        <v>27</v>
      </c>
      <c r="P45" s="38">
        <v>3.0</v>
      </c>
      <c r="Q45" s="39" t="s">
        <v>15</v>
      </c>
      <c r="R45" s="39">
        <v>8.0</v>
      </c>
      <c r="S45" s="30"/>
      <c r="T45" s="30"/>
      <c r="U45" s="31"/>
      <c r="V45" s="23"/>
      <c r="W45" s="31"/>
      <c r="X45" s="23"/>
      <c r="Y45" s="34"/>
      <c r="Z45" s="136"/>
      <c r="AA45" s="132" t="s">
        <v>27</v>
      </c>
      <c r="AB45" s="38">
        <v>3.0</v>
      </c>
      <c r="AC45" s="170" t="s">
        <v>15</v>
      </c>
      <c r="AD45" s="133">
        <v>8.0</v>
      </c>
      <c r="AE45" s="134"/>
      <c r="AF45" s="134"/>
      <c r="AG45" s="135"/>
      <c r="AH45" s="23"/>
      <c r="AI45" s="135"/>
      <c r="AJ45" s="23"/>
      <c r="AK45" s="33"/>
      <c r="AL45" s="136"/>
      <c r="AM45" s="132" t="s">
        <v>27</v>
      </c>
      <c r="AN45" s="38">
        <v>3.0</v>
      </c>
      <c r="AO45" s="170" t="s">
        <v>15</v>
      </c>
      <c r="AP45" s="133">
        <v>8.0</v>
      </c>
      <c r="AQ45" s="134"/>
      <c r="AR45" s="134"/>
      <c r="AS45" s="135"/>
      <c r="AT45" s="23"/>
      <c r="AU45" s="135"/>
      <c r="AV45" s="23"/>
    </row>
    <row r="46" ht="20.25" customHeight="1">
      <c r="A46" s="1"/>
      <c r="B46" s="1"/>
      <c r="C46" s="169" t="s">
        <v>47</v>
      </c>
      <c r="D46" s="38">
        <v>3.0</v>
      </c>
      <c r="E46" s="39" t="s">
        <v>17</v>
      </c>
      <c r="F46" s="39">
        <v>8.0</v>
      </c>
      <c r="G46" s="30"/>
      <c r="H46" s="30"/>
      <c r="I46" s="31"/>
      <c r="J46" s="23"/>
      <c r="K46" s="31"/>
      <c r="L46" s="23"/>
      <c r="M46" s="17"/>
      <c r="N46" s="1"/>
      <c r="O46" s="169" t="s">
        <v>47</v>
      </c>
      <c r="P46" s="38">
        <v>3.0</v>
      </c>
      <c r="Q46" s="39" t="s">
        <v>17</v>
      </c>
      <c r="R46" s="39">
        <v>8.0</v>
      </c>
      <c r="S46" s="30"/>
      <c r="T46" s="30"/>
      <c r="U46" s="31"/>
      <c r="V46" s="23"/>
      <c r="W46" s="31"/>
      <c r="X46" s="23"/>
      <c r="Y46" s="171"/>
      <c r="Z46" s="11"/>
      <c r="AA46" s="132" t="s">
        <v>47</v>
      </c>
      <c r="AB46" s="133">
        <v>3.0</v>
      </c>
      <c r="AC46" s="133" t="s">
        <v>17</v>
      </c>
      <c r="AD46" s="133">
        <v>8.0</v>
      </c>
      <c r="AE46" s="134"/>
      <c r="AF46" s="134"/>
      <c r="AG46" s="135"/>
      <c r="AH46" s="23"/>
      <c r="AI46" s="135"/>
      <c r="AJ46" s="23"/>
      <c r="AK46" s="4"/>
      <c r="AL46" s="11"/>
      <c r="AM46" s="132" t="s">
        <v>47</v>
      </c>
      <c r="AN46" s="133">
        <v>3.0</v>
      </c>
      <c r="AO46" s="133" t="s">
        <v>17</v>
      </c>
      <c r="AP46" s="133">
        <v>8.0</v>
      </c>
      <c r="AQ46" s="134"/>
      <c r="AR46" s="134"/>
      <c r="AS46" s="135"/>
      <c r="AT46" s="23"/>
      <c r="AU46" s="135"/>
      <c r="AV46" s="23"/>
    </row>
    <row r="47" ht="20.25" customHeight="1">
      <c r="A47" s="1"/>
      <c r="B47" s="1"/>
      <c r="C47" s="141" t="s">
        <v>139</v>
      </c>
      <c r="D47" s="38">
        <v>3.0</v>
      </c>
      <c r="E47" s="39" t="s">
        <v>17</v>
      </c>
      <c r="F47" s="39">
        <v>8.0</v>
      </c>
      <c r="G47" s="30"/>
      <c r="H47" s="30"/>
      <c r="I47" s="31"/>
      <c r="J47" s="23"/>
      <c r="K47" s="31"/>
      <c r="L47" s="23"/>
      <c r="M47" s="5"/>
      <c r="N47" s="1"/>
      <c r="O47" s="141" t="s">
        <v>139</v>
      </c>
      <c r="P47" s="38">
        <v>3.0</v>
      </c>
      <c r="Q47" s="39" t="s">
        <v>17</v>
      </c>
      <c r="R47" s="39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139</v>
      </c>
      <c r="AB47" s="38">
        <v>3.0</v>
      </c>
      <c r="AC47" s="38" t="s">
        <v>17</v>
      </c>
      <c r="AD47" s="38">
        <v>8.0</v>
      </c>
      <c r="AE47" s="158"/>
      <c r="AF47" s="158"/>
      <c r="AG47" s="159"/>
      <c r="AH47" s="23"/>
      <c r="AI47" s="159"/>
      <c r="AJ47" s="23"/>
      <c r="AK47" s="2"/>
      <c r="AL47" s="11"/>
      <c r="AM47" s="26" t="s">
        <v>139</v>
      </c>
      <c r="AN47" s="38">
        <v>3.0</v>
      </c>
      <c r="AO47" s="38" t="s">
        <v>17</v>
      </c>
      <c r="AP47" s="38">
        <v>8.0</v>
      </c>
      <c r="AQ47" s="158"/>
      <c r="AR47" s="158"/>
      <c r="AS47" s="159"/>
      <c r="AT47" s="23"/>
      <c r="AU47" s="159"/>
      <c r="AV47" s="23"/>
    </row>
    <row r="48" ht="20.25" customHeight="1">
      <c r="A48" s="1"/>
      <c r="B48" s="1"/>
      <c r="C48" s="169" t="s">
        <v>49</v>
      </c>
      <c r="D48" s="38">
        <v>3.0</v>
      </c>
      <c r="E48" s="39" t="s">
        <v>17</v>
      </c>
      <c r="F48" s="39">
        <v>8.0</v>
      </c>
      <c r="G48" s="30"/>
      <c r="H48" s="30"/>
      <c r="I48" s="31"/>
      <c r="J48" s="23"/>
      <c r="K48" s="31"/>
      <c r="L48" s="23"/>
      <c r="M48" s="5"/>
      <c r="N48" s="1"/>
      <c r="O48" s="169" t="s">
        <v>49</v>
      </c>
      <c r="P48" s="38">
        <v>3.0</v>
      </c>
      <c r="Q48" s="39" t="s">
        <v>17</v>
      </c>
      <c r="R48" s="39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49</v>
      </c>
      <c r="AB48" s="38">
        <v>3.0</v>
      </c>
      <c r="AC48" s="38" t="s">
        <v>17</v>
      </c>
      <c r="AD48" s="38">
        <v>8.0</v>
      </c>
      <c r="AE48" s="158"/>
      <c r="AF48" s="158"/>
      <c r="AG48" s="159"/>
      <c r="AH48" s="23"/>
      <c r="AI48" s="159"/>
      <c r="AJ48" s="23"/>
      <c r="AK48" s="2"/>
      <c r="AL48" s="11"/>
      <c r="AM48" s="26" t="s">
        <v>49</v>
      </c>
      <c r="AN48" s="38">
        <v>3.0</v>
      </c>
      <c r="AO48" s="38" t="s">
        <v>17</v>
      </c>
      <c r="AP48" s="38">
        <v>8.0</v>
      </c>
      <c r="AQ48" s="158"/>
      <c r="AR48" s="158"/>
      <c r="AS48" s="159"/>
      <c r="AT48" s="23"/>
      <c r="AU48" s="159"/>
      <c r="AV48" s="23"/>
    </row>
    <row r="49" ht="20.25" customHeight="1">
      <c r="A49" s="1"/>
      <c r="B49" s="16"/>
      <c r="C49" s="141" t="s">
        <v>140</v>
      </c>
      <c r="D49" s="38">
        <v>3.0</v>
      </c>
      <c r="E49" s="172">
        <v>45211.0</v>
      </c>
      <c r="F49" s="39">
        <v>8.0</v>
      </c>
      <c r="G49" s="30"/>
      <c r="H49" s="30"/>
      <c r="I49" s="31"/>
      <c r="J49" s="23"/>
      <c r="K49" s="31"/>
      <c r="L49" s="23"/>
      <c r="M49" s="5"/>
      <c r="N49" s="16"/>
      <c r="O49" s="141" t="s">
        <v>140</v>
      </c>
      <c r="P49" s="38">
        <v>3.0</v>
      </c>
      <c r="Q49" s="172">
        <v>45211.0</v>
      </c>
      <c r="R49" s="39">
        <v>8.0</v>
      </c>
      <c r="S49" s="30"/>
      <c r="T49" s="30"/>
      <c r="U49" s="31"/>
      <c r="V49" s="23"/>
      <c r="W49" s="31"/>
      <c r="X49" s="23"/>
      <c r="Y49" s="54"/>
      <c r="Z49" s="18"/>
      <c r="AA49" s="26" t="s">
        <v>140</v>
      </c>
      <c r="AB49" s="38">
        <v>3.0</v>
      </c>
      <c r="AC49" s="170">
        <v>45211.0</v>
      </c>
      <c r="AD49" s="38">
        <v>8.0</v>
      </c>
      <c r="AE49" s="158"/>
      <c r="AF49" s="158"/>
      <c r="AG49" s="159"/>
      <c r="AH49" s="23"/>
      <c r="AI49" s="159"/>
      <c r="AJ49" s="23"/>
      <c r="AK49" s="2"/>
      <c r="AL49" s="18"/>
      <c r="AM49" s="26" t="s">
        <v>140</v>
      </c>
      <c r="AN49" s="38">
        <v>3.0</v>
      </c>
      <c r="AO49" s="170">
        <v>45211.0</v>
      </c>
      <c r="AP49" s="38">
        <v>8.0</v>
      </c>
      <c r="AQ49" s="158"/>
      <c r="AR49" s="158"/>
      <c r="AS49" s="159"/>
      <c r="AT49" s="23"/>
      <c r="AU49" s="159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42" t="s">
        <v>34</v>
      </c>
      <c r="D51" s="43"/>
      <c r="E51" s="43"/>
      <c r="F51" s="43"/>
      <c r="G51" s="43"/>
      <c r="H51" s="43"/>
      <c r="I51" s="43"/>
      <c r="J51" s="43"/>
      <c r="K51" s="43"/>
      <c r="L51" s="23"/>
      <c r="M51" s="5"/>
      <c r="N51" s="1"/>
      <c r="O51" s="42" t="s">
        <v>34</v>
      </c>
      <c r="P51" s="43"/>
      <c r="Q51" s="43"/>
      <c r="R51" s="43"/>
      <c r="S51" s="43"/>
      <c r="T51" s="43"/>
      <c r="U51" s="43"/>
      <c r="V51" s="43"/>
      <c r="W51" s="43"/>
      <c r="X51" s="23"/>
      <c r="Y51" s="2"/>
      <c r="Z51" s="11"/>
      <c r="AA51" s="152" t="s">
        <v>34</v>
      </c>
      <c r="AB51" s="43"/>
      <c r="AC51" s="43"/>
      <c r="AD51" s="43"/>
      <c r="AE51" s="43"/>
      <c r="AF51" s="43"/>
      <c r="AG51" s="43"/>
      <c r="AH51" s="43"/>
      <c r="AI51" s="43"/>
      <c r="AJ51" s="23"/>
      <c r="AK51" s="2"/>
      <c r="AL51" s="11"/>
      <c r="AM51" s="152" t="s">
        <v>34</v>
      </c>
      <c r="AN51" s="43"/>
      <c r="AO51" s="43"/>
      <c r="AP51" s="43"/>
      <c r="AQ51" s="43"/>
      <c r="AR51" s="43"/>
      <c r="AS51" s="43"/>
      <c r="AT51" s="43"/>
      <c r="AU51" s="43"/>
      <c r="AV51" s="23"/>
    </row>
    <row r="52" ht="20.25" customHeight="1">
      <c r="A52" s="1"/>
      <c r="B52" s="16"/>
      <c r="C52" s="16"/>
      <c r="D52" s="16"/>
      <c r="E52" s="16"/>
      <c r="F52" s="16"/>
      <c r="G52" s="53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3"/>
      <c r="T52" s="1"/>
      <c r="U52" s="1"/>
      <c r="V52" s="1"/>
      <c r="W52" s="1"/>
      <c r="X52" s="1"/>
      <c r="Y52" s="54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3"/>
      <c r="H53" s="55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55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56" t="s">
        <v>53</v>
      </c>
      <c r="C54" s="9"/>
      <c r="D54" s="9"/>
      <c r="E54" s="9"/>
      <c r="F54" s="10"/>
      <c r="G54" s="5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57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58" t="s">
        <v>6</v>
      </c>
      <c r="C56" s="9"/>
      <c r="D56" s="10"/>
      <c r="E56" s="59" t="s">
        <v>7</v>
      </c>
      <c r="F56" s="59" t="s">
        <v>54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0"/>
      <c r="F57" s="60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1" t="s">
        <v>55</v>
      </c>
      <c r="C58" s="9"/>
      <c r="D58" s="9"/>
      <c r="E58" s="9"/>
      <c r="F58" s="10"/>
      <c r="G58" s="6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3" t="s">
        <v>56</v>
      </c>
      <c r="C60" s="9"/>
      <c r="D60" s="10"/>
      <c r="E60" s="64">
        <v>1.0</v>
      </c>
      <c r="F60" s="65" t="s">
        <v>57</v>
      </c>
      <c r="G60" s="66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0"/>
      <c r="F61" s="60"/>
      <c r="G61" s="66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3" t="s">
        <v>58</v>
      </c>
      <c r="C62" s="9"/>
      <c r="D62" s="10"/>
      <c r="E62" s="64">
        <v>1.0</v>
      </c>
      <c r="F62" s="65" t="s">
        <v>59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0"/>
      <c r="F63" s="60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67" t="s">
        <v>60</v>
      </c>
      <c r="C64" s="9"/>
      <c r="D64" s="10"/>
      <c r="E64" s="68">
        <v>1.0</v>
      </c>
      <c r="F64" s="69" t="s">
        <v>59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0"/>
      <c r="F65" s="60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73" t="s">
        <v>141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73" t="s">
        <v>142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73" t="s">
        <v>143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73"/>
      <c r="C72" s="71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73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2"/>
      <c r="E76" s="72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2"/>
      <c r="E77" s="72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2"/>
      <c r="E78" s="72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2"/>
      <c r="E79" s="72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2"/>
      <c r="E80" s="72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6"/>
      <c r="E95" s="3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6"/>
      <c r="E96" s="3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6"/>
      <c r="E97" s="3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6"/>
      <c r="E98" s="3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6"/>
      <c r="E99" s="3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6"/>
      <c r="E100" s="3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6"/>
      <c r="E101" s="3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6"/>
      <c r="E102" s="3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6"/>
      <c r="E103" s="3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6"/>
      <c r="E104" s="3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6"/>
      <c r="E105" s="3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6"/>
      <c r="E106" s="3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6"/>
      <c r="E107" s="3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6"/>
      <c r="E108" s="3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6"/>
      <c r="E109" s="3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6"/>
      <c r="E110" s="3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6"/>
      <c r="E111" s="3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6"/>
      <c r="E112" s="3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6"/>
      <c r="E113" s="3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6"/>
      <c r="E114" s="3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6"/>
      <c r="E115" s="3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6"/>
      <c r="E116" s="3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6"/>
      <c r="E117" s="3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6"/>
      <c r="E118" s="3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6"/>
      <c r="E119" s="3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6"/>
      <c r="E120" s="36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6"/>
      <c r="E121" s="36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6"/>
      <c r="E122" s="36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6"/>
      <c r="E123" s="3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6"/>
      <c r="E124" s="3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6"/>
      <c r="E125" s="3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6"/>
      <c r="E126" s="3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6"/>
      <c r="E127" s="3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6"/>
      <c r="E128" s="3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6"/>
      <c r="E129" s="3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6"/>
      <c r="E130" s="3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6"/>
      <c r="E131" s="3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6"/>
      <c r="E132" s="3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6"/>
      <c r="E133" s="3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6"/>
      <c r="E134" s="3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6"/>
      <c r="E135" s="3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6"/>
      <c r="E136" s="3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6"/>
      <c r="E137" s="3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6"/>
      <c r="E138" s="3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6"/>
      <c r="E139" s="3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6"/>
      <c r="E140" s="3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6"/>
      <c r="E141" s="3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6"/>
      <c r="E142" s="3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6"/>
      <c r="E143" s="3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6"/>
      <c r="E144" s="3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6"/>
      <c r="E145" s="3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6"/>
      <c r="E146" s="3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6"/>
      <c r="E147" s="3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6"/>
      <c r="E148" s="3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6"/>
      <c r="E149" s="3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6"/>
      <c r="E150" s="3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6"/>
      <c r="E151" s="3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6"/>
      <c r="E152" s="3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6"/>
      <c r="E153" s="3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6"/>
      <c r="E154" s="3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6"/>
      <c r="E155" s="3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6"/>
      <c r="E156" s="3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6"/>
      <c r="E157" s="3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6"/>
      <c r="E158" s="3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6"/>
      <c r="E159" s="3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3"/>
      <c r="D160" s="36"/>
      <c r="E160" s="3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3"/>
      <c r="D161" s="36"/>
      <c r="E161" s="3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3"/>
      <c r="D162" s="36"/>
      <c r="E162" s="3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3"/>
      <c r="D163" s="36"/>
      <c r="E163" s="3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3"/>
      <c r="D164" s="36"/>
      <c r="E164" s="3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3"/>
      <c r="D165" s="36"/>
      <c r="E165" s="3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3"/>
      <c r="D166" s="36"/>
      <c r="E166" s="3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3"/>
      <c r="D167" s="36"/>
      <c r="E167" s="3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3"/>
      <c r="D168" s="36"/>
      <c r="E168" s="3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3"/>
      <c r="D169" s="36"/>
      <c r="E169" s="3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47"/>
      <c r="C170" s="49"/>
      <c r="D170" s="36"/>
      <c r="E170" s="3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47"/>
      <c r="C171" s="49"/>
      <c r="D171" s="36"/>
      <c r="E171" s="3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47"/>
      <c r="C172" s="49"/>
      <c r="D172" s="36"/>
      <c r="E172" s="3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4" t="s">
        <v>61</v>
      </c>
      <c r="C173" s="75" t="s">
        <v>62</v>
      </c>
      <c r="D173" s="36"/>
      <c r="E173" s="3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4" t="s">
        <v>63</v>
      </c>
      <c r="C174" s="75" t="s">
        <v>64</v>
      </c>
      <c r="D174" s="36"/>
      <c r="E174" s="3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4" t="s">
        <v>65</v>
      </c>
      <c r="C175" s="76">
        <v>24.0</v>
      </c>
      <c r="D175" s="36"/>
      <c r="E175" s="3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4" t="s">
        <v>66</v>
      </c>
      <c r="C176" s="76">
        <v>174.5</v>
      </c>
      <c r="D176" s="36"/>
      <c r="E176" s="3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4" t="s">
        <v>67</v>
      </c>
      <c r="C177" s="76">
        <v>78.0</v>
      </c>
      <c r="D177" s="36"/>
      <c r="E177" s="3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4" t="s">
        <v>68</v>
      </c>
      <c r="C178" s="77" t="s">
        <v>69</v>
      </c>
      <c r="D178" s="36"/>
      <c r="E178" s="3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4" t="s">
        <v>70</v>
      </c>
      <c r="C179" s="77" t="s">
        <v>71</v>
      </c>
      <c r="D179" s="36"/>
      <c r="E179" s="3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4" t="s">
        <v>72</v>
      </c>
      <c r="C180" s="77" t="s">
        <v>73</v>
      </c>
      <c r="D180" s="36"/>
      <c r="E180" s="36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4" t="s">
        <v>74</v>
      </c>
      <c r="C181" s="77" t="s">
        <v>75</v>
      </c>
      <c r="D181" s="36"/>
      <c r="E181" s="36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4" t="s">
        <v>76</v>
      </c>
      <c r="C182" s="77" t="s">
        <v>77</v>
      </c>
      <c r="D182" s="36"/>
      <c r="E182" s="36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47"/>
      <c r="B183" s="74" t="s">
        <v>78</v>
      </c>
      <c r="C183" s="76" t="s">
        <v>79</v>
      </c>
      <c r="D183" s="78"/>
      <c r="E183" s="78"/>
      <c r="F183" s="47"/>
      <c r="G183" s="47"/>
      <c r="H183" s="47"/>
      <c r="I183" s="47"/>
      <c r="J183" s="47"/>
      <c r="K183" s="47"/>
      <c r="L183" s="47"/>
      <c r="M183" s="5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47"/>
    </row>
    <row r="184" ht="20.25" customHeight="1">
      <c r="A184" s="47"/>
      <c r="B184" s="74" t="s">
        <v>80</v>
      </c>
      <c r="C184" s="76">
        <v>0.0</v>
      </c>
      <c r="D184" s="78"/>
      <c r="E184" s="78"/>
      <c r="F184" s="47"/>
      <c r="G184" s="47"/>
      <c r="H184" s="47"/>
      <c r="I184" s="47"/>
      <c r="J184" s="47"/>
      <c r="K184" s="47"/>
      <c r="L184" s="47"/>
      <c r="M184" s="5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47"/>
    </row>
    <row r="185" ht="20.25" customHeight="1">
      <c r="A185" s="47"/>
      <c r="B185" s="74" t="s">
        <v>81</v>
      </c>
      <c r="C185" s="77" t="s">
        <v>82</v>
      </c>
      <c r="D185" s="78"/>
      <c r="E185" s="78"/>
      <c r="F185" s="47"/>
      <c r="G185" s="47"/>
      <c r="H185" s="47"/>
      <c r="I185" s="47"/>
      <c r="J185" s="47"/>
      <c r="K185" s="47"/>
      <c r="L185" s="47"/>
      <c r="M185" s="5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47"/>
    </row>
    <row r="186" ht="20.25" customHeight="1">
      <c r="A186" s="47"/>
      <c r="B186" s="74" t="s">
        <v>83</v>
      </c>
      <c r="C186" s="75" t="s">
        <v>84</v>
      </c>
      <c r="D186" s="78"/>
      <c r="E186" s="78"/>
      <c r="F186" s="47"/>
      <c r="G186" s="47"/>
      <c r="H186" s="47"/>
      <c r="I186" s="47"/>
      <c r="J186" s="47"/>
      <c r="K186" s="47"/>
      <c r="L186" s="47"/>
      <c r="M186" s="5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47"/>
    </row>
    <row r="187" ht="20.25" customHeight="1">
      <c r="A187" s="47"/>
      <c r="B187" s="79"/>
      <c r="C187" s="79"/>
      <c r="D187" s="78"/>
      <c r="E187" s="78"/>
      <c r="F187" s="47"/>
      <c r="G187" s="47"/>
      <c r="H187" s="47"/>
      <c r="I187" s="47"/>
      <c r="J187" s="47"/>
      <c r="K187" s="47"/>
      <c r="L187" s="47"/>
      <c r="M187" s="5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47"/>
    </row>
    <row r="188" ht="20.25" customHeight="1">
      <c r="A188" s="47"/>
      <c r="B188" s="79"/>
      <c r="C188" s="79"/>
      <c r="D188" s="78"/>
      <c r="E188" s="78"/>
      <c r="F188" s="47"/>
      <c r="G188" s="47"/>
      <c r="H188" s="47"/>
      <c r="I188" s="47"/>
      <c r="J188" s="47"/>
      <c r="K188" s="47"/>
      <c r="L188" s="47"/>
      <c r="M188" s="5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</row>
    <row r="189" ht="20.25" customHeight="1">
      <c r="A189" s="47"/>
      <c r="B189" s="79"/>
      <c r="C189" s="79"/>
      <c r="D189" s="78"/>
      <c r="E189" s="78"/>
      <c r="F189" s="47"/>
      <c r="G189" s="47"/>
      <c r="H189" s="47"/>
      <c r="I189" s="47"/>
      <c r="J189" s="47"/>
      <c r="K189" s="47"/>
      <c r="L189" s="47"/>
      <c r="M189" s="5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47"/>
    </row>
    <row r="190" ht="20.25" customHeight="1">
      <c r="A190" s="47"/>
      <c r="B190" s="79"/>
      <c r="C190" s="80"/>
      <c r="D190" s="78"/>
      <c r="E190" s="78"/>
      <c r="F190" s="47"/>
      <c r="G190" s="47"/>
      <c r="H190" s="47"/>
      <c r="I190" s="47"/>
      <c r="J190" s="47"/>
      <c r="K190" s="47"/>
      <c r="L190" s="47"/>
      <c r="M190" s="5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47"/>
    </row>
    <row r="191" ht="20.25" customHeight="1">
      <c r="A191" s="47"/>
      <c r="B191" s="47"/>
      <c r="C191" s="47"/>
      <c r="D191" s="78"/>
      <c r="E191" s="78"/>
      <c r="F191" s="47"/>
      <c r="G191" s="47"/>
      <c r="H191" s="47"/>
      <c r="I191" s="47"/>
      <c r="J191" s="47"/>
      <c r="K191" s="47"/>
      <c r="L191" s="47"/>
      <c r="M191" s="5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47"/>
    </row>
    <row r="192" ht="20.25" customHeight="1">
      <c r="A192" s="1"/>
      <c r="B192" s="47"/>
      <c r="C192" s="47"/>
      <c r="D192" s="36"/>
      <c r="E192" s="3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47"/>
      <c r="C193" s="47"/>
      <c r="D193" s="36"/>
      <c r="E193" s="3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3"/>
      <c r="D194" s="36"/>
      <c r="E194" s="3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3"/>
      <c r="D195" s="36"/>
      <c r="E195" s="3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3"/>
      <c r="D196" s="36"/>
      <c r="E196" s="3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3"/>
      <c r="D197" s="36"/>
      <c r="E197" s="3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3"/>
      <c r="D198" s="36"/>
      <c r="E198" s="3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3"/>
      <c r="D199" s="36"/>
      <c r="E199" s="3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3"/>
      <c r="D200" s="36"/>
      <c r="E200" s="3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3"/>
      <c r="D201" s="36"/>
      <c r="E201" s="3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3"/>
      <c r="D202" s="36"/>
      <c r="E202" s="3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3"/>
      <c r="D203" s="36"/>
      <c r="E203" s="3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3"/>
      <c r="D204" s="36"/>
      <c r="E204" s="3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3"/>
      <c r="D205" s="36"/>
      <c r="E205" s="3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3"/>
      <c r="D206" s="36"/>
      <c r="E206" s="3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3"/>
      <c r="D207" s="36"/>
      <c r="E207" s="3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3"/>
      <c r="D208" s="36"/>
      <c r="E208" s="3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3"/>
      <c r="D209" s="36"/>
      <c r="E209" s="3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3"/>
      <c r="D210" s="36"/>
      <c r="E210" s="3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3"/>
      <c r="D211" s="36"/>
      <c r="E211" s="3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3"/>
      <c r="D212" s="36"/>
      <c r="E212" s="3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3"/>
      <c r="D213" s="36"/>
      <c r="E213" s="3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3"/>
      <c r="D214" s="36"/>
      <c r="E214" s="3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3"/>
      <c r="D215" s="36"/>
      <c r="E215" s="3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3"/>
      <c r="D216" s="36"/>
      <c r="E216" s="3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3"/>
      <c r="D217" s="36"/>
      <c r="E217" s="3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3"/>
      <c r="D218" s="36"/>
      <c r="E218" s="3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3"/>
      <c r="D219" s="36"/>
      <c r="E219" s="3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3"/>
      <c r="D220" s="36"/>
      <c r="E220" s="3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3"/>
      <c r="D221" s="36"/>
      <c r="E221" s="3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3"/>
      <c r="D222" s="36"/>
      <c r="E222" s="3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3"/>
      <c r="D223" s="36"/>
      <c r="E223" s="3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3"/>
      <c r="D224" s="36"/>
      <c r="E224" s="3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3"/>
      <c r="D225" s="36"/>
      <c r="E225" s="3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3"/>
      <c r="D226" s="36"/>
      <c r="E226" s="3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3"/>
      <c r="D227" s="36"/>
      <c r="E227" s="3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3"/>
      <c r="D228" s="36"/>
      <c r="E228" s="3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3"/>
      <c r="D229" s="36"/>
      <c r="E229" s="3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3"/>
      <c r="D230" s="36"/>
      <c r="E230" s="3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3"/>
      <c r="D231" s="36"/>
      <c r="E231" s="3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3"/>
      <c r="D232" s="36"/>
      <c r="E232" s="3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3"/>
      <c r="D233" s="36"/>
      <c r="E233" s="3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3"/>
      <c r="D234" s="36"/>
      <c r="E234" s="3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3"/>
      <c r="D235" s="36"/>
      <c r="E235" s="3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3"/>
      <c r="D236" s="36"/>
      <c r="E236" s="3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3"/>
      <c r="D237" s="36"/>
      <c r="E237" s="3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3"/>
      <c r="D238" s="36"/>
      <c r="E238" s="3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3"/>
      <c r="D239" s="36"/>
      <c r="E239" s="3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3"/>
      <c r="D240" s="36"/>
      <c r="E240" s="3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3"/>
      <c r="D241" s="36"/>
      <c r="E241" s="3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3"/>
      <c r="D242" s="36"/>
      <c r="E242" s="3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3"/>
      <c r="D243" s="36"/>
      <c r="E243" s="3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3"/>
      <c r="D244" s="36"/>
      <c r="E244" s="3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3"/>
      <c r="D245" s="36"/>
      <c r="E245" s="3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3"/>
      <c r="D246" s="36"/>
      <c r="E246" s="3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3"/>
      <c r="D247" s="36"/>
      <c r="E247" s="3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3"/>
      <c r="D248" s="36"/>
      <c r="E248" s="3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3"/>
      <c r="D249" s="36"/>
      <c r="E249" s="3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3"/>
      <c r="D250" s="36"/>
      <c r="E250" s="3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3"/>
      <c r="D251" s="36"/>
      <c r="E251" s="3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3"/>
      <c r="D252" s="36"/>
      <c r="E252" s="3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3"/>
      <c r="D253" s="36"/>
      <c r="E253" s="3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3"/>
      <c r="D254" s="36"/>
      <c r="E254" s="3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3"/>
      <c r="D255" s="36"/>
      <c r="E255" s="3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3"/>
      <c r="D256" s="36"/>
      <c r="E256" s="3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3"/>
      <c r="D257" s="36"/>
      <c r="E257" s="3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3"/>
      <c r="D258" s="36"/>
      <c r="E258" s="3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3"/>
      <c r="D259" s="36"/>
      <c r="E259" s="3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3"/>
      <c r="D260" s="36"/>
      <c r="E260" s="3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3"/>
      <c r="D261" s="36"/>
      <c r="E261" s="3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3"/>
      <c r="D262" s="36"/>
      <c r="E262" s="3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3"/>
      <c r="D263" s="36"/>
      <c r="E263" s="3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3"/>
      <c r="D264" s="36"/>
      <c r="E264" s="3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3"/>
      <c r="D265" s="36"/>
      <c r="E265" s="3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3"/>
      <c r="D266" s="36"/>
      <c r="E266" s="3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3"/>
      <c r="D267" s="36"/>
      <c r="E267" s="3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3"/>
      <c r="D268" s="36"/>
      <c r="E268" s="3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3"/>
      <c r="D269" s="36"/>
      <c r="E269" s="3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3"/>
      <c r="D270" s="36"/>
      <c r="E270" s="3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3"/>
      <c r="D271" s="36"/>
      <c r="E271" s="3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3"/>
      <c r="D272" s="36"/>
      <c r="E272" s="3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3"/>
      <c r="D273" s="36"/>
      <c r="E273" s="3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3"/>
      <c r="D274" s="36"/>
      <c r="E274" s="3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3"/>
      <c r="D275" s="36"/>
      <c r="E275" s="3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3"/>
      <c r="D276" s="36"/>
      <c r="E276" s="3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3"/>
      <c r="D277" s="36"/>
      <c r="E277" s="3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3"/>
      <c r="D278" s="36"/>
      <c r="E278" s="3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3"/>
      <c r="D279" s="36"/>
      <c r="E279" s="3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3"/>
      <c r="D280" s="36"/>
      <c r="E280" s="3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3"/>
      <c r="D281" s="36"/>
      <c r="E281" s="3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3"/>
      <c r="D282" s="36"/>
      <c r="E282" s="3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3"/>
      <c r="D283" s="36"/>
      <c r="E283" s="3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3"/>
      <c r="D284" s="36"/>
      <c r="E284" s="3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3"/>
      <c r="D285" s="36"/>
      <c r="E285" s="3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3"/>
      <c r="D286" s="36"/>
      <c r="E286" s="3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3"/>
      <c r="D287" s="36"/>
      <c r="E287" s="3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3"/>
      <c r="D288" s="36"/>
      <c r="E288" s="3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3"/>
      <c r="D289" s="36"/>
      <c r="E289" s="3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3"/>
      <c r="D290" s="36"/>
      <c r="E290" s="3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3"/>
      <c r="D291" s="36"/>
      <c r="E291" s="3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3"/>
      <c r="D292" s="36"/>
      <c r="E292" s="3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3"/>
      <c r="D293" s="36"/>
      <c r="E293" s="3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3"/>
      <c r="D294" s="36"/>
      <c r="E294" s="3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3"/>
      <c r="D295" s="36"/>
      <c r="E295" s="3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3"/>
      <c r="D296" s="36"/>
      <c r="E296" s="3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3"/>
      <c r="D297" s="36"/>
      <c r="E297" s="3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3"/>
      <c r="D298" s="36"/>
      <c r="E298" s="3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3"/>
      <c r="D299" s="36"/>
      <c r="E299" s="3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3"/>
      <c r="D300" s="36"/>
      <c r="E300" s="3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3"/>
      <c r="D301" s="36"/>
      <c r="E301" s="3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3"/>
      <c r="D302" s="36"/>
      <c r="E302" s="3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3"/>
      <c r="D303" s="36"/>
      <c r="E303" s="3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3"/>
      <c r="D304" s="36"/>
      <c r="E304" s="3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3"/>
      <c r="D305" s="36"/>
      <c r="E305" s="3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3"/>
      <c r="D306" s="36"/>
      <c r="E306" s="3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3"/>
      <c r="D307" s="36"/>
      <c r="E307" s="3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3"/>
      <c r="D308" s="36"/>
      <c r="E308" s="3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3"/>
      <c r="D309" s="36"/>
      <c r="E309" s="3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3"/>
      <c r="D310" s="36"/>
      <c r="E310" s="3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3"/>
      <c r="D311" s="36"/>
      <c r="E311" s="3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3"/>
      <c r="D312" s="36"/>
      <c r="E312" s="3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3"/>
      <c r="D313" s="36"/>
      <c r="E313" s="3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3"/>
      <c r="D314" s="36"/>
      <c r="E314" s="3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3"/>
      <c r="D315" s="36"/>
      <c r="E315" s="3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3"/>
      <c r="D316" s="36"/>
      <c r="E316" s="3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3"/>
      <c r="D317" s="36"/>
      <c r="E317" s="3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3"/>
      <c r="D318" s="36"/>
      <c r="E318" s="3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3"/>
      <c r="D319" s="36"/>
      <c r="E319" s="3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3"/>
      <c r="D320" s="36"/>
      <c r="E320" s="3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3"/>
      <c r="D321" s="36"/>
      <c r="E321" s="3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3"/>
      <c r="D322" s="36"/>
      <c r="E322" s="3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3"/>
      <c r="D323" s="36"/>
      <c r="E323" s="3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3"/>
      <c r="D324" s="36"/>
      <c r="E324" s="3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3"/>
      <c r="D325" s="36"/>
      <c r="E325" s="3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3"/>
      <c r="D326" s="36"/>
      <c r="E326" s="3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3"/>
      <c r="D327" s="36"/>
      <c r="E327" s="3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3"/>
      <c r="D328" s="36"/>
      <c r="E328" s="3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3"/>
      <c r="D329" s="36"/>
      <c r="E329" s="3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3"/>
      <c r="D330" s="36"/>
      <c r="E330" s="3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3"/>
      <c r="D331" s="36"/>
      <c r="E331" s="3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3"/>
      <c r="D332" s="36"/>
      <c r="E332" s="3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3"/>
      <c r="D333" s="36"/>
      <c r="E333" s="3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3"/>
      <c r="D334" s="36"/>
      <c r="E334" s="3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3"/>
      <c r="D335" s="36"/>
      <c r="E335" s="3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3"/>
      <c r="D336" s="36"/>
      <c r="E336" s="3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3"/>
      <c r="D337" s="36"/>
      <c r="E337" s="3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3"/>
      <c r="D338" s="36"/>
      <c r="E338" s="3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3"/>
      <c r="D339" s="36"/>
      <c r="E339" s="3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3"/>
      <c r="D340" s="36"/>
      <c r="E340" s="3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3"/>
      <c r="D341" s="36"/>
      <c r="E341" s="3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3"/>
      <c r="D342" s="36"/>
      <c r="E342" s="3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3"/>
      <c r="D343" s="36"/>
      <c r="E343" s="3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3"/>
      <c r="D344" s="36"/>
      <c r="E344" s="3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3"/>
      <c r="D345" s="36"/>
      <c r="E345" s="3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3"/>
      <c r="D346" s="36"/>
      <c r="E346" s="3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3"/>
      <c r="D347" s="36"/>
      <c r="E347" s="3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3"/>
      <c r="D348" s="36"/>
      <c r="E348" s="3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3"/>
      <c r="D349" s="36"/>
      <c r="E349" s="3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3"/>
      <c r="D350" s="36"/>
      <c r="E350" s="3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3"/>
      <c r="D351" s="36"/>
      <c r="E351" s="3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3"/>
      <c r="D352" s="36"/>
      <c r="E352" s="3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3"/>
      <c r="D353" s="36"/>
      <c r="E353" s="3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3"/>
      <c r="D354" s="36"/>
      <c r="E354" s="3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3"/>
      <c r="D355" s="36"/>
      <c r="E355" s="3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3"/>
      <c r="D356" s="36"/>
      <c r="E356" s="3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3"/>
      <c r="D357" s="36"/>
      <c r="E357" s="3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3"/>
      <c r="D358" s="36"/>
      <c r="E358" s="3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3"/>
      <c r="D359" s="36"/>
      <c r="E359" s="3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3"/>
      <c r="D360" s="36"/>
      <c r="E360" s="3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3"/>
      <c r="D361" s="36"/>
      <c r="E361" s="3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3"/>
      <c r="D362" s="36"/>
      <c r="E362" s="3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3"/>
      <c r="D363" s="36"/>
      <c r="E363" s="3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3"/>
      <c r="D364" s="36"/>
      <c r="E364" s="3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3"/>
      <c r="D365" s="36"/>
      <c r="E365" s="3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3"/>
      <c r="D366" s="36"/>
      <c r="E366" s="3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3"/>
      <c r="D367" s="36"/>
      <c r="E367" s="3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3"/>
      <c r="D368" s="36"/>
      <c r="E368" s="3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3"/>
      <c r="D369" s="36"/>
      <c r="E369" s="3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3"/>
      <c r="D370" s="36"/>
      <c r="E370" s="3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3"/>
      <c r="D371" s="36"/>
      <c r="E371" s="3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3"/>
      <c r="D372" s="36"/>
      <c r="E372" s="3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3"/>
      <c r="D373" s="36"/>
      <c r="E373" s="3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3"/>
      <c r="D374" s="36"/>
      <c r="E374" s="3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3"/>
      <c r="D375" s="36"/>
      <c r="E375" s="3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3"/>
      <c r="D376" s="36"/>
      <c r="E376" s="3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3"/>
      <c r="D377" s="36"/>
      <c r="E377" s="3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3"/>
      <c r="D378" s="36"/>
      <c r="E378" s="3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3"/>
      <c r="D379" s="36"/>
      <c r="E379" s="3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3"/>
      <c r="D380" s="36"/>
      <c r="E380" s="3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3"/>
      <c r="D381" s="36"/>
      <c r="E381" s="3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3"/>
      <c r="D382" s="36"/>
      <c r="E382" s="3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3"/>
      <c r="D383" s="36"/>
      <c r="E383" s="3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3"/>
      <c r="D384" s="36"/>
      <c r="E384" s="3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3"/>
      <c r="D385" s="36"/>
      <c r="E385" s="3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3"/>
      <c r="D386" s="36"/>
      <c r="E386" s="3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3"/>
      <c r="D387" s="36"/>
      <c r="E387" s="3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3"/>
      <c r="D388" s="36"/>
      <c r="E388" s="3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3"/>
      <c r="D389" s="36"/>
      <c r="E389" s="3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3"/>
      <c r="D390" s="36"/>
      <c r="E390" s="3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3"/>
      <c r="D391" s="36"/>
      <c r="E391" s="3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3"/>
      <c r="D392" s="36"/>
      <c r="E392" s="3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3"/>
      <c r="D393" s="36"/>
      <c r="E393" s="3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3"/>
      <c r="D394" s="36"/>
      <c r="E394" s="3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3"/>
      <c r="D395" s="36"/>
      <c r="E395" s="3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3"/>
      <c r="D396" s="36"/>
      <c r="E396" s="3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3"/>
      <c r="D397" s="36"/>
      <c r="E397" s="3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3"/>
      <c r="D398" s="36"/>
      <c r="E398" s="3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3"/>
      <c r="D399" s="36"/>
      <c r="E399" s="3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3"/>
      <c r="D400" s="36"/>
      <c r="E400" s="3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3"/>
      <c r="D401" s="36"/>
      <c r="E401" s="3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3"/>
      <c r="D402" s="36"/>
      <c r="E402" s="3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3"/>
      <c r="D403" s="36"/>
      <c r="E403" s="3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3"/>
      <c r="D404" s="36"/>
      <c r="E404" s="3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3"/>
      <c r="D405" s="36"/>
      <c r="E405" s="3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3"/>
      <c r="D406" s="36"/>
      <c r="E406" s="3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3"/>
      <c r="D407" s="36"/>
      <c r="E407" s="3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3"/>
      <c r="D408" s="36"/>
      <c r="E408" s="3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3"/>
      <c r="D409" s="36"/>
      <c r="E409" s="3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3"/>
      <c r="D410" s="36"/>
      <c r="E410" s="3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3"/>
      <c r="D411" s="36"/>
      <c r="E411" s="3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3"/>
      <c r="D412" s="36"/>
      <c r="E412" s="3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3"/>
      <c r="D413" s="36"/>
      <c r="E413" s="3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3"/>
      <c r="D414" s="36"/>
      <c r="E414" s="3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3"/>
      <c r="D415" s="36"/>
      <c r="E415" s="3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3"/>
      <c r="D416" s="36"/>
      <c r="E416" s="3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3"/>
      <c r="D417" s="36"/>
      <c r="E417" s="3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3"/>
      <c r="D418" s="36"/>
      <c r="E418" s="3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3"/>
      <c r="D419" s="36"/>
      <c r="E419" s="3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3"/>
      <c r="D420" s="36"/>
      <c r="E420" s="3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3"/>
      <c r="D421" s="36"/>
      <c r="E421" s="3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3"/>
      <c r="D422" s="36"/>
      <c r="E422" s="3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3"/>
      <c r="D423" s="36"/>
      <c r="E423" s="3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3"/>
      <c r="D424" s="36"/>
      <c r="E424" s="3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3"/>
      <c r="D425" s="36"/>
      <c r="E425" s="3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3"/>
      <c r="D426" s="36"/>
      <c r="E426" s="3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3"/>
      <c r="D427" s="36"/>
      <c r="E427" s="3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3"/>
      <c r="D428" s="36"/>
      <c r="E428" s="3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3"/>
      <c r="D429" s="36"/>
      <c r="E429" s="3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3"/>
      <c r="D430" s="36"/>
      <c r="E430" s="3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3"/>
      <c r="D431" s="36"/>
      <c r="E431" s="3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3"/>
      <c r="D432" s="36"/>
      <c r="E432" s="3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3"/>
      <c r="D433" s="36"/>
      <c r="E433" s="3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3"/>
      <c r="D434" s="36"/>
      <c r="E434" s="3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3"/>
      <c r="D435" s="36"/>
      <c r="E435" s="3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3"/>
      <c r="D436" s="36"/>
      <c r="E436" s="3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3"/>
      <c r="D437" s="36"/>
      <c r="E437" s="3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3"/>
      <c r="D438" s="36"/>
      <c r="E438" s="3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3"/>
      <c r="D439" s="36"/>
      <c r="E439" s="3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3"/>
      <c r="D440" s="36"/>
      <c r="E440" s="3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3"/>
      <c r="D441" s="36"/>
      <c r="E441" s="3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3"/>
      <c r="D442" s="36"/>
      <c r="E442" s="3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3"/>
      <c r="D443" s="36"/>
      <c r="E443" s="3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3"/>
      <c r="D444" s="36"/>
      <c r="E444" s="3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3"/>
      <c r="D445" s="36"/>
      <c r="E445" s="3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3"/>
      <c r="D446" s="36"/>
      <c r="E446" s="3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3"/>
      <c r="D447" s="36"/>
      <c r="E447" s="3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3"/>
      <c r="D448" s="36"/>
      <c r="E448" s="3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3"/>
      <c r="D449" s="36"/>
      <c r="E449" s="3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3"/>
      <c r="D450" s="36"/>
      <c r="E450" s="3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3"/>
      <c r="D451" s="36"/>
      <c r="E451" s="3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3"/>
      <c r="D452" s="36"/>
      <c r="E452" s="3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3"/>
      <c r="D453" s="36"/>
      <c r="E453" s="3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3"/>
      <c r="D454" s="36"/>
      <c r="E454" s="3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3"/>
      <c r="D455" s="36"/>
      <c r="E455" s="3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3"/>
      <c r="D456" s="36"/>
      <c r="E456" s="3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3"/>
      <c r="D457" s="36"/>
      <c r="E457" s="3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3"/>
      <c r="D458" s="36"/>
      <c r="E458" s="3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3"/>
      <c r="D459" s="36"/>
      <c r="E459" s="3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3"/>
      <c r="D460" s="36"/>
      <c r="E460" s="3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3"/>
      <c r="D461" s="36"/>
      <c r="E461" s="3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3"/>
      <c r="D462" s="36"/>
      <c r="E462" s="3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3"/>
      <c r="D463" s="36"/>
      <c r="E463" s="3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3"/>
      <c r="D464" s="36"/>
      <c r="E464" s="3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3"/>
      <c r="D465" s="36"/>
      <c r="E465" s="3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3"/>
      <c r="D466" s="36"/>
      <c r="E466" s="3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3"/>
      <c r="D467" s="36"/>
      <c r="E467" s="3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3"/>
      <c r="D468" s="36"/>
      <c r="E468" s="3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3"/>
      <c r="D469" s="36"/>
      <c r="E469" s="3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3"/>
      <c r="D470" s="36"/>
      <c r="E470" s="3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3"/>
      <c r="D471" s="36"/>
      <c r="E471" s="3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3"/>
      <c r="D472" s="36"/>
      <c r="E472" s="3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3"/>
      <c r="D473" s="36"/>
      <c r="E473" s="3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3"/>
      <c r="D474" s="36"/>
      <c r="E474" s="3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3"/>
      <c r="D475" s="36"/>
      <c r="E475" s="3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3"/>
      <c r="D476" s="36"/>
      <c r="E476" s="3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3"/>
      <c r="D477" s="36"/>
      <c r="E477" s="3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3"/>
      <c r="D478" s="36"/>
      <c r="E478" s="3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3"/>
      <c r="D479" s="36"/>
      <c r="E479" s="3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3"/>
      <c r="D480" s="36"/>
      <c r="E480" s="3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3"/>
      <c r="D481" s="36"/>
      <c r="E481" s="3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3"/>
      <c r="D482" s="36"/>
      <c r="E482" s="3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3"/>
      <c r="D483" s="36"/>
      <c r="E483" s="3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3"/>
      <c r="D484" s="36"/>
      <c r="E484" s="3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3"/>
      <c r="D485" s="36"/>
      <c r="E485" s="3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3"/>
      <c r="D486" s="36"/>
      <c r="E486" s="3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3"/>
      <c r="D487" s="36"/>
      <c r="E487" s="3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3"/>
      <c r="D488" s="36"/>
      <c r="E488" s="3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3"/>
      <c r="D489" s="36"/>
      <c r="E489" s="3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3"/>
      <c r="D490" s="36"/>
      <c r="E490" s="3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3"/>
      <c r="D491" s="36"/>
      <c r="E491" s="3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3"/>
      <c r="D492" s="36"/>
      <c r="E492" s="3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3"/>
      <c r="D493" s="36"/>
      <c r="E493" s="3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3"/>
      <c r="D494" s="36"/>
      <c r="E494" s="3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3"/>
      <c r="D495" s="36"/>
      <c r="E495" s="3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3"/>
      <c r="D496" s="36"/>
      <c r="E496" s="3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3"/>
      <c r="D497" s="36"/>
      <c r="E497" s="3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3"/>
      <c r="D498" s="36"/>
      <c r="E498" s="3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3"/>
      <c r="D499" s="36"/>
      <c r="E499" s="3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3"/>
      <c r="D500" s="36"/>
      <c r="E500" s="3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3"/>
      <c r="D501" s="36"/>
      <c r="E501" s="3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3"/>
      <c r="D502" s="36"/>
      <c r="E502" s="3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3"/>
      <c r="D503" s="36"/>
      <c r="E503" s="3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3"/>
      <c r="D504" s="36"/>
      <c r="E504" s="3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3"/>
      <c r="D505" s="36"/>
      <c r="E505" s="3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3"/>
      <c r="D506" s="36"/>
      <c r="E506" s="3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3"/>
      <c r="D507" s="36"/>
      <c r="E507" s="3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3"/>
      <c r="D508" s="36"/>
      <c r="E508" s="3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3"/>
      <c r="D509" s="36"/>
      <c r="E509" s="3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3"/>
      <c r="D510" s="36"/>
      <c r="E510" s="3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3"/>
      <c r="D511" s="36"/>
      <c r="E511" s="3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3"/>
      <c r="D512" s="36"/>
      <c r="E512" s="3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3"/>
      <c r="D513" s="36"/>
      <c r="E513" s="3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3"/>
      <c r="D514" s="36"/>
      <c r="E514" s="3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3"/>
      <c r="D515" s="36"/>
      <c r="E515" s="3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3"/>
      <c r="D516" s="36"/>
      <c r="E516" s="3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3"/>
      <c r="D517" s="36"/>
      <c r="E517" s="3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3"/>
      <c r="D518" s="36"/>
      <c r="E518" s="3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3"/>
      <c r="D519" s="36"/>
      <c r="E519" s="3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3"/>
      <c r="D520" s="36"/>
      <c r="E520" s="3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3"/>
      <c r="D521" s="36"/>
      <c r="E521" s="3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3"/>
      <c r="D522" s="36"/>
      <c r="E522" s="3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3"/>
      <c r="D523" s="36"/>
      <c r="E523" s="3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3"/>
      <c r="D524" s="36"/>
      <c r="E524" s="3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3"/>
      <c r="D525" s="36"/>
      <c r="E525" s="3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3"/>
      <c r="D526" s="36"/>
      <c r="E526" s="3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3"/>
      <c r="D527" s="36"/>
      <c r="E527" s="3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3"/>
      <c r="D528" s="36"/>
      <c r="E528" s="3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3"/>
      <c r="D529" s="36"/>
      <c r="E529" s="3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3"/>
      <c r="D530" s="36"/>
      <c r="E530" s="3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3"/>
      <c r="D531" s="36"/>
      <c r="E531" s="3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3"/>
      <c r="D532" s="36"/>
      <c r="E532" s="3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3"/>
      <c r="D533" s="36"/>
      <c r="E533" s="3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3"/>
      <c r="D534" s="36"/>
      <c r="E534" s="3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3"/>
      <c r="D535" s="36"/>
      <c r="E535" s="3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3"/>
      <c r="D536" s="36"/>
      <c r="E536" s="3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3"/>
      <c r="D537" s="36"/>
      <c r="E537" s="3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3"/>
      <c r="D538" s="36"/>
      <c r="E538" s="3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3"/>
      <c r="D539" s="36"/>
      <c r="E539" s="3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3"/>
      <c r="D540" s="36"/>
      <c r="E540" s="3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3"/>
      <c r="D541" s="36"/>
      <c r="E541" s="3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3"/>
      <c r="D542" s="36"/>
      <c r="E542" s="3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3"/>
      <c r="D543" s="36"/>
      <c r="E543" s="3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3"/>
      <c r="D544" s="36"/>
      <c r="E544" s="3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3"/>
      <c r="D545" s="36"/>
      <c r="E545" s="3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3"/>
      <c r="D546" s="36"/>
      <c r="E546" s="3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3"/>
      <c r="D547" s="36"/>
      <c r="E547" s="3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3"/>
      <c r="D548" s="36"/>
      <c r="E548" s="3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3"/>
      <c r="D549" s="36"/>
      <c r="E549" s="3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3"/>
      <c r="D550" s="36"/>
      <c r="E550" s="3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3"/>
      <c r="D551" s="36"/>
      <c r="E551" s="3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3"/>
      <c r="D552" s="36"/>
      <c r="E552" s="3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3"/>
      <c r="D553" s="36"/>
      <c r="E553" s="3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3"/>
      <c r="D554" s="36"/>
      <c r="E554" s="3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3"/>
      <c r="D555" s="36"/>
      <c r="E555" s="3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3"/>
      <c r="D556" s="36"/>
      <c r="E556" s="3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3"/>
      <c r="D557" s="36"/>
      <c r="E557" s="3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3"/>
      <c r="D558" s="36"/>
      <c r="E558" s="3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3"/>
      <c r="D559" s="36"/>
      <c r="E559" s="3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3"/>
      <c r="D560" s="36"/>
      <c r="E560" s="3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3"/>
      <c r="D561" s="36"/>
      <c r="E561" s="3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3"/>
      <c r="D562" s="36"/>
      <c r="E562" s="3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3"/>
      <c r="D563" s="36"/>
      <c r="E563" s="3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3"/>
      <c r="D564" s="36"/>
      <c r="E564" s="3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3"/>
      <c r="D565" s="36"/>
      <c r="E565" s="3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3"/>
      <c r="D566" s="36"/>
      <c r="E566" s="3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3"/>
      <c r="D567" s="36"/>
      <c r="E567" s="3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3"/>
      <c r="D568" s="36"/>
      <c r="E568" s="3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3"/>
      <c r="D569" s="36"/>
      <c r="E569" s="3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3"/>
      <c r="D570" s="36"/>
      <c r="E570" s="3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3"/>
      <c r="D571" s="36"/>
      <c r="E571" s="3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3"/>
      <c r="D572" s="36"/>
      <c r="E572" s="3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3"/>
      <c r="D573" s="36"/>
      <c r="E573" s="3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3"/>
      <c r="D574" s="36"/>
      <c r="E574" s="3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3"/>
      <c r="D575" s="36"/>
      <c r="E575" s="3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3"/>
      <c r="D576" s="36"/>
      <c r="E576" s="3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3"/>
      <c r="D577" s="36"/>
      <c r="E577" s="3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3"/>
      <c r="D578" s="36"/>
      <c r="E578" s="3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3"/>
      <c r="D579" s="36"/>
      <c r="E579" s="3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3"/>
      <c r="D580" s="36"/>
      <c r="E580" s="3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3"/>
      <c r="D581" s="36"/>
      <c r="E581" s="3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3"/>
      <c r="D582" s="36"/>
      <c r="E582" s="3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3"/>
      <c r="D583" s="36"/>
      <c r="E583" s="3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3"/>
      <c r="D584" s="36"/>
      <c r="E584" s="3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3"/>
      <c r="D585" s="36"/>
      <c r="E585" s="3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3"/>
      <c r="D586" s="36"/>
      <c r="E586" s="3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3"/>
      <c r="D587" s="36"/>
      <c r="E587" s="3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3"/>
      <c r="D588" s="36"/>
      <c r="E588" s="3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3"/>
      <c r="D589" s="36"/>
      <c r="E589" s="3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3"/>
      <c r="D590" s="36"/>
      <c r="E590" s="3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3"/>
      <c r="D591" s="36"/>
      <c r="E591" s="3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3"/>
      <c r="D592" s="36"/>
      <c r="E592" s="3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3"/>
      <c r="D593" s="36"/>
      <c r="E593" s="3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3"/>
      <c r="D594" s="36"/>
      <c r="E594" s="3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3"/>
      <c r="D595" s="36"/>
      <c r="E595" s="3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3"/>
      <c r="D596" s="36"/>
      <c r="E596" s="3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3"/>
      <c r="D597" s="36"/>
      <c r="E597" s="3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3"/>
      <c r="D598" s="36"/>
      <c r="E598" s="3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3"/>
      <c r="D599" s="36"/>
      <c r="E599" s="3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3"/>
      <c r="D600" s="36"/>
      <c r="E600" s="3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3"/>
      <c r="D601" s="36"/>
      <c r="E601" s="3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3"/>
      <c r="D602" s="36"/>
      <c r="E602" s="3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3"/>
      <c r="D603" s="36"/>
      <c r="E603" s="3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3"/>
      <c r="D604" s="36"/>
      <c r="E604" s="3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3"/>
      <c r="D605" s="36"/>
      <c r="E605" s="3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3"/>
      <c r="D606" s="36"/>
      <c r="E606" s="3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3"/>
      <c r="D607" s="36"/>
      <c r="E607" s="3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3"/>
      <c r="D608" s="36"/>
      <c r="E608" s="3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3"/>
      <c r="D609" s="36"/>
      <c r="E609" s="3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3"/>
      <c r="D610" s="36"/>
      <c r="E610" s="3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3"/>
      <c r="D611" s="36"/>
      <c r="E611" s="3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3"/>
      <c r="D612" s="36"/>
      <c r="E612" s="3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3"/>
      <c r="D613" s="36"/>
      <c r="E613" s="3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3"/>
      <c r="D614" s="36"/>
      <c r="E614" s="3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3"/>
      <c r="D615" s="36"/>
      <c r="E615" s="3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3"/>
      <c r="D616" s="36"/>
      <c r="E616" s="3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3"/>
      <c r="D617" s="36"/>
      <c r="E617" s="3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3"/>
      <c r="D618" s="36"/>
      <c r="E618" s="3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3"/>
      <c r="D619" s="36"/>
      <c r="E619" s="3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3"/>
      <c r="D620" s="36"/>
      <c r="E620" s="3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3"/>
      <c r="D621" s="36"/>
      <c r="E621" s="3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3"/>
      <c r="D622" s="36"/>
      <c r="E622" s="3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3"/>
      <c r="D623" s="36"/>
      <c r="E623" s="3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3"/>
      <c r="D624" s="36"/>
      <c r="E624" s="3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3"/>
      <c r="D625" s="36"/>
      <c r="E625" s="3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3"/>
      <c r="D626" s="36"/>
      <c r="E626" s="3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3"/>
      <c r="D627" s="36"/>
      <c r="E627" s="3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3"/>
      <c r="D628" s="36"/>
      <c r="E628" s="3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3"/>
      <c r="D629" s="36"/>
      <c r="E629" s="3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3"/>
      <c r="D630" s="36"/>
      <c r="E630" s="3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3"/>
      <c r="D631" s="36"/>
      <c r="E631" s="3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3"/>
      <c r="D632" s="36"/>
      <c r="E632" s="3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3"/>
      <c r="D633" s="36"/>
      <c r="E633" s="3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3"/>
      <c r="D634" s="36"/>
      <c r="E634" s="3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3"/>
      <c r="D635" s="36"/>
      <c r="E635" s="3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3"/>
      <c r="D636" s="36"/>
      <c r="E636" s="3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3"/>
      <c r="D637" s="36"/>
      <c r="E637" s="3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3"/>
      <c r="D638" s="36"/>
      <c r="E638" s="3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3"/>
      <c r="D639" s="36"/>
      <c r="E639" s="3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3"/>
      <c r="D640" s="36"/>
      <c r="E640" s="3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3"/>
      <c r="D641" s="36"/>
      <c r="E641" s="3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3"/>
      <c r="D642" s="36"/>
      <c r="E642" s="3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3"/>
      <c r="D643" s="36"/>
      <c r="E643" s="3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3"/>
      <c r="D644" s="36"/>
      <c r="E644" s="3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3"/>
      <c r="D645" s="36"/>
      <c r="E645" s="3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3"/>
      <c r="D646" s="36"/>
      <c r="E646" s="3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3"/>
      <c r="D647" s="36"/>
      <c r="E647" s="3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3"/>
      <c r="D648" s="36"/>
      <c r="E648" s="3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3"/>
      <c r="D649" s="36"/>
      <c r="E649" s="3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3"/>
      <c r="D650" s="36"/>
      <c r="E650" s="3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3"/>
      <c r="D651" s="36"/>
      <c r="E651" s="3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3"/>
      <c r="D652" s="36"/>
      <c r="E652" s="3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3"/>
      <c r="D653" s="36"/>
      <c r="E653" s="3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3"/>
      <c r="D654" s="36"/>
      <c r="E654" s="3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3"/>
      <c r="D655" s="36"/>
      <c r="E655" s="3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3"/>
      <c r="D656" s="36"/>
      <c r="E656" s="3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3"/>
      <c r="D657" s="36"/>
      <c r="E657" s="3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3"/>
      <c r="D658" s="36"/>
      <c r="E658" s="3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3"/>
      <c r="D659" s="36"/>
      <c r="E659" s="3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3"/>
      <c r="D660" s="36"/>
      <c r="E660" s="3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3"/>
      <c r="D661" s="36"/>
      <c r="E661" s="3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3"/>
      <c r="D662" s="36"/>
      <c r="E662" s="3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3"/>
      <c r="D663" s="36"/>
      <c r="E663" s="3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3"/>
      <c r="D664" s="36"/>
      <c r="E664" s="3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3"/>
      <c r="D665" s="36"/>
      <c r="E665" s="3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3"/>
      <c r="D666" s="36"/>
      <c r="E666" s="3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3"/>
      <c r="D667" s="36"/>
      <c r="E667" s="3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3"/>
      <c r="D668" s="36"/>
      <c r="E668" s="3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3"/>
      <c r="D669" s="36"/>
      <c r="E669" s="3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3"/>
      <c r="D670" s="36"/>
      <c r="E670" s="3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3"/>
      <c r="D671" s="36"/>
      <c r="E671" s="3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3"/>
      <c r="D672" s="36"/>
      <c r="E672" s="3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3"/>
      <c r="D673" s="36"/>
      <c r="E673" s="3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3"/>
      <c r="D674" s="36"/>
      <c r="E674" s="3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3"/>
      <c r="D675" s="36"/>
      <c r="E675" s="3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3"/>
      <c r="D676" s="36"/>
      <c r="E676" s="3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3"/>
      <c r="D677" s="36"/>
      <c r="E677" s="3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3"/>
      <c r="D678" s="36"/>
      <c r="E678" s="3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3"/>
      <c r="D679" s="36"/>
      <c r="E679" s="3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3"/>
      <c r="D680" s="36"/>
      <c r="E680" s="3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3"/>
      <c r="D681" s="36"/>
      <c r="E681" s="3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3"/>
      <c r="D682" s="36"/>
      <c r="E682" s="3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3"/>
      <c r="D683" s="36"/>
      <c r="E683" s="3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3"/>
      <c r="D684" s="36"/>
      <c r="E684" s="3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3"/>
      <c r="D685" s="36"/>
      <c r="E685" s="3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3"/>
      <c r="D686" s="36"/>
      <c r="E686" s="3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3"/>
      <c r="D687" s="36"/>
      <c r="E687" s="3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3"/>
      <c r="D688" s="36"/>
      <c r="E688" s="3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3"/>
      <c r="D689" s="36"/>
      <c r="E689" s="3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3"/>
      <c r="D690" s="36"/>
      <c r="E690" s="3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3"/>
      <c r="D691" s="36"/>
      <c r="E691" s="3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3"/>
      <c r="D692" s="36"/>
      <c r="E692" s="3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3"/>
      <c r="D693" s="36"/>
      <c r="E693" s="3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3"/>
      <c r="D694" s="36"/>
      <c r="E694" s="3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3"/>
      <c r="D695" s="36"/>
      <c r="E695" s="3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3"/>
      <c r="D696" s="36"/>
      <c r="E696" s="3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3"/>
      <c r="D697" s="36"/>
      <c r="E697" s="3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3"/>
      <c r="D698" s="36"/>
      <c r="E698" s="3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3"/>
      <c r="D699" s="36"/>
      <c r="E699" s="3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3"/>
      <c r="D700" s="36"/>
      <c r="E700" s="3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3"/>
      <c r="D701" s="36"/>
      <c r="E701" s="3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3"/>
      <c r="D702" s="36"/>
      <c r="E702" s="3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3"/>
      <c r="D703" s="36"/>
      <c r="E703" s="3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3"/>
      <c r="D704" s="36"/>
      <c r="E704" s="3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3"/>
      <c r="D705" s="36"/>
      <c r="E705" s="3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3"/>
      <c r="D706" s="36"/>
      <c r="E706" s="3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3"/>
      <c r="D707" s="36"/>
      <c r="E707" s="3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3"/>
      <c r="D708" s="36"/>
      <c r="E708" s="3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3"/>
      <c r="D709" s="36"/>
      <c r="E709" s="3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3"/>
      <c r="D710" s="36"/>
      <c r="E710" s="3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3"/>
      <c r="D711" s="36"/>
      <c r="E711" s="3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3"/>
      <c r="D712" s="36"/>
      <c r="E712" s="3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3"/>
      <c r="D713" s="36"/>
      <c r="E713" s="3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3"/>
      <c r="D714" s="36"/>
      <c r="E714" s="3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3"/>
      <c r="D715" s="36"/>
      <c r="E715" s="3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3"/>
      <c r="D716" s="36"/>
      <c r="E716" s="3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3"/>
      <c r="D717" s="36"/>
      <c r="E717" s="3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3"/>
      <c r="D718" s="36"/>
      <c r="E718" s="3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3"/>
      <c r="D719" s="36"/>
      <c r="E719" s="3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3"/>
      <c r="D720" s="36"/>
      <c r="E720" s="3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3"/>
      <c r="D721" s="36"/>
      <c r="E721" s="3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3"/>
      <c r="D722" s="36"/>
      <c r="E722" s="3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3"/>
      <c r="D723" s="36"/>
      <c r="E723" s="3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3"/>
      <c r="D724" s="36"/>
      <c r="E724" s="3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3"/>
      <c r="D725" s="36"/>
      <c r="E725" s="3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3"/>
      <c r="D726" s="36"/>
      <c r="E726" s="3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3"/>
      <c r="D727" s="36"/>
      <c r="E727" s="3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3"/>
      <c r="D728" s="36"/>
      <c r="E728" s="3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3"/>
      <c r="D729" s="36"/>
      <c r="E729" s="3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3"/>
      <c r="D730" s="36"/>
      <c r="E730" s="3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3"/>
      <c r="D731" s="36"/>
      <c r="E731" s="3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3"/>
      <c r="D732" s="36"/>
      <c r="E732" s="3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3"/>
      <c r="D733" s="36"/>
      <c r="E733" s="3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3"/>
      <c r="D734" s="36"/>
      <c r="E734" s="3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3"/>
      <c r="D735" s="36"/>
      <c r="E735" s="3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3"/>
      <c r="D736" s="36"/>
      <c r="E736" s="3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3"/>
      <c r="D737" s="36"/>
      <c r="E737" s="3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3"/>
      <c r="D738" s="36"/>
      <c r="E738" s="3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3"/>
      <c r="D739" s="36"/>
      <c r="E739" s="3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3"/>
      <c r="D740" s="36"/>
      <c r="E740" s="3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3"/>
      <c r="D741" s="36"/>
      <c r="E741" s="3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3"/>
      <c r="D742" s="36"/>
      <c r="E742" s="3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3"/>
      <c r="D743" s="36"/>
      <c r="E743" s="3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3"/>
      <c r="D744" s="36"/>
      <c r="E744" s="3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3"/>
      <c r="D745" s="36"/>
      <c r="E745" s="3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3"/>
      <c r="D746" s="36"/>
      <c r="E746" s="3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3"/>
      <c r="D747" s="36"/>
      <c r="E747" s="3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3"/>
      <c r="D748" s="36"/>
      <c r="E748" s="3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3"/>
      <c r="D749" s="36"/>
      <c r="E749" s="3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3"/>
      <c r="D750" s="36"/>
      <c r="E750" s="3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3"/>
      <c r="D751" s="36"/>
      <c r="E751" s="3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3"/>
      <c r="D752" s="36"/>
      <c r="E752" s="3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3"/>
      <c r="D753" s="36"/>
      <c r="E753" s="3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3"/>
      <c r="D754" s="36"/>
      <c r="E754" s="3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3"/>
      <c r="D755" s="36"/>
      <c r="E755" s="3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3"/>
      <c r="D756" s="36"/>
      <c r="E756" s="3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3"/>
      <c r="D757" s="36"/>
      <c r="E757" s="3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3"/>
      <c r="D758" s="36"/>
      <c r="E758" s="3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3"/>
      <c r="D759" s="36"/>
      <c r="E759" s="3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3"/>
      <c r="D760" s="36"/>
      <c r="E760" s="3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3"/>
      <c r="D761" s="36"/>
      <c r="E761" s="3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3"/>
      <c r="D762" s="36"/>
      <c r="E762" s="3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3"/>
      <c r="D763" s="36"/>
      <c r="E763" s="3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3"/>
      <c r="D764" s="36"/>
      <c r="E764" s="3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3"/>
      <c r="D765" s="36"/>
      <c r="E765" s="3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3"/>
      <c r="D766" s="36"/>
      <c r="E766" s="3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3"/>
      <c r="D767" s="36"/>
      <c r="E767" s="3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3"/>
      <c r="D768" s="36"/>
      <c r="E768" s="3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3"/>
      <c r="D769" s="36"/>
      <c r="E769" s="3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3"/>
      <c r="D770" s="36"/>
      <c r="E770" s="3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3"/>
      <c r="D771" s="36"/>
      <c r="E771" s="3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3"/>
      <c r="D772" s="36"/>
      <c r="E772" s="3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3"/>
      <c r="D773" s="36"/>
      <c r="E773" s="3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3"/>
      <c r="D774" s="36"/>
      <c r="E774" s="3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3"/>
      <c r="D775" s="36"/>
      <c r="E775" s="3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3"/>
      <c r="D776" s="36"/>
      <c r="E776" s="3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3"/>
      <c r="D777" s="36"/>
      <c r="E777" s="3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3"/>
      <c r="D778" s="36"/>
      <c r="E778" s="3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3"/>
      <c r="D779" s="36"/>
      <c r="E779" s="3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3"/>
      <c r="D780" s="36"/>
      <c r="E780" s="3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3"/>
      <c r="D781" s="36"/>
      <c r="E781" s="3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3"/>
      <c r="D782" s="36"/>
      <c r="E782" s="3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3"/>
      <c r="D783" s="36"/>
      <c r="E783" s="3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3"/>
      <c r="D784" s="36"/>
      <c r="E784" s="3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3"/>
      <c r="D785" s="36"/>
      <c r="E785" s="3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3"/>
      <c r="D786" s="36"/>
      <c r="E786" s="3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3"/>
      <c r="D787" s="36"/>
      <c r="E787" s="3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3"/>
      <c r="D788" s="36"/>
      <c r="E788" s="3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3"/>
      <c r="D789" s="36"/>
      <c r="E789" s="3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3"/>
      <c r="D790" s="36"/>
      <c r="E790" s="3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3"/>
      <c r="D791" s="36"/>
      <c r="E791" s="3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3"/>
      <c r="D792" s="36"/>
      <c r="E792" s="3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3"/>
      <c r="D793" s="36"/>
      <c r="E793" s="3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3"/>
      <c r="D794" s="36"/>
      <c r="E794" s="3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3"/>
      <c r="D795" s="36"/>
      <c r="E795" s="3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3"/>
      <c r="D796" s="36"/>
      <c r="E796" s="3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3"/>
      <c r="D797" s="36"/>
      <c r="E797" s="3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3"/>
      <c r="D798" s="36"/>
      <c r="E798" s="3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3"/>
      <c r="D799" s="36"/>
      <c r="E799" s="3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3"/>
      <c r="D800" s="36"/>
      <c r="E800" s="3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3"/>
      <c r="D801" s="36"/>
      <c r="E801" s="3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3"/>
      <c r="D802" s="36"/>
      <c r="E802" s="3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3"/>
      <c r="D803" s="36"/>
      <c r="E803" s="3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3"/>
      <c r="D804" s="36"/>
      <c r="E804" s="3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3"/>
      <c r="D805" s="36"/>
      <c r="E805" s="3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3"/>
      <c r="D806" s="36"/>
      <c r="E806" s="3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3"/>
      <c r="D807" s="36"/>
      <c r="E807" s="3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3"/>
      <c r="D808" s="36"/>
      <c r="E808" s="3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3"/>
      <c r="D809" s="36"/>
      <c r="E809" s="3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3"/>
      <c r="D810" s="36"/>
      <c r="E810" s="3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3"/>
      <c r="D811" s="36"/>
      <c r="E811" s="3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3"/>
      <c r="D812" s="36"/>
      <c r="E812" s="3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3"/>
      <c r="D813" s="36"/>
      <c r="E813" s="3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3"/>
      <c r="D814" s="36"/>
      <c r="E814" s="3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3"/>
      <c r="D815" s="36"/>
      <c r="E815" s="3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3"/>
      <c r="D816" s="36"/>
      <c r="E816" s="3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3"/>
      <c r="D817" s="36"/>
      <c r="E817" s="3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3"/>
      <c r="D818" s="36"/>
      <c r="E818" s="3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3"/>
      <c r="D819" s="36"/>
      <c r="E819" s="3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3"/>
      <c r="D820" s="36"/>
      <c r="E820" s="3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3"/>
      <c r="D821" s="36"/>
      <c r="E821" s="3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3"/>
      <c r="D822" s="36"/>
      <c r="E822" s="3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3"/>
      <c r="D823" s="36"/>
      <c r="E823" s="3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3"/>
      <c r="D824" s="36"/>
      <c r="E824" s="3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3"/>
      <c r="D825" s="36"/>
      <c r="E825" s="3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3"/>
      <c r="D826" s="36"/>
      <c r="E826" s="3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3"/>
      <c r="D827" s="36"/>
      <c r="E827" s="3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3"/>
      <c r="D828" s="36"/>
      <c r="E828" s="3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3"/>
      <c r="D829" s="36"/>
      <c r="E829" s="3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3"/>
      <c r="D830" s="36"/>
      <c r="E830" s="3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3"/>
      <c r="D831" s="36"/>
      <c r="E831" s="3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3"/>
      <c r="D832" s="36"/>
      <c r="E832" s="3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3"/>
      <c r="D833" s="36"/>
      <c r="E833" s="3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3"/>
      <c r="D834" s="36"/>
      <c r="E834" s="3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3"/>
      <c r="D835" s="36"/>
      <c r="E835" s="3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3"/>
      <c r="D836" s="36"/>
      <c r="E836" s="3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3"/>
      <c r="D837" s="36"/>
      <c r="E837" s="3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3"/>
      <c r="D838" s="36"/>
      <c r="E838" s="3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3"/>
      <c r="D839" s="36"/>
      <c r="E839" s="3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3"/>
      <c r="D840" s="36"/>
      <c r="E840" s="3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3"/>
      <c r="D841" s="36"/>
      <c r="E841" s="3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3"/>
      <c r="D842" s="36"/>
      <c r="E842" s="3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3"/>
      <c r="D843" s="36"/>
      <c r="E843" s="3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3"/>
      <c r="D844" s="36"/>
      <c r="E844" s="3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3"/>
      <c r="D845" s="36"/>
      <c r="E845" s="3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3"/>
      <c r="D846" s="36"/>
      <c r="E846" s="3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3"/>
      <c r="D847" s="36"/>
      <c r="E847" s="3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3"/>
      <c r="D848" s="36"/>
      <c r="E848" s="3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3"/>
      <c r="D849" s="36"/>
      <c r="E849" s="3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3"/>
      <c r="D850" s="36"/>
      <c r="E850" s="3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3"/>
      <c r="D851" s="36"/>
      <c r="E851" s="3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3"/>
      <c r="D852" s="36"/>
      <c r="E852" s="3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3"/>
      <c r="D853" s="36"/>
      <c r="E853" s="3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3"/>
      <c r="D854" s="36"/>
      <c r="E854" s="3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3"/>
      <c r="D855" s="36"/>
      <c r="E855" s="3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3"/>
      <c r="D856" s="36"/>
      <c r="E856" s="3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3"/>
      <c r="D857" s="36"/>
      <c r="E857" s="3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3"/>
      <c r="D858" s="36"/>
      <c r="E858" s="3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3"/>
      <c r="D859" s="36"/>
      <c r="E859" s="3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3"/>
      <c r="D860" s="36"/>
      <c r="E860" s="3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3"/>
      <c r="D861" s="36"/>
      <c r="E861" s="3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3"/>
      <c r="D862" s="36"/>
      <c r="E862" s="3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3"/>
      <c r="D863" s="36"/>
      <c r="E863" s="3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3"/>
      <c r="D864" s="36"/>
      <c r="E864" s="3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3"/>
      <c r="D865" s="36"/>
      <c r="E865" s="3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3"/>
      <c r="D866" s="36"/>
      <c r="E866" s="3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3"/>
      <c r="D867" s="36"/>
      <c r="E867" s="3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3"/>
      <c r="D868" s="36"/>
      <c r="E868" s="3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3"/>
      <c r="D869" s="36"/>
      <c r="E869" s="3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3"/>
      <c r="D870" s="36"/>
      <c r="E870" s="3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3"/>
      <c r="D871" s="36"/>
      <c r="E871" s="3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3"/>
      <c r="D872" s="36"/>
      <c r="E872" s="3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3"/>
      <c r="D873" s="36"/>
      <c r="E873" s="3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3"/>
      <c r="D874" s="36"/>
      <c r="E874" s="3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3"/>
      <c r="D875" s="36"/>
      <c r="E875" s="3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3"/>
      <c r="D876" s="36"/>
      <c r="E876" s="3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3"/>
      <c r="D877" s="36"/>
      <c r="E877" s="3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3"/>
      <c r="D878" s="36"/>
      <c r="E878" s="3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3"/>
      <c r="D879" s="36"/>
      <c r="E879" s="3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3"/>
      <c r="D880" s="36"/>
      <c r="E880" s="3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3"/>
      <c r="D881" s="36"/>
      <c r="E881" s="3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3"/>
      <c r="D882" s="36"/>
      <c r="E882" s="3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3"/>
      <c r="D883" s="36"/>
      <c r="E883" s="3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3"/>
      <c r="D884" s="36"/>
      <c r="E884" s="3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3"/>
      <c r="D885" s="36"/>
      <c r="E885" s="3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3"/>
      <c r="D886" s="36"/>
      <c r="E886" s="3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3"/>
      <c r="D887" s="36"/>
      <c r="E887" s="3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3"/>
      <c r="D888" s="36"/>
      <c r="E888" s="3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3"/>
      <c r="D889" s="36"/>
      <c r="E889" s="3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3"/>
      <c r="D890" s="36"/>
      <c r="E890" s="3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3"/>
      <c r="D891" s="36"/>
      <c r="E891" s="3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3"/>
      <c r="D892" s="36"/>
      <c r="E892" s="3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3"/>
      <c r="D893" s="36"/>
      <c r="E893" s="3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3"/>
      <c r="D894" s="36"/>
      <c r="E894" s="3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3"/>
      <c r="D895" s="36"/>
      <c r="E895" s="3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3"/>
      <c r="D896" s="36"/>
      <c r="E896" s="3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3"/>
      <c r="D897" s="36"/>
      <c r="E897" s="3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3"/>
      <c r="D898" s="36"/>
      <c r="E898" s="3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3"/>
      <c r="D899" s="36"/>
      <c r="E899" s="3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3"/>
      <c r="D900" s="36"/>
      <c r="E900" s="3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3"/>
      <c r="D901" s="36"/>
      <c r="E901" s="3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3"/>
      <c r="D902" s="36"/>
      <c r="E902" s="3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3"/>
      <c r="D903" s="36"/>
      <c r="E903" s="3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3"/>
      <c r="D904" s="36"/>
      <c r="E904" s="3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3"/>
      <c r="D905" s="36"/>
      <c r="E905" s="3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3"/>
      <c r="D906" s="36"/>
      <c r="E906" s="3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3"/>
      <c r="D907" s="36"/>
      <c r="E907" s="3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3"/>
      <c r="D908" s="36"/>
      <c r="E908" s="3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3"/>
      <c r="D909" s="36"/>
      <c r="E909" s="3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3"/>
      <c r="D910" s="36"/>
      <c r="E910" s="3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3"/>
      <c r="D911" s="36"/>
      <c r="E911" s="3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3"/>
      <c r="D912" s="36"/>
      <c r="E912" s="3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3"/>
      <c r="D913" s="36"/>
      <c r="E913" s="3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3"/>
      <c r="D914" s="36"/>
      <c r="E914" s="3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3"/>
      <c r="D915" s="36"/>
      <c r="E915" s="3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3"/>
      <c r="D916" s="36"/>
      <c r="E916" s="3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3"/>
      <c r="D917" s="36"/>
      <c r="E917" s="3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3"/>
      <c r="D918" s="36"/>
      <c r="E918" s="3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3"/>
      <c r="D919" s="36"/>
      <c r="E919" s="3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3"/>
      <c r="D920" s="36"/>
      <c r="E920" s="3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3"/>
      <c r="D921" s="36"/>
      <c r="E921" s="3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3"/>
      <c r="D922" s="36"/>
      <c r="E922" s="3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3"/>
      <c r="D923" s="36"/>
      <c r="E923" s="3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3"/>
      <c r="D924" s="36"/>
      <c r="E924" s="3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3"/>
      <c r="D925" s="36"/>
      <c r="E925" s="3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3"/>
      <c r="D926" s="36"/>
      <c r="E926" s="3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3"/>
      <c r="D927" s="36"/>
      <c r="E927" s="3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3"/>
      <c r="D928" s="36"/>
      <c r="E928" s="3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3"/>
      <c r="D929" s="36"/>
      <c r="E929" s="3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3"/>
      <c r="D930" s="36"/>
      <c r="E930" s="3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3"/>
      <c r="D931" s="36"/>
      <c r="E931" s="3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3"/>
      <c r="D932" s="36"/>
      <c r="E932" s="3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3"/>
      <c r="D933" s="36"/>
      <c r="E933" s="3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3"/>
      <c r="D934" s="36"/>
      <c r="E934" s="3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3"/>
      <c r="D935" s="36"/>
      <c r="E935" s="3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3"/>
      <c r="D936" s="36"/>
      <c r="E936" s="3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3"/>
      <c r="D937" s="36"/>
      <c r="E937" s="3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3"/>
      <c r="D938" s="36"/>
      <c r="E938" s="3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3"/>
      <c r="D939" s="36"/>
      <c r="E939" s="3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3"/>
      <c r="D940" s="36"/>
      <c r="E940" s="3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3"/>
      <c r="D941" s="36"/>
      <c r="E941" s="3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3"/>
      <c r="D942" s="36"/>
      <c r="E942" s="3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3"/>
      <c r="D943" s="36"/>
      <c r="E943" s="3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3"/>
      <c r="D944" s="36"/>
      <c r="E944" s="3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3"/>
      <c r="D945" s="36"/>
      <c r="E945" s="3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3"/>
      <c r="D946" s="36"/>
      <c r="E946" s="3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3"/>
      <c r="D947" s="36"/>
      <c r="E947" s="3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3"/>
      <c r="D948" s="36"/>
      <c r="E948" s="3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3"/>
      <c r="D949" s="36"/>
      <c r="E949" s="3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3"/>
      <c r="D950" s="36"/>
      <c r="E950" s="3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3"/>
      <c r="D951" s="36"/>
      <c r="E951" s="3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3"/>
      <c r="D952" s="36"/>
      <c r="E952" s="3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3"/>
      <c r="D953" s="36"/>
      <c r="E953" s="3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3"/>
      <c r="D954" s="36"/>
      <c r="E954" s="3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3"/>
      <c r="D955" s="36"/>
      <c r="E955" s="3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3"/>
      <c r="D956" s="36"/>
      <c r="E956" s="3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3"/>
      <c r="D957" s="36"/>
      <c r="E957" s="3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3"/>
      <c r="D958" s="36"/>
      <c r="E958" s="3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3"/>
      <c r="D959" s="36"/>
      <c r="E959" s="3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3"/>
      <c r="D960" s="36"/>
      <c r="E960" s="3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3"/>
      <c r="D961" s="36"/>
      <c r="E961" s="3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3"/>
      <c r="D962" s="36"/>
      <c r="E962" s="3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3"/>
      <c r="D963" s="36"/>
      <c r="E963" s="3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3"/>
      <c r="D964" s="36"/>
      <c r="E964" s="3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3"/>
      <c r="D965" s="36"/>
      <c r="E965" s="3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3"/>
      <c r="D966" s="36"/>
      <c r="E966" s="36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3"/>
      <c r="D967" s="36"/>
      <c r="E967" s="36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6"/>
      <c r="E968" s="36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6"/>
      <c r="E969" s="3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6"/>
      <c r="E970" s="3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6"/>
      <c r="E971" s="3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6"/>
      <c r="E972" s="3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6"/>
      <c r="E973" s="3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6"/>
      <c r="E974" s="3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6"/>
      <c r="E975" s="3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6"/>
      <c r="E976" s="36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6"/>
      <c r="E977" s="36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6"/>
      <c r="E978" s="36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81"/>
      <c r="B1" s="81"/>
      <c r="C1" s="81"/>
      <c r="D1" s="81"/>
      <c r="E1" s="81"/>
      <c r="F1" s="82"/>
      <c r="G1" s="82"/>
      <c r="H1" s="82"/>
      <c r="I1" s="82"/>
      <c r="J1" s="82"/>
      <c r="K1" s="82"/>
      <c r="L1" s="16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</row>
    <row r="2">
      <c r="A2" s="81"/>
      <c r="B2" s="81"/>
      <c r="C2" s="81"/>
      <c r="D2" s="81"/>
      <c r="E2" s="81"/>
      <c r="F2" s="82"/>
      <c r="G2" s="82"/>
      <c r="H2" s="82"/>
      <c r="I2" s="82"/>
      <c r="J2" s="82"/>
      <c r="K2" s="82"/>
      <c r="L2" s="16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82"/>
      <c r="N3" s="83"/>
      <c r="O3" s="82"/>
      <c r="P3" s="35"/>
      <c r="Q3" s="35"/>
      <c r="R3" s="35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82"/>
      <c r="N4" s="82"/>
      <c r="O4" s="82"/>
      <c r="P4" s="35"/>
      <c r="Q4" s="16"/>
      <c r="R4" s="16"/>
      <c r="S4" s="16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</row>
    <row r="5">
      <c r="A5" s="71"/>
      <c r="B5" s="71"/>
      <c r="C5" s="84" t="s">
        <v>85</v>
      </c>
      <c r="D5" s="43"/>
      <c r="E5" s="23"/>
      <c r="F5" s="16"/>
      <c r="G5" s="71"/>
      <c r="H5" s="71"/>
      <c r="I5" s="71"/>
      <c r="J5" s="71"/>
      <c r="K5" s="71"/>
      <c r="L5" s="16"/>
      <c r="M5" s="85"/>
      <c r="N5" s="85"/>
      <c r="O5" s="85"/>
      <c r="P5" s="72"/>
      <c r="Q5" s="86"/>
      <c r="R5" s="86"/>
      <c r="S5" s="86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</row>
    <row r="6">
      <c r="A6" s="71"/>
      <c r="B6" s="71"/>
      <c r="C6" s="84" t="s">
        <v>86</v>
      </c>
      <c r="D6" s="43"/>
      <c r="E6" s="23"/>
      <c r="F6" s="16"/>
      <c r="G6" s="71"/>
      <c r="H6" s="71"/>
      <c r="I6" s="71"/>
      <c r="J6" s="71"/>
      <c r="K6" s="16"/>
      <c r="L6" s="16"/>
      <c r="M6" s="85"/>
      <c r="N6" s="85"/>
      <c r="O6" s="85"/>
      <c r="P6" s="72"/>
      <c r="Q6" s="86"/>
      <c r="R6" s="86"/>
      <c r="S6" s="86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</row>
    <row r="7">
      <c r="A7" s="71"/>
      <c r="B7" s="71"/>
      <c r="C7" s="84" t="s">
        <v>144</v>
      </c>
      <c r="D7" s="43"/>
      <c r="E7" s="23"/>
      <c r="F7" s="16"/>
      <c r="G7" s="71"/>
      <c r="H7" s="71"/>
      <c r="I7" s="71"/>
      <c r="J7" s="71"/>
      <c r="K7" s="16"/>
      <c r="L7" s="16"/>
      <c r="M7" s="16"/>
      <c r="N7" s="16"/>
      <c r="O7" s="16"/>
      <c r="P7" s="16"/>
      <c r="Q7" s="16"/>
      <c r="R7" s="16"/>
      <c r="S7" s="16"/>
      <c r="T7" s="87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</row>
    <row r="8">
      <c r="A8" s="71"/>
      <c r="B8" s="71"/>
      <c r="C8" s="84" t="s">
        <v>87</v>
      </c>
      <c r="D8" s="43"/>
      <c r="E8" s="23"/>
      <c r="F8" s="16"/>
      <c r="G8" s="71"/>
      <c r="H8" s="71"/>
      <c r="I8" s="71"/>
      <c r="J8" s="71"/>
      <c r="K8" s="16"/>
      <c r="L8" s="16"/>
      <c r="M8" s="16"/>
      <c r="N8" s="16"/>
      <c r="O8" s="16"/>
      <c r="P8" s="16"/>
      <c r="Q8" s="16"/>
      <c r="R8" s="16"/>
      <c r="S8" s="16"/>
      <c r="T8" s="87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</row>
    <row r="9">
      <c r="A9" s="35"/>
      <c r="B9" s="35"/>
      <c r="C9" s="16"/>
      <c r="D9" s="16"/>
      <c r="E9" s="16"/>
      <c r="F9" s="16"/>
      <c r="G9" s="71"/>
      <c r="H9" s="71"/>
      <c r="I9" s="71"/>
      <c r="J9" s="71"/>
      <c r="K9" s="16"/>
      <c r="L9" s="16"/>
      <c r="M9" s="16"/>
      <c r="N9" s="16"/>
      <c r="O9" s="16"/>
      <c r="P9" s="16"/>
      <c r="Q9" s="16"/>
      <c r="R9" s="16"/>
      <c r="S9" s="16"/>
      <c r="T9" s="87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</row>
    <row r="10">
      <c r="A10" s="35"/>
      <c r="B10" s="35"/>
      <c r="C10" s="16"/>
      <c r="D10" s="16"/>
      <c r="E10" s="16"/>
      <c r="F10" s="16"/>
      <c r="G10" s="88"/>
      <c r="H10" s="88"/>
      <c r="I10" s="88"/>
      <c r="J10" s="88"/>
      <c r="K10" s="88"/>
      <c r="L10" s="16"/>
      <c r="M10" s="16"/>
      <c r="N10" s="16"/>
      <c r="O10" s="16"/>
      <c r="P10" s="16"/>
      <c r="Q10" s="16"/>
      <c r="R10" s="16"/>
      <c r="S10" s="16"/>
      <c r="T10" s="87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</row>
    <row r="11" ht="18.0" customHeight="1">
      <c r="A11" s="35"/>
      <c r="B11" s="35"/>
      <c r="C11" s="16"/>
      <c r="D11" s="16"/>
      <c r="E11" s="16"/>
      <c r="F11" s="16"/>
      <c r="G11" s="88"/>
      <c r="H11" s="88"/>
      <c r="I11" s="88"/>
      <c r="J11" s="88"/>
      <c r="K11" s="88"/>
      <c r="L11" s="16"/>
      <c r="M11" s="16"/>
      <c r="N11" s="16"/>
      <c r="O11" s="16"/>
      <c r="P11" s="16"/>
      <c r="Q11" s="16"/>
      <c r="R11" s="16"/>
      <c r="S11" s="16"/>
      <c r="T11" s="89"/>
      <c r="U11" s="16"/>
      <c r="V11" s="16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</row>
    <row r="12" ht="25.5" customHeight="1">
      <c r="A12" s="35"/>
      <c r="B12" s="35"/>
      <c r="C12" s="90" t="s">
        <v>88</v>
      </c>
      <c r="D12" s="43"/>
      <c r="E12" s="23"/>
      <c r="F12" s="16"/>
      <c r="G12" s="88"/>
      <c r="H12" s="35"/>
      <c r="I12" s="16"/>
      <c r="J12" s="16"/>
      <c r="K12" s="88"/>
      <c r="L12" s="16"/>
      <c r="M12" s="16"/>
      <c r="N12" s="16"/>
      <c r="O12" s="16"/>
      <c r="P12" s="16"/>
      <c r="Q12" s="16"/>
      <c r="R12" s="16"/>
      <c r="S12" s="16"/>
      <c r="T12" s="89"/>
      <c r="U12" s="16"/>
      <c r="V12" s="16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</row>
    <row r="13">
      <c r="A13" s="35"/>
      <c r="B13" s="35"/>
      <c r="C13" s="91" t="s">
        <v>89</v>
      </c>
      <c r="D13" s="92"/>
      <c r="E13" s="23"/>
      <c r="F13" s="16"/>
      <c r="G13" s="88"/>
      <c r="H13" s="35"/>
      <c r="I13" s="16"/>
      <c r="J13" s="16"/>
      <c r="K13" s="88"/>
      <c r="L13" s="16"/>
      <c r="M13" s="16"/>
      <c r="N13" s="16"/>
      <c r="O13" s="16"/>
      <c r="P13" s="16"/>
      <c r="Q13" s="16"/>
      <c r="R13" s="16"/>
      <c r="S13" s="16"/>
      <c r="T13" s="89"/>
      <c r="U13" s="16"/>
      <c r="V13" s="16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</row>
    <row r="14">
      <c r="A14" s="35"/>
      <c r="B14" s="35"/>
      <c r="C14" s="91" t="s">
        <v>65</v>
      </c>
      <c r="D14" s="92"/>
      <c r="E14" s="23"/>
      <c r="F14" s="16"/>
      <c r="G14" s="88"/>
      <c r="H14" s="35"/>
      <c r="I14" s="16"/>
      <c r="J14" s="16"/>
      <c r="K14" s="88"/>
      <c r="L14" s="16"/>
      <c r="M14" s="16"/>
      <c r="N14" s="16"/>
      <c r="O14" s="16"/>
      <c r="P14" s="16"/>
      <c r="Q14" s="16"/>
      <c r="R14" s="16"/>
      <c r="S14" s="16"/>
      <c r="T14" s="89"/>
      <c r="U14" s="16"/>
      <c r="V14" s="16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</row>
    <row r="15">
      <c r="A15" s="93"/>
      <c r="B15" s="93"/>
      <c r="C15" s="91" t="s">
        <v>66</v>
      </c>
      <c r="D15" s="92"/>
      <c r="E15" s="23"/>
      <c r="F15" s="86"/>
      <c r="G15" s="88"/>
      <c r="H15" s="35"/>
      <c r="I15" s="16"/>
      <c r="J15" s="16"/>
      <c r="K15" s="88"/>
      <c r="L15" s="16"/>
      <c r="M15" s="16"/>
      <c r="N15" s="16"/>
      <c r="O15" s="16"/>
      <c r="P15" s="16"/>
      <c r="Q15" s="16"/>
      <c r="R15" s="16"/>
      <c r="S15" s="16"/>
      <c r="T15" s="89"/>
      <c r="U15" s="16"/>
      <c r="V15" s="16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</row>
    <row r="16">
      <c r="A16" s="94"/>
      <c r="B16" s="94"/>
      <c r="C16" s="91" t="s">
        <v>90</v>
      </c>
      <c r="D16" s="95"/>
      <c r="E16" s="23"/>
      <c r="F16" s="86"/>
      <c r="G16" s="88"/>
      <c r="H16" s="35"/>
      <c r="I16" s="16"/>
      <c r="J16" s="16"/>
      <c r="K16" s="88"/>
      <c r="L16" s="16"/>
      <c r="M16" s="16"/>
      <c r="N16" s="16"/>
      <c r="O16" s="16"/>
      <c r="P16" s="16"/>
      <c r="Q16" s="16"/>
      <c r="R16" s="16"/>
      <c r="S16" s="16"/>
      <c r="T16" s="89"/>
      <c r="U16" s="16"/>
      <c r="V16" s="16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</row>
    <row r="17">
      <c r="A17" s="94"/>
      <c r="B17" s="94"/>
      <c r="C17" s="16"/>
      <c r="D17" s="16"/>
      <c r="E17" s="16"/>
      <c r="F17" s="86"/>
      <c r="G17" s="85"/>
      <c r="H17" s="85"/>
      <c r="I17" s="85"/>
      <c r="J17" s="85"/>
      <c r="K17" s="85"/>
      <c r="L17" s="16"/>
      <c r="M17" s="16"/>
      <c r="N17" s="16"/>
      <c r="O17" s="16"/>
      <c r="P17" s="16"/>
      <c r="Q17" s="16"/>
      <c r="R17" s="16"/>
      <c r="S17" s="16"/>
      <c r="T17" s="89"/>
      <c r="U17" s="16"/>
      <c r="V17" s="16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</row>
    <row r="18" ht="22.5" customHeight="1">
      <c r="A18" s="94"/>
      <c r="B18" s="94"/>
      <c r="C18" s="16"/>
      <c r="D18" s="16"/>
      <c r="E18" s="16"/>
      <c r="F18" s="85"/>
      <c r="G18" s="85"/>
      <c r="H18" s="85"/>
      <c r="I18" s="85"/>
      <c r="J18" s="85"/>
      <c r="K18" s="85"/>
      <c r="L18" s="16"/>
      <c r="M18" s="16"/>
      <c r="N18" s="16"/>
      <c r="O18" s="16"/>
      <c r="P18" s="16"/>
      <c r="Q18" s="16"/>
      <c r="R18" s="16"/>
      <c r="S18" s="16"/>
      <c r="T18" s="89"/>
      <c r="U18" s="16"/>
      <c r="V18" s="16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</row>
    <row r="19" ht="30.0" customHeight="1">
      <c r="A19" s="94"/>
      <c r="B19" s="94"/>
      <c r="C19" s="86"/>
      <c r="D19" s="96" t="s">
        <v>0</v>
      </c>
      <c r="E19" s="23"/>
      <c r="F19" s="86"/>
      <c r="G19" s="85"/>
      <c r="H19" s="85"/>
      <c r="I19" s="85"/>
      <c r="J19" s="85"/>
      <c r="K19" s="85"/>
      <c r="L19" s="97" t="s">
        <v>91</v>
      </c>
      <c r="M19" s="97" t="s">
        <v>92</v>
      </c>
      <c r="N19" s="97" t="s">
        <v>67</v>
      </c>
      <c r="O19" s="97" t="s">
        <v>93</v>
      </c>
      <c r="P19" s="174" t="s">
        <v>145</v>
      </c>
      <c r="Q19" s="97" t="s">
        <v>146</v>
      </c>
      <c r="R19" s="97" t="s">
        <v>96</v>
      </c>
      <c r="S19" s="97" t="s">
        <v>97</v>
      </c>
      <c r="T19" s="89"/>
      <c r="U19" s="16"/>
      <c r="V19" s="16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</row>
    <row r="20">
      <c r="A20" s="98"/>
      <c r="B20" s="98"/>
      <c r="C20" s="97" t="s">
        <v>98</v>
      </c>
      <c r="D20" s="97" t="s">
        <v>99</v>
      </c>
      <c r="E20" s="97" t="s">
        <v>100</v>
      </c>
      <c r="F20" s="97" t="s">
        <v>101</v>
      </c>
      <c r="G20" s="85"/>
      <c r="H20" s="99"/>
      <c r="I20" s="100" t="s">
        <v>102</v>
      </c>
      <c r="J20" s="23"/>
      <c r="K20" s="85"/>
      <c r="L20" s="101" t="s">
        <v>103</v>
      </c>
      <c r="M20" s="102">
        <v>45479.0</v>
      </c>
      <c r="N20" s="103"/>
      <c r="O20" s="103"/>
      <c r="P20" s="103"/>
      <c r="Q20" s="103"/>
      <c r="R20" s="103"/>
      <c r="S20" s="103"/>
      <c r="T20" s="89"/>
      <c r="U20" s="16"/>
      <c r="V20" s="16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</row>
    <row r="21">
      <c r="A21" s="72"/>
      <c r="B21" s="72"/>
      <c r="C21" s="104">
        <v>45483.0</v>
      </c>
      <c r="D21" s="105"/>
      <c r="E21" s="105"/>
      <c r="F21" s="105"/>
      <c r="G21" s="85"/>
      <c r="H21" s="106"/>
      <c r="I21" s="104" t="s">
        <v>104</v>
      </c>
      <c r="J21" s="107">
        <v>2700.0</v>
      </c>
      <c r="K21" s="85"/>
      <c r="L21" s="101">
        <v>1.0</v>
      </c>
      <c r="M21" s="108">
        <f t="shared" ref="M21:M32" si="2">M20+7</f>
        <v>45486</v>
      </c>
      <c r="N21" s="109" t="str">
        <f>D28</f>
        <v>#DIV/0!</v>
      </c>
      <c r="O21" s="110" t="str">
        <f t="shared" ref="O21:S21" si="1">C32</f>
        <v/>
      </c>
      <c r="P21" s="110" t="str">
        <f t="shared" si="1"/>
        <v/>
      </c>
      <c r="Q21" s="110" t="str">
        <f t="shared" si="1"/>
        <v/>
      </c>
      <c r="R21" s="110" t="str">
        <f t="shared" si="1"/>
        <v/>
      </c>
      <c r="S21" s="110" t="str">
        <f t="shared" si="1"/>
        <v/>
      </c>
      <c r="T21" s="89"/>
      <c r="U21" s="16"/>
      <c r="V21" s="16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</row>
    <row r="22">
      <c r="A22" s="99"/>
      <c r="B22" s="99"/>
      <c r="C22" s="104">
        <v>45484.0</v>
      </c>
      <c r="D22" s="105"/>
      <c r="E22" s="105"/>
      <c r="F22" s="105"/>
      <c r="G22" s="85"/>
      <c r="H22" s="106"/>
      <c r="I22" s="104" t="s">
        <v>105</v>
      </c>
      <c r="J22" s="107">
        <v>160.0</v>
      </c>
      <c r="K22" s="85"/>
      <c r="L22" s="101">
        <v>2.0</v>
      </c>
      <c r="M22" s="108">
        <f t="shared" si="2"/>
        <v>45493</v>
      </c>
      <c r="N22" s="111" t="str">
        <f>AVERAGE(D55:D61)</f>
        <v>#DIV/0!</v>
      </c>
      <c r="O22" s="112" t="str">
        <f t="shared" ref="O22:S22" si="3">C49</f>
        <v/>
      </c>
      <c r="P22" s="112" t="str">
        <f t="shared" si="3"/>
        <v/>
      </c>
      <c r="Q22" s="112" t="str">
        <f t="shared" si="3"/>
        <v/>
      </c>
      <c r="R22" s="112" t="str">
        <f t="shared" si="3"/>
        <v/>
      </c>
      <c r="S22" s="112" t="str">
        <f t="shared" si="3"/>
        <v/>
      </c>
      <c r="T22" s="89"/>
      <c r="U22" s="16"/>
      <c r="V22" s="16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</row>
    <row r="23">
      <c r="A23" s="113"/>
      <c r="B23" s="113"/>
      <c r="C23" s="104">
        <v>45485.0</v>
      </c>
      <c r="D23" s="105"/>
      <c r="E23" s="105"/>
      <c r="F23" s="105"/>
      <c r="G23" s="85"/>
      <c r="H23" s="106"/>
      <c r="I23" s="104" t="s">
        <v>106</v>
      </c>
      <c r="J23" s="107">
        <v>380.0</v>
      </c>
      <c r="K23" s="85"/>
      <c r="L23" s="101">
        <v>3.0</v>
      </c>
      <c r="M23" s="108">
        <f t="shared" si="2"/>
        <v>45500</v>
      </c>
      <c r="N23" s="105" t="str">
        <f>AVERAGE(D55:D61)</f>
        <v>#DIV/0!</v>
      </c>
      <c r="O23" s="114" t="str">
        <f t="shared" ref="O23:S23" si="4">C66</f>
        <v/>
      </c>
      <c r="P23" s="114" t="str">
        <f t="shared" si="4"/>
        <v/>
      </c>
      <c r="Q23" s="114" t="str">
        <f t="shared" si="4"/>
        <v/>
      </c>
      <c r="R23" s="114" t="str">
        <f t="shared" si="4"/>
        <v/>
      </c>
      <c r="S23" s="114" t="str">
        <f t="shared" si="4"/>
        <v/>
      </c>
      <c r="T23" s="89"/>
      <c r="U23" s="16"/>
      <c r="V23" s="16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</row>
    <row r="24">
      <c r="A24" s="85"/>
      <c r="B24" s="85"/>
      <c r="C24" s="104">
        <v>45486.0</v>
      </c>
      <c r="D24" s="105"/>
      <c r="E24" s="105"/>
      <c r="F24" s="105"/>
      <c r="G24" s="85"/>
      <c r="H24" s="106"/>
      <c r="I24" s="104" t="s">
        <v>107</v>
      </c>
      <c r="J24" s="107">
        <v>60.0</v>
      </c>
      <c r="K24" s="85"/>
      <c r="L24" s="101">
        <v>4.0</v>
      </c>
      <c r="M24" s="108">
        <f t="shared" si="2"/>
        <v>45507</v>
      </c>
      <c r="N24" s="111" t="str">
        <f>AVERAGE(D71:D77)</f>
        <v>#DIV/0!</v>
      </c>
      <c r="O24" s="112" t="str">
        <f t="shared" ref="O24:S24" si="5">C82</f>
        <v/>
      </c>
      <c r="P24" s="112" t="str">
        <f t="shared" si="5"/>
        <v/>
      </c>
      <c r="Q24" s="112" t="str">
        <f t="shared" si="5"/>
        <v/>
      </c>
      <c r="R24" s="112" t="str">
        <f t="shared" si="5"/>
        <v/>
      </c>
      <c r="S24" s="112" t="str">
        <f t="shared" si="5"/>
        <v/>
      </c>
      <c r="T24" s="89"/>
      <c r="U24" s="16"/>
      <c r="V24" s="16"/>
      <c r="W24" s="16"/>
      <c r="X24" s="85"/>
      <c r="Y24" s="85"/>
      <c r="Z24" s="85"/>
      <c r="AA24" s="85"/>
      <c r="AB24" s="85"/>
      <c r="AC24" s="85"/>
      <c r="AD24" s="85"/>
      <c r="AE24" s="85"/>
      <c r="AF24" s="85"/>
      <c r="AG24" s="85"/>
    </row>
    <row r="25">
      <c r="A25" s="113"/>
      <c r="B25" s="113"/>
      <c r="C25" s="104">
        <v>45487.0</v>
      </c>
      <c r="D25" s="105"/>
      <c r="E25" s="105"/>
      <c r="F25" s="105"/>
      <c r="G25" s="85"/>
      <c r="H25" s="85"/>
      <c r="I25" s="85"/>
      <c r="J25" s="85"/>
      <c r="K25" s="85"/>
      <c r="L25" s="101">
        <v>5.0</v>
      </c>
      <c r="M25" s="108">
        <f t="shared" si="2"/>
        <v>45514</v>
      </c>
      <c r="N25" s="105" t="str">
        <f>AVERAGE(D87:D93)</f>
        <v>#DIV/0!</v>
      </c>
      <c r="O25" s="114" t="str">
        <f t="shared" ref="O25:S25" si="6">C98</f>
        <v/>
      </c>
      <c r="P25" s="114" t="str">
        <f t="shared" si="6"/>
        <v/>
      </c>
      <c r="Q25" s="114" t="str">
        <f t="shared" si="6"/>
        <v/>
      </c>
      <c r="R25" s="114" t="str">
        <f t="shared" si="6"/>
        <v/>
      </c>
      <c r="S25" s="114" t="str">
        <f t="shared" si="6"/>
        <v/>
      </c>
      <c r="T25" s="89"/>
      <c r="U25" s="16"/>
      <c r="V25" s="16"/>
      <c r="W25" s="16"/>
      <c r="X25" s="85"/>
      <c r="Y25" s="85"/>
      <c r="Z25" s="85"/>
      <c r="AA25" s="85"/>
      <c r="AB25" s="85"/>
      <c r="AC25" s="85"/>
      <c r="AD25" s="85"/>
      <c r="AE25" s="85"/>
      <c r="AF25" s="85"/>
      <c r="AG25" s="85"/>
    </row>
    <row r="26">
      <c r="A26" s="113"/>
      <c r="B26" s="113"/>
      <c r="C26" s="104">
        <v>45488.0</v>
      </c>
      <c r="D26" s="115"/>
      <c r="E26" s="105"/>
      <c r="F26" s="105"/>
      <c r="G26" s="85"/>
      <c r="H26" s="85"/>
      <c r="I26" s="85"/>
      <c r="J26" s="85"/>
      <c r="K26" s="85"/>
      <c r="L26" s="101">
        <v>6.0</v>
      </c>
      <c r="M26" s="108">
        <f t="shared" si="2"/>
        <v>45521</v>
      </c>
      <c r="N26" s="111" t="str">
        <f>AVERAGE(D103:D109)</f>
        <v>#DIV/0!</v>
      </c>
      <c r="O26" s="112" t="str">
        <f t="shared" ref="O26:S26" si="7">C114</f>
        <v/>
      </c>
      <c r="P26" s="112" t="str">
        <f t="shared" si="7"/>
        <v/>
      </c>
      <c r="Q26" s="112" t="str">
        <f t="shared" si="7"/>
        <v/>
      </c>
      <c r="R26" s="112" t="str">
        <f t="shared" si="7"/>
        <v/>
      </c>
      <c r="S26" s="112" t="str">
        <f t="shared" si="7"/>
        <v/>
      </c>
      <c r="T26" s="89"/>
      <c r="U26" s="16"/>
      <c r="V26" s="16"/>
      <c r="W26" s="16"/>
      <c r="X26" s="85"/>
      <c r="Y26" s="85"/>
      <c r="Z26" s="85"/>
      <c r="AA26" s="85"/>
      <c r="AB26" s="85"/>
      <c r="AC26" s="85"/>
      <c r="AD26" s="85"/>
      <c r="AE26" s="85"/>
      <c r="AF26" s="85"/>
      <c r="AG26" s="85"/>
    </row>
    <row r="27">
      <c r="A27" s="85"/>
      <c r="B27" s="85"/>
      <c r="C27" s="104">
        <v>45489.0</v>
      </c>
      <c r="D27" s="115"/>
      <c r="E27" s="105"/>
      <c r="F27" s="115"/>
      <c r="G27" s="85"/>
      <c r="H27" s="85"/>
      <c r="I27" s="85"/>
      <c r="J27" s="85"/>
      <c r="K27" s="85"/>
      <c r="L27" s="101">
        <v>7.0</v>
      </c>
      <c r="M27" s="108">
        <f t="shared" si="2"/>
        <v>45528</v>
      </c>
      <c r="N27" s="105" t="str">
        <f>AVERAGE(D120:D126)</f>
        <v>#DIV/0!</v>
      </c>
      <c r="O27" s="114" t="str">
        <f t="shared" ref="O27:S27" si="8">C131</f>
        <v/>
      </c>
      <c r="P27" s="114" t="str">
        <f t="shared" si="8"/>
        <v/>
      </c>
      <c r="Q27" s="114" t="str">
        <f t="shared" si="8"/>
        <v/>
      </c>
      <c r="R27" s="114" t="str">
        <f t="shared" si="8"/>
        <v/>
      </c>
      <c r="S27" s="114" t="str">
        <f t="shared" si="8"/>
        <v/>
      </c>
      <c r="T27" s="89"/>
      <c r="U27" s="16"/>
      <c r="V27" s="16"/>
      <c r="W27" s="16"/>
      <c r="X27" s="85"/>
      <c r="Y27" s="85"/>
      <c r="Z27" s="85"/>
      <c r="AA27" s="85"/>
      <c r="AB27" s="85"/>
      <c r="AC27" s="85"/>
      <c r="AD27" s="85"/>
      <c r="AE27" s="85"/>
      <c r="AF27" s="85"/>
      <c r="AG27" s="85"/>
    </row>
    <row r="28">
      <c r="A28" s="113"/>
      <c r="B28" s="113"/>
      <c r="C28" s="116" t="s">
        <v>108</v>
      </c>
      <c r="D28" s="117" t="str">
        <f t="shared" ref="D28:F28" si="9">AVERAGE(D21:D27)</f>
        <v>#DIV/0!</v>
      </c>
      <c r="E28" s="117" t="str">
        <f t="shared" si="9"/>
        <v>#DIV/0!</v>
      </c>
      <c r="F28" s="117" t="str">
        <f t="shared" si="9"/>
        <v>#DIV/0!</v>
      </c>
      <c r="G28" s="85"/>
      <c r="H28" s="85"/>
      <c r="I28" s="85"/>
      <c r="J28" s="85"/>
      <c r="K28" s="85"/>
      <c r="L28" s="101">
        <v>8.0</v>
      </c>
      <c r="M28" s="108">
        <f t="shared" si="2"/>
        <v>45535</v>
      </c>
      <c r="N28" s="111" t="str">
        <f>AVERAGE(D137:D143)</f>
        <v>#DIV/0!</v>
      </c>
      <c r="O28" s="112" t="str">
        <f t="shared" ref="O28:S28" si="10">C148</f>
        <v/>
      </c>
      <c r="P28" s="112" t="str">
        <f t="shared" si="10"/>
        <v/>
      </c>
      <c r="Q28" s="112" t="str">
        <f t="shared" si="10"/>
        <v/>
      </c>
      <c r="R28" s="112" t="str">
        <f t="shared" si="10"/>
        <v/>
      </c>
      <c r="S28" s="112" t="str">
        <f t="shared" si="10"/>
        <v/>
      </c>
      <c r="T28" s="89"/>
      <c r="U28" s="16"/>
      <c r="V28" s="16"/>
      <c r="W28" s="16"/>
      <c r="X28" s="85"/>
      <c r="Y28" s="85"/>
      <c r="Z28" s="85"/>
      <c r="AA28" s="85"/>
      <c r="AB28" s="85"/>
      <c r="AC28" s="85"/>
      <c r="AD28" s="85"/>
      <c r="AE28" s="85"/>
      <c r="AF28" s="85"/>
      <c r="AG28" s="85"/>
    </row>
    <row r="29">
      <c r="A29" s="113"/>
      <c r="B29" s="113"/>
      <c r="C29" s="86"/>
      <c r="D29" s="86"/>
      <c r="E29" s="86"/>
      <c r="F29" s="86"/>
      <c r="G29" s="85"/>
      <c r="H29" s="85"/>
      <c r="I29" s="85"/>
      <c r="J29" s="85"/>
      <c r="K29" s="85"/>
      <c r="L29" s="101">
        <v>9.0</v>
      </c>
      <c r="M29" s="108">
        <f t="shared" si="2"/>
        <v>45542</v>
      </c>
      <c r="N29" s="105" t="str">
        <f>AVERAGE(D153:D159)</f>
        <v>#DIV/0!</v>
      </c>
      <c r="O29" s="114" t="str">
        <f t="shared" ref="O29:S29" si="11">C164</f>
        <v/>
      </c>
      <c r="P29" s="114" t="str">
        <f t="shared" si="11"/>
        <v/>
      </c>
      <c r="Q29" s="114" t="str">
        <f t="shared" si="11"/>
        <v/>
      </c>
      <c r="R29" s="114" t="str">
        <f t="shared" si="11"/>
        <v/>
      </c>
      <c r="S29" s="114" t="str">
        <f t="shared" si="11"/>
        <v/>
      </c>
      <c r="T29" s="89"/>
      <c r="U29" s="16"/>
      <c r="V29" s="16"/>
      <c r="W29" s="16"/>
      <c r="X29" s="85"/>
      <c r="Y29" s="85"/>
      <c r="Z29" s="85"/>
      <c r="AA29" s="85"/>
      <c r="AB29" s="85"/>
      <c r="AC29" s="85"/>
      <c r="AD29" s="85"/>
      <c r="AE29" s="85"/>
      <c r="AF29" s="85"/>
      <c r="AG29" s="85"/>
    </row>
    <row r="30">
      <c r="A30" s="118"/>
      <c r="B30" s="118"/>
      <c r="C30" s="100" t="s">
        <v>109</v>
      </c>
      <c r="D30" s="43"/>
      <c r="E30" s="43"/>
      <c r="F30" s="43"/>
      <c r="G30" s="23"/>
      <c r="H30" s="119"/>
      <c r="I30" s="119"/>
      <c r="J30" s="119"/>
      <c r="K30" s="119"/>
      <c r="L30" s="101">
        <v>10.0</v>
      </c>
      <c r="M30" s="108">
        <f t="shared" si="2"/>
        <v>45549</v>
      </c>
      <c r="N30" s="111" t="str">
        <f>AVERAGE(D169:D175)</f>
        <v>#DIV/0!</v>
      </c>
      <c r="O30" s="112" t="str">
        <f>C164</f>
        <v/>
      </c>
      <c r="P30" s="112" t="str">
        <f t="shared" ref="P30:S30" si="12">D180</f>
        <v/>
      </c>
      <c r="Q30" s="112" t="str">
        <f t="shared" si="12"/>
        <v/>
      </c>
      <c r="R30" s="112" t="str">
        <f t="shared" si="12"/>
        <v/>
      </c>
      <c r="S30" s="112" t="str">
        <f t="shared" si="12"/>
        <v/>
      </c>
      <c r="T30" s="8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</row>
    <row r="31">
      <c r="A31" s="72"/>
      <c r="B31" s="72"/>
      <c r="C31" s="104" t="s">
        <v>93</v>
      </c>
      <c r="D31" s="175" t="s">
        <v>147</v>
      </c>
      <c r="E31" s="104" t="s">
        <v>148</v>
      </c>
      <c r="F31" s="104" t="s">
        <v>96</v>
      </c>
      <c r="G31" s="104" t="s">
        <v>97</v>
      </c>
      <c r="H31" s="119"/>
      <c r="I31" s="119"/>
      <c r="J31" s="119"/>
      <c r="K31" s="119"/>
      <c r="L31" s="101">
        <v>11.0</v>
      </c>
      <c r="M31" s="108">
        <f t="shared" si="2"/>
        <v>45556</v>
      </c>
      <c r="N31" s="105" t="str">
        <f>AVERAGE(D185:D191)</f>
        <v>#DIV/0!</v>
      </c>
      <c r="O31" s="114" t="str">
        <f t="shared" ref="O31:S31" si="13">C196</f>
        <v/>
      </c>
      <c r="P31" s="114" t="str">
        <f t="shared" si="13"/>
        <v/>
      </c>
      <c r="Q31" s="114" t="str">
        <f t="shared" si="13"/>
        <v/>
      </c>
      <c r="R31" s="114" t="str">
        <f t="shared" si="13"/>
        <v/>
      </c>
      <c r="S31" s="114" t="str">
        <f t="shared" si="13"/>
        <v/>
      </c>
      <c r="T31" s="8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</row>
    <row r="32">
      <c r="A32" s="99"/>
      <c r="B32" s="99"/>
      <c r="C32" s="120"/>
      <c r="D32" s="120"/>
      <c r="E32" s="120"/>
      <c r="F32" s="120"/>
      <c r="G32" s="120"/>
      <c r="H32" s="119"/>
      <c r="I32" s="119"/>
      <c r="J32" s="119"/>
      <c r="K32" s="119"/>
      <c r="L32" s="101">
        <v>12.0</v>
      </c>
      <c r="M32" s="108">
        <f t="shared" si="2"/>
        <v>45563</v>
      </c>
      <c r="N32" s="111" t="str">
        <f>AVERAGE(D201:D207)</f>
        <v>#DIV/0!</v>
      </c>
      <c r="O32" s="112" t="str">
        <f t="shared" ref="O32:S32" si="14">C212</f>
        <v/>
      </c>
      <c r="P32" s="112" t="str">
        <f t="shared" si="14"/>
        <v/>
      </c>
      <c r="Q32" s="112" t="str">
        <f t="shared" si="14"/>
        <v/>
      </c>
      <c r="R32" s="112" t="str">
        <f t="shared" si="14"/>
        <v/>
      </c>
      <c r="S32" s="112" t="str">
        <f t="shared" si="14"/>
        <v/>
      </c>
      <c r="T32" s="8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</row>
    <row r="33">
      <c r="A33" s="106"/>
      <c r="B33" s="106"/>
      <c r="C33" s="85"/>
      <c r="D33" s="85"/>
      <c r="E33" s="85"/>
      <c r="F33" s="85"/>
      <c r="G33" s="119"/>
      <c r="H33" s="119"/>
      <c r="I33" s="119"/>
      <c r="J33" s="119"/>
      <c r="K33" s="119"/>
      <c r="L33" s="85"/>
      <c r="M33" s="85"/>
      <c r="N33" s="85"/>
      <c r="O33" s="85"/>
      <c r="P33" s="85"/>
      <c r="Q33" s="85"/>
      <c r="R33" s="85"/>
      <c r="S33" s="85"/>
      <c r="T33" s="8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</row>
    <row r="34">
      <c r="A34" s="85"/>
      <c r="B34" s="85"/>
      <c r="C34" s="16"/>
      <c r="D34" s="16"/>
      <c r="E34" s="16"/>
      <c r="F34" s="16"/>
      <c r="G34" s="119"/>
      <c r="H34" s="119"/>
      <c r="I34" s="119"/>
      <c r="J34" s="119"/>
      <c r="K34" s="119"/>
      <c r="L34" s="16"/>
      <c r="M34" s="85"/>
      <c r="N34" s="71" t="s">
        <v>111</v>
      </c>
      <c r="O34" s="85"/>
      <c r="P34" s="85"/>
      <c r="Q34" s="85"/>
      <c r="R34" s="85"/>
      <c r="S34" s="85"/>
      <c r="T34" s="89"/>
      <c r="U34" s="121" t="s">
        <v>112</v>
      </c>
      <c r="V34" s="23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</row>
    <row r="35">
      <c r="A35" s="85"/>
      <c r="B35" s="85"/>
      <c r="C35" s="16"/>
      <c r="D35" s="16"/>
      <c r="E35" s="16"/>
      <c r="F35" s="16"/>
      <c r="G35" s="119"/>
      <c r="H35" s="119"/>
      <c r="I35" s="119"/>
      <c r="J35" s="119"/>
      <c r="K35" s="119"/>
      <c r="L35" s="85"/>
      <c r="M35" s="85"/>
      <c r="N35" s="85"/>
      <c r="O35" s="85"/>
      <c r="P35" s="85"/>
      <c r="Q35" s="85"/>
      <c r="R35" s="85"/>
      <c r="S35" s="85"/>
      <c r="T35" s="89"/>
      <c r="U35" s="122" t="s">
        <v>113</v>
      </c>
      <c r="V35" s="123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</row>
    <row r="36" ht="31.5" customHeight="1">
      <c r="A36" s="85"/>
      <c r="B36" s="85"/>
      <c r="C36" s="86"/>
      <c r="D36" s="124" t="s">
        <v>1</v>
      </c>
      <c r="E36" s="23"/>
      <c r="F36" s="86"/>
      <c r="G36" s="85"/>
      <c r="H36" s="85"/>
      <c r="I36" s="85"/>
      <c r="J36" s="85"/>
      <c r="K36" s="119"/>
      <c r="L36" s="85"/>
      <c r="M36" s="85"/>
      <c r="N36" s="85"/>
      <c r="O36" s="85"/>
      <c r="P36" s="85"/>
      <c r="Q36" s="85"/>
      <c r="R36" s="85"/>
      <c r="S36" s="85"/>
      <c r="T36" s="89"/>
      <c r="U36" s="122" t="s">
        <v>114</v>
      </c>
      <c r="V36" s="125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</row>
    <row r="37">
      <c r="A37" s="113"/>
      <c r="B37" s="113"/>
      <c r="C37" s="97" t="s">
        <v>98</v>
      </c>
      <c r="D37" s="97" t="s">
        <v>99</v>
      </c>
      <c r="E37" s="97" t="s">
        <v>100</v>
      </c>
      <c r="F37" s="97" t="s">
        <v>101</v>
      </c>
      <c r="G37" s="85"/>
      <c r="H37" s="99"/>
      <c r="I37" s="100" t="s">
        <v>102</v>
      </c>
      <c r="J37" s="23"/>
      <c r="K37" s="119"/>
      <c r="L37" s="85"/>
      <c r="M37" s="85"/>
      <c r="N37" s="85"/>
      <c r="O37" s="85"/>
      <c r="P37" s="85"/>
      <c r="Q37" s="85"/>
      <c r="R37" s="85"/>
      <c r="S37" s="85"/>
      <c r="T37" s="8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</row>
    <row r="38">
      <c r="A38" s="35"/>
      <c r="B38" s="35"/>
      <c r="C38" s="104">
        <v>45483.0</v>
      </c>
      <c r="D38" s="105"/>
      <c r="E38" s="105"/>
      <c r="F38" s="105"/>
      <c r="G38" s="85"/>
      <c r="H38" s="106"/>
      <c r="I38" s="104" t="s">
        <v>104</v>
      </c>
      <c r="J38" s="107">
        <v>2700.0</v>
      </c>
      <c r="K38" s="119"/>
      <c r="L38" s="85"/>
      <c r="M38" s="85"/>
      <c r="N38" s="85"/>
      <c r="O38" s="85"/>
      <c r="P38" s="85"/>
      <c r="Q38" s="85"/>
      <c r="R38" s="85"/>
      <c r="S38" s="85"/>
      <c r="T38" s="8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</row>
    <row r="39">
      <c r="A39" s="119"/>
      <c r="B39" s="119"/>
      <c r="C39" s="104">
        <v>45484.0</v>
      </c>
      <c r="D39" s="105"/>
      <c r="E39" s="105"/>
      <c r="F39" s="105"/>
      <c r="G39" s="85"/>
      <c r="H39" s="106"/>
      <c r="I39" s="104" t="s">
        <v>105</v>
      </c>
      <c r="J39" s="107">
        <v>160.0</v>
      </c>
      <c r="K39" s="119"/>
      <c r="L39" s="85"/>
      <c r="M39" s="85"/>
      <c r="N39" s="85"/>
      <c r="O39" s="85"/>
      <c r="P39" s="85"/>
      <c r="Q39" s="85"/>
      <c r="R39" s="85"/>
      <c r="S39" s="85"/>
      <c r="T39" s="8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</row>
    <row r="40">
      <c r="A40" s="119"/>
      <c r="B40" s="119"/>
      <c r="C40" s="104">
        <v>45485.0</v>
      </c>
      <c r="D40" s="105"/>
      <c r="E40" s="105"/>
      <c r="F40" s="105"/>
      <c r="G40" s="85"/>
      <c r="H40" s="106"/>
      <c r="I40" s="104" t="s">
        <v>106</v>
      </c>
      <c r="J40" s="107">
        <v>380.0</v>
      </c>
      <c r="K40" s="119"/>
      <c r="L40" s="85"/>
      <c r="M40" s="85"/>
      <c r="N40" s="85"/>
      <c r="O40" s="85"/>
      <c r="P40" s="85"/>
      <c r="Q40" s="85"/>
      <c r="R40" s="85"/>
      <c r="S40" s="85"/>
      <c r="T40" s="89"/>
      <c r="U40" s="119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  <c r="AG40" s="119"/>
    </row>
    <row r="41">
      <c r="A41" s="119"/>
      <c r="B41" s="119"/>
      <c r="C41" s="104">
        <v>45486.0</v>
      </c>
      <c r="D41" s="105"/>
      <c r="E41" s="105"/>
      <c r="F41" s="105"/>
      <c r="G41" s="85"/>
      <c r="H41" s="106"/>
      <c r="I41" s="104" t="s">
        <v>107</v>
      </c>
      <c r="J41" s="107">
        <v>60.0</v>
      </c>
      <c r="K41" s="119"/>
      <c r="L41" s="85"/>
      <c r="M41" s="85"/>
      <c r="N41" s="85"/>
      <c r="O41" s="85"/>
      <c r="P41" s="85"/>
      <c r="Q41" s="85"/>
      <c r="R41" s="85"/>
      <c r="S41" s="85"/>
      <c r="T41" s="8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119"/>
    </row>
    <row r="42">
      <c r="A42" s="119"/>
      <c r="B42" s="119"/>
      <c r="C42" s="104">
        <v>45487.0</v>
      </c>
      <c r="D42" s="105"/>
      <c r="E42" s="105"/>
      <c r="F42" s="105"/>
      <c r="G42" s="85"/>
      <c r="H42" s="85"/>
      <c r="I42" s="85"/>
      <c r="J42" s="85"/>
      <c r="K42" s="119"/>
      <c r="L42" s="85"/>
      <c r="M42" s="85"/>
      <c r="N42" s="85"/>
      <c r="O42" s="85"/>
      <c r="P42" s="85"/>
      <c r="Q42" s="85"/>
      <c r="R42" s="85"/>
      <c r="S42" s="85"/>
      <c r="T42" s="8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</row>
    <row r="43">
      <c r="A43" s="81"/>
      <c r="B43" s="81"/>
      <c r="C43" s="104">
        <v>45488.0</v>
      </c>
      <c r="D43" s="115"/>
      <c r="E43" s="105"/>
      <c r="F43" s="105"/>
      <c r="G43" s="85"/>
      <c r="H43" s="85"/>
      <c r="I43" s="85"/>
      <c r="J43" s="85"/>
      <c r="K43" s="81"/>
      <c r="L43" s="85"/>
      <c r="M43" s="85"/>
      <c r="N43" s="85"/>
      <c r="O43" s="85"/>
      <c r="P43" s="85"/>
      <c r="Q43" s="85"/>
      <c r="R43" s="85"/>
      <c r="S43" s="85"/>
      <c r="T43" s="89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</row>
    <row r="44">
      <c r="A44" s="81"/>
      <c r="B44" s="81"/>
      <c r="C44" s="104">
        <v>45489.0</v>
      </c>
      <c r="D44" s="115"/>
      <c r="E44" s="105"/>
      <c r="F44" s="115"/>
      <c r="G44" s="85"/>
      <c r="H44" s="85"/>
      <c r="I44" s="85"/>
      <c r="J44" s="85"/>
      <c r="K44" s="81"/>
      <c r="L44" s="85"/>
      <c r="M44" s="85"/>
      <c r="N44" s="85"/>
      <c r="O44" s="85"/>
      <c r="P44" s="85"/>
      <c r="Q44" s="85"/>
      <c r="R44" s="85"/>
      <c r="S44" s="85"/>
      <c r="T44" s="89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</row>
    <row r="45">
      <c r="A45" s="81"/>
      <c r="B45" s="81"/>
      <c r="C45" s="116" t="s">
        <v>108</v>
      </c>
      <c r="D45" s="117" t="str">
        <f t="shared" ref="D45:F45" si="15">AVERAGE(D38:D44)</f>
        <v>#DIV/0!</v>
      </c>
      <c r="E45" s="117" t="str">
        <f t="shared" si="15"/>
        <v>#DIV/0!</v>
      </c>
      <c r="F45" s="117" t="str">
        <f t="shared" si="15"/>
        <v>#DIV/0!</v>
      </c>
      <c r="G45" s="85"/>
      <c r="H45" s="85"/>
      <c r="I45" s="85"/>
      <c r="J45" s="85"/>
      <c r="K45" s="81"/>
      <c r="L45" s="85"/>
      <c r="M45" s="85"/>
      <c r="N45" s="85"/>
      <c r="O45" s="85"/>
      <c r="P45" s="85"/>
      <c r="Q45" s="85"/>
      <c r="R45" s="85"/>
      <c r="S45" s="85"/>
      <c r="T45" s="89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</row>
    <row r="46">
      <c r="A46" s="81"/>
      <c r="B46" s="81"/>
      <c r="C46" s="86"/>
      <c r="D46" s="86"/>
      <c r="E46" s="86"/>
      <c r="F46" s="86"/>
      <c r="G46" s="85"/>
      <c r="H46" s="85"/>
      <c r="I46" s="85"/>
      <c r="J46" s="85"/>
      <c r="K46" s="81"/>
      <c r="L46" s="85"/>
      <c r="M46" s="85"/>
      <c r="N46" s="85"/>
      <c r="O46" s="85"/>
      <c r="P46" s="85"/>
      <c r="Q46" s="85"/>
      <c r="R46" s="85"/>
      <c r="S46" s="85"/>
      <c r="T46" s="89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</row>
    <row r="47">
      <c r="A47" s="81"/>
      <c r="B47" s="81"/>
      <c r="C47" s="100" t="s">
        <v>109</v>
      </c>
      <c r="D47" s="43"/>
      <c r="E47" s="43"/>
      <c r="F47" s="43"/>
      <c r="G47" s="23"/>
      <c r="H47" s="119"/>
      <c r="I47" s="119"/>
      <c r="J47" s="119"/>
      <c r="K47" s="81"/>
      <c r="L47" s="85"/>
      <c r="M47" s="85"/>
      <c r="N47" s="85"/>
      <c r="O47" s="85"/>
      <c r="P47" s="85"/>
      <c r="Q47" s="85"/>
      <c r="R47" s="85"/>
      <c r="S47" s="85"/>
      <c r="T47" s="89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</row>
    <row r="48">
      <c r="A48" s="81"/>
      <c r="B48" s="81"/>
      <c r="C48" s="104" t="s">
        <v>93</v>
      </c>
      <c r="D48" s="175" t="s">
        <v>147</v>
      </c>
      <c r="E48" s="104" t="s">
        <v>148</v>
      </c>
      <c r="F48" s="104" t="s">
        <v>96</v>
      </c>
      <c r="G48" s="104" t="s">
        <v>97</v>
      </c>
      <c r="H48" s="119"/>
      <c r="I48" s="119"/>
      <c r="J48" s="119"/>
      <c r="K48" s="81"/>
      <c r="L48" s="89"/>
      <c r="M48" s="89"/>
      <c r="N48" s="89"/>
      <c r="O48" s="89"/>
      <c r="P48" s="89"/>
      <c r="Q48" s="89"/>
      <c r="R48" s="89"/>
      <c r="S48" s="89"/>
      <c r="T48" s="89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</row>
    <row r="49">
      <c r="A49" s="81"/>
      <c r="B49" s="81"/>
      <c r="C49" s="120"/>
      <c r="D49" s="120"/>
      <c r="E49" s="120"/>
      <c r="F49" s="120"/>
      <c r="G49" s="120"/>
      <c r="H49" s="119"/>
      <c r="I49" s="119"/>
      <c r="J49" s="119"/>
      <c r="K49" s="81"/>
      <c r="L49" s="89"/>
      <c r="M49" s="89"/>
      <c r="N49" s="89"/>
      <c r="O49" s="89"/>
      <c r="P49" s="89"/>
      <c r="Q49" s="89"/>
      <c r="R49" s="89"/>
      <c r="S49" s="89"/>
      <c r="T49" s="89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16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16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16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</row>
    <row r="53" ht="30.0" customHeight="1">
      <c r="A53" s="81"/>
      <c r="B53" s="81"/>
      <c r="C53" s="86"/>
      <c r="D53" s="124" t="s">
        <v>2</v>
      </c>
      <c r="E53" s="23"/>
      <c r="F53" s="86"/>
      <c r="G53" s="85"/>
      <c r="H53" s="85"/>
      <c r="I53" s="85"/>
      <c r="J53" s="85"/>
      <c r="K53" s="81"/>
      <c r="L53" s="16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</row>
    <row r="54">
      <c r="A54" s="81"/>
      <c r="B54" s="81"/>
      <c r="C54" s="97" t="s">
        <v>98</v>
      </c>
      <c r="D54" s="97" t="s">
        <v>99</v>
      </c>
      <c r="E54" s="97" t="s">
        <v>100</v>
      </c>
      <c r="F54" s="97" t="s">
        <v>101</v>
      </c>
      <c r="G54" s="85"/>
      <c r="H54" s="99"/>
      <c r="I54" s="100" t="s">
        <v>102</v>
      </c>
      <c r="J54" s="23"/>
      <c r="K54" s="81"/>
      <c r="L54" s="16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</row>
    <row r="55">
      <c r="A55" s="81"/>
      <c r="B55" s="81"/>
      <c r="C55" s="104">
        <v>45483.0</v>
      </c>
      <c r="D55" s="105"/>
      <c r="E55" s="105"/>
      <c r="F55" s="105"/>
      <c r="G55" s="85"/>
      <c r="H55" s="106"/>
      <c r="I55" s="104" t="s">
        <v>104</v>
      </c>
      <c r="J55" s="107">
        <v>2700.0</v>
      </c>
      <c r="K55" s="81"/>
      <c r="L55" s="16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</row>
    <row r="56">
      <c r="A56" s="81"/>
      <c r="B56" s="81"/>
      <c r="C56" s="104">
        <v>45484.0</v>
      </c>
      <c r="D56" s="105"/>
      <c r="E56" s="105"/>
      <c r="F56" s="105"/>
      <c r="G56" s="85"/>
      <c r="H56" s="106"/>
      <c r="I56" s="104" t="s">
        <v>105</v>
      </c>
      <c r="J56" s="107">
        <v>160.0</v>
      </c>
      <c r="K56" s="81"/>
      <c r="L56" s="16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</row>
    <row r="57">
      <c r="A57" s="81"/>
      <c r="B57" s="81"/>
      <c r="C57" s="104">
        <v>45485.0</v>
      </c>
      <c r="D57" s="105"/>
      <c r="E57" s="105"/>
      <c r="F57" s="105"/>
      <c r="G57" s="85"/>
      <c r="H57" s="106"/>
      <c r="I57" s="104" t="s">
        <v>106</v>
      </c>
      <c r="J57" s="107">
        <v>380.0</v>
      </c>
      <c r="K57" s="81"/>
      <c r="L57" s="16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</row>
    <row r="58">
      <c r="A58" s="81"/>
      <c r="B58" s="81"/>
      <c r="C58" s="104">
        <v>45486.0</v>
      </c>
      <c r="D58" s="105"/>
      <c r="E58" s="105"/>
      <c r="F58" s="105"/>
      <c r="G58" s="85"/>
      <c r="H58" s="106"/>
      <c r="I58" s="104" t="s">
        <v>107</v>
      </c>
      <c r="J58" s="107">
        <v>60.0</v>
      </c>
      <c r="K58" s="81"/>
      <c r="L58" s="16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</row>
    <row r="59">
      <c r="A59" s="81"/>
      <c r="B59" s="81"/>
      <c r="C59" s="104">
        <v>45487.0</v>
      </c>
      <c r="D59" s="105"/>
      <c r="E59" s="105"/>
      <c r="F59" s="105"/>
      <c r="G59" s="85"/>
      <c r="H59" s="85"/>
      <c r="I59" s="85"/>
      <c r="J59" s="85"/>
      <c r="K59" s="81"/>
      <c r="L59" s="16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</row>
    <row r="60">
      <c r="A60" s="81"/>
      <c r="B60" s="81"/>
      <c r="C60" s="104">
        <v>45488.0</v>
      </c>
      <c r="D60" s="115"/>
      <c r="E60" s="105"/>
      <c r="F60" s="105"/>
      <c r="G60" s="85"/>
      <c r="H60" s="85"/>
      <c r="I60" s="85"/>
      <c r="J60" s="85"/>
      <c r="K60" s="81"/>
      <c r="L60" s="16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</row>
    <row r="61">
      <c r="A61" s="81"/>
      <c r="B61" s="81"/>
      <c r="C61" s="104">
        <v>45489.0</v>
      </c>
      <c r="D61" s="115"/>
      <c r="E61" s="105"/>
      <c r="F61" s="115"/>
      <c r="G61" s="85"/>
      <c r="H61" s="85"/>
      <c r="I61" s="85"/>
      <c r="J61" s="85"/>
      <c r="K61" s="81"/>
      <c r="L61" s="16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</row>
    <row r="62">
      <c r="A62" s="81"/>
      <c r="B62" s="81"/>
      <c r="C62" s="116" t="s">
        <v>108</v>
      </c>
      <c r="D62" s="117" t="str">
        <f t="shared" ref="D62:F62" si="16">AVERAGE(D55:D61)</f>
        <v>#DIV/0!</v>
      </c>
      <c r="E62" s="117" t="str">
        <f t="shared" si="16"/>
        <v>#DIV/0!</v>
      </c>
      <c r="F62" s="117" t="str">
        <f t="shared" si="16"/>
        <v>#DIV/0!</v>
      </c>
      <c r="G62" s="85"/>
      <c r="H62" s="85"/>
      <c r="I62" s="85"/>
      <c r="J62" s="85"/>
      <c r="K62" s="81"/>
      <c r="L62" s="16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</row>
    <row r="63">
      <c r="A63" s="81"/>
      <c r="B63" s="81"/>
      <c r="C63" s="86"/>
      <c r="D63" s="86"/>
      <c r="E63" s="86"/>
      <c r="F63" s="86"/>
      <c r="G63" s="85"/>
      <c r="H63" s="85"/>
      <c r="I63" s="85"/>
      <c r="J63" s="85"/>
      <c r="K63" s="81"/>
      <c r="L63" s="16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</row>
    <row r="64">
      <c r="A64" s="81"/>
      <c r="B64" s="81"/>
      <c r="C64" s="100" t="s">
        <v>109</v>
      </c>
      <c r="D64" s="43"/>
      <c r="E64" s="43"/>
      <c r="F64" s="43"/>
      <c r="G64" s="23"/>
      <c r="H64" s="119"/>
      <c r="I64" s="119"/>
      <c r="J64" s="119"/>
      <c r="K64" s="81"/>
      <c r="L64" s="16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</row>
    <row r="65">
      <c r="A65" s="81"/>
      <c r="B65" s="81"/>
      <c r="C65" s="104" t="s">
        <v>93</v>
      </c>
      <c r="D65" s="175" t="s">
        <v>147</v>
      </c>
      <c r="E65" s="104" t="s">
        <v>148</v>
      </c>
      <c r="F65" s="104" t="s">
        <v>96</v>
      </c>
      <c r="G65" s="104" t="s">
        <v>97</v>
      </c>
      <c r="H65" s="119"/>
      <c r="I65" s="119"/>
      <c r="J65" s="119"/>
      <c r="K65" s="81"/>
      <c r="L65" s="16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</row>
    <row r="66">
      <c r="A66" s="81"/>
      <c r="B66" s="81"/>
      <c r="C66" s="120"/>
      <c r="D66" s="120"/>
      <c r="E66" s="120"/>
      <c r="F66" s="120"/>
      <c r="G66" s="120"/>
      <c r="H66" s="119"/>
      <c r="I66" s="119"/>
      <c r="J66" s="119"/>
      <c r="K66" s="81"/>
      <c r="L66" s="16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</row>
    <row r="67" ht="21.0" customHeight="1">
      <c r="A67" s="81"/>
      <c r="B67" s="81"/>
      <c r="C67" s="81"/>
      <c r="D67" s="81"/>
      <c r="E67" s="81"/>
      <c r="F67" s="81"/>
      <c r="G67" s="81"/>
      <c r="H67" s="119"/>
      <c r="I67" s="119"/>
      <c r="J67" s="119"/>
      <c r="K67" s="81"/>
      <c r="L67" s="16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</row>
    <row r="68" ht="31.5" customHeight="1">
      <c r="A68" s="81"/>
      <c r="B68" s="81"/>
      <c r="C68" s="81"/>
      <c r="D68" s="81"/>
      <c r="E68" s="81"/>
      <c r="F68" s="81"/>
      <c r="G68" s="81"/>
      <c r="H68" s="119"/>
      <c r="I68" s="119"/>
      <c r="J68" s="119"/>
      <c r="K68" s="81"/>
      <c r="L68" s="16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</row>
    <row r="69" ht="30.0" customHeight="1">
      <c r="A69" s="81"/>
      <c r="B69" s="81"/>
      <c r="C69" s="86"/>
      <c r="D69" s="124" t="s">
        <v>3</v>
      </c>
      <c r="E69" s="23"/>
      <c r="F69" s="86"/>
      <c r="G69" s="85"/>
      <c r="H69" s="85"/>
      <c r="I69" s="85"/>
      <c r="J69" s="85"/>
      <c r="K69" s="81"/>
      <c r="L69" s="16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</row>
    <row r="70">
      <c r="A70" s="81"/>
      <c r="B70" s="81"/>
      <c r="C70" s="97" t="s">
        <v>98</v>
      </c>
      <c r="D70" s="97" t="s">
        <v>99</v>
      </c>
      <c r="E70" s="97" t="s">
        <v>100</v>
      </c>
      <c r="F70" s="97" t="s">
        <v>101</v>
      </c>
      <c r="G70" s="85"/>
      <c r="H70" s="99"/>
      <c r="I70" s="100" t="s">
        <v>102</v>
      </c>
      <c r="J70" s="23"/>
      <c r="K70" s="81"/>
      <c r="L70" s="16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</row>
    <row r="71">
      <c r="A71" s="81"/>
      <c r="B71" s="81"/>
      <c r="C71" s="104">
        <v>45483.0</v>
      </c>
      <c r="D71" s="105"/>
      <c r="E71" s="105"/>
      <c r="F71" s="105"/>
      <c r="G71" s="85"/>
      <c r="H71" s="106"/>
      <c r="I71" s="104" t="s">
        <v>104</v>
      </c>
      <c r="J71" s="107">
        <v>2700.0</v>
      </c>
      <c r="K71" s="81"/>
      <c r="L71" s="16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</row>
    <row r="72">
      <c r="A72" s="81"/>
      <c r="B72" s="81"/>
      <c r="C72" s="104">
        <v>45484.0</v>
      </c>
      <c r="D72" s="105"/>
      <c r="E72" s="105"/>
      <c r="F72" s="105"/>
      <c r="G72" s="85"/>
      <c r="H72" s="106"/>
      <c r="I72" s="104" t="s">
        <v>105</v>
      </c>
      <c r="J72" s="107">
        <v>160.0</v>
      </c>
      <c r="K72" s="81"/>
      <c r="L72" s="16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</row>
    <row r="73">
      <c r="A73" s="81"/>
      <c r="B73" s="81"/>
      <c r="C73" s="104">
        <v>45485.0</v>
      </c>
      <c r="D73" s="105"/>
      <c r="E73" s="105"/>
      <c r="F73" s="105"/>
      <c r="G73" s="85"/>
      <c r="H73" s="106"/>
      <c r="I73" s="104" t="s">
        <v>106</v>
      </c>
      <c r="J73" s="107">
        <v>380.0</v>
      </c>
      <c r="K73" s="81"/>
      <c r="L73" s="16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</row>
    <row r="74">
      <c r="A74" s="81"/>
      <c r="B74" s="81"/>
      <c r="C74" s="104">
        <v>45486.0</v>
      </c>
      <c r="D74" s="105"/>
      <c r="E74" s="105"/>
      <c r="F74" s="105"/>
      <c r="G74" s="85"/>
      <c r="H74" s="106"/>
      <c r="I74" s="104" t="s">
        <v>107</v>
      </c>
      <c r="J74" s="107">
        <v>60.0</v>
      </c>
      <c r="K74" s="81"/>
      <c r="L74" s="16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</row>
    <row r="75">
      <c r="A75" s="81"/>
      <c r="B75" s="81"/>
      <c r="C75" s="104">
        <v>45487.0</v>
      </c>
      <c r="D75" s="105"/>
      <c r="E75" s="105"/>
      <c r="F75" s="105"/>
      <c r="G75" s="85"/>
      <c r="H75" s="85"/>
      <c r="I75" s="85"/>
      <c r="J75" s="85"/>
      <c r="K75" s="81"/>
      <c r="L75" s="16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</row>
    <row r="76">
      <c r="A76" s="81"/>
      <c r="B76" s="81"/>
      <c r="C76" s="104">
        <v>45488.0</v>
      </c>
      <c r="D76" s="115"/>
      <c r="E76" s="105"/>
      <c r="F76" s="105"/>
      <c r="G76" s="85"/>
      <c r="H76" s="85"/>
      <c r="I76" s="85"/>
      <c r="J76" s="85"/>
      <c r="K76" s="81"/>
      <c r="L76" s="16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</row>
    <row r="77">
      <c r="A77" s="81"/>
      <c r="B77" s="81"/>
      <c r="C77" s="104">
        <v>45489.0</v>
      </c>
      <c r="D77" s="115"/>
      <c r="E77" s="105"/>
      <c r="F77" s="115"/>
      <c r="G77" s="85"/>
      <c r="H77" s="85"/>
      <c r="I77" s="85"/>
      <c r="J77" s="85"/>
      <c r="K77" s="81"/>
      <c r="L77" s="16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</row>
    <row r="78">
      <c r="A78" s="81"/>
      <c r="B78" s="81"/>
      <c r="C78" s="116" t="s">
        <v>108</v>
      </c>
      <c r="D78" s="117" t="str">
        <f t="shared" ref="D78:F78" si="17">AVERAGE(D71:D77)</f>
        <v>#DIV/0!</v>
      </c>
      <c r="E78" s="117" t="str">
        <f t="shared" si="17"/>
        <v>#DIV/0!</v>
      </c>
      <c r="F78" s="117" t="str">
        <f t="shared" si="17"/>
        <v>#DIV/0!</v>
      </c>
      <c r="G78" s="85"/>
      <c r="H78" s="85"/>
      <c r="I78" s="85"/>
      <c r="J78" s="85"/>
      <c r="K78" s="81"/>
      <c r="L78" s="16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</row>
    <row r="79">
      <c r="A79" s="81"/>
      <c r="B79" s="81"/>
      <c r="C79" s="86"/>
      <c r="D79" s="86"/>
      <c r="E79" s="86"/>
      <c r="F79" s="86"/>
      <c r="G79" s="85"/>
      <c r="H79" s="85"/>
      <c r="I79" s="85"/>
      <c r="J79" s="85"/>
      <c r="K79" s="81"/>
      <c r="L79" s="16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</row>
    <row r="80">
      <c r="A80" s="81"/>
      <c r="B80" s="81"/>
      <c r="C80" s="100" t="s">
        <v>109</v>
      </c>
      <c r="D80" s="43"/>
      <c r="E80" s="43"/>
      <c r="F80" s="43"/>
      <c r="G80" s="23"/>
      <c r="H80" s="119"/>
      <c r="I80" s="119"/>
      <c r="J80" s="119"/>
      <c r="K80" s="81"/>
      <c r="L80" s="16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</row>
    <row r="81">
      <c r="A81" s="81"/>
      <c r="B81" s="81"/>
      <c r="C81" s="104" t="s">
        <v>93</v>
      </c>
      <c r="D81" s="175" t="s">
        <v>147</v>
      </c>
      <c r="E81" s="104" t="s">
        <v>148</v>
      </c>
      <c r="F81" s="104" t="s">
        <v>96</v>
      </c>
      <c r="G81" s="104" t="s">
        <v>97</v>
      </c>
      <c r="H81" s="119"/>
      <c r="I81" s="119"/>
      <c r="J81" s="119"/>
      <c r="K81" s="81"/>
      <c r="L81" s="16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</row>
    <row r="82">
      <c r="A82" s="81"/>
      <c r="B82" s="81"/>
      <c r="C82" s="120"/>
      <c r="D82" s="120"/>
      <c r="E82" s="120"/>
      <c r="F82" s="120"/>
      <c r="G82" s="120"/>
      <c r="H82" s="119"/>
      <c r="I82" s="119"/>
      <c r="J82" s="119"/>
      <c r="K82" s="81"/>
      <c r="L82" s="16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</row>
    <row r="83">
      <c r="A83" s="81"/>
      <c r="B83" s="81"/>
      <c r="C83" s="81"/>
      <c r="D83" s="81"/>
      <c r="E83" s="81"/>
      <c r="F83" s="81"/>
      <c r="G83" s="81"/>
      <c r="H83" s="119"/>
      <c r="I83" s="119"/>
      <c r="J83" s="119"/>
      <c r="K83" s="81"/>
      <c r="L83" s="16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</row>
    <row r="84">
      <c r="A84" s="81"/>
      <c r="B84" s="81"/>
      <c r="C84" s="81"/>
      <c r="D84" s="81"/>
      <c r="E84" s="81"/>
      <c r="F84" s="81"/>
      <c r="G84" s="81"/>
      <c r="H84" s="119"/>
      <c r="I84" s="119"/>
      <c r="J84" s="119"/>
      <c r="K84" s="81"/>
      <c r="L84" s="16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</row>
    <row r="85" ht="30.0" customHeight="1">
      <c r="A85" s="81"/>
      <c r="B85" s="81"/>
      <c r="C85" s="86"/>
      <c r="D85" s="124" t="s">
        <v>115</v>
      </c>
      <c r="E85" s="23"/>
      <c r="F85" s="86"/>
      <c r="G85" s="85"/>
      <c r="H85" s="85"/>
      <c r="I85" s="85"/>
      <c r="J85" s="85"/>
      <c r="K85" s="81"/>
      <c r="L85" s="16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</row>
    <row r="86">
      <c r="A86" s="81"/>
      <c r="B86" s="81"/>
      <c r="C86" s="97" t="s">
        <v>98</v>
      </c>
      <c r="D86" s="97" t="s">
        <v>99</v>
      </c>
      <c r="E86" s="97" t="s">
        <v>100</v>
      </c>
      <c r="F86" s="97" t="s">
        <v>101</v>
      </c>
      <c r="G86" s="85"/>
      <c r="H86" s="99"/>
      <c r="I86" s="100" t="s">
        <v>102</v>
      </c>
      <c r="J86" s="23"/>
      <c r="K86" s="81"/>
      <c r="L86" s="16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</row>
    <row r="87">
      <c r="A87" s="81"/>
      <c r="B87" s="81"/>
      <c r="C87" s="104">
        <v>45483.0</v>
      </c>
      <c r="D87" s="105"/>
      <c r="E87" s="105"/>
      <c r="F87" s="105"/>
      <c r="G87" s="85"/>
      <c r="H87" s="106"/>
      <c r="I87" s="104" t="s">
        <v>104</v>
      </c>
      <c r="J87" s="107">
        <v>2700.0</v>
      </c>
      <c r="K87" s="81"/>
      <c r="L87" s="16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</row>
    <row r="88">
      <c r="A88" s="81"/>
      <c r="B88" s="81"/>
      <c r="C88" s="104">
        <v>45484.0</v>
      </c>
      <c r="D88" s="105"/>
      <c r="E88" s="105"/>
      <c r="F88" s="105"/>
      <c r="G88" s="85"/>
      <c r="H88" s="106"/>
      <c r="I88" s="104" t="s">
        <v>105</v>
      </c>
      <c r="J88" s="107">
        <v>160.0</v>
      </c>
      <c r="K88" s="81"/>
      <c r="L88" s="16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</row>
    <row r="89">
      <c r="A89" s="81"/>
      <c r="B89" s="81"/>
      <c r="C89" s="104">
        <v>45485.0</v>
      </c>
      <c r="D89" s="105"/>
      <c r="E89" s="105"/>
      <c r="F89" s="105"/>
      <c r="G89" s="85"/>
      <c r="H89" s="106"/>
      <c r="I89" s="104" t="s">
        <v>106</v>
      </c>
      <c r="J89" s="107">
        <v>380.0</v>
      </c>
      <c r="K89" s="81"/>
      <c r="L89" s="16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</row>
    <row r="90">
      <c r="A90" s="81"/>
      <c r="B90" s="81"/>
      <c r="C90" s="104">
        <v>45486.0</v>
      </c>
      <c r="D90" s="105"/>
      <c r="E90" s="105"/>
      <c r="F90" s="105"/>
      <c r="G90" s="85"/>
      <c r="H90" s="106"/>
      <c r="I90" s="104" t="s">
        <v>107</v>
      </c>
      <c r="J90" s="107">
        <v>60.0</v>
      </c>
      <c r="K90" s="81"/>
      <c r="L90" s="16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</row>
    <row r="91">
      <c r="A91" s="81"/>
      <c r="B91" s="81"/>
      <c r="C91" s="104">
        <v>45487.0</v>
      </c>
      <c r="D91" s="105"/>
      <c r="E91" s="105"/>
      <c r="F91" s="105"/>
      <c r="G91" s="85"/>
      <c r="H91" s="85"/>
      <c r="I91" s="85"/>
      <c r="J91" s="85"/>
      <c r="K91" s="81"/>
      <c r="L91" s="16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</row>
    <row r="92">
      <c r="A92" s="81"/>
      <c r="B92" s="81"/>
      <c r="C92" s="104">
        <v>45488.0</v>
      </c>
      <c r="D92" s="115"/>
      <c r="E92" s="105"/>
      <c r="F92" s="105"/>
      <c r="G92" s="85"/>
      <c r="H92" s="85"/>
      <c r="I92" s="85"/>
      <c r="J92" s="85"/>
      <c r="K92" s="81"/>
      <c r="L92" s="16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</row>
    <row r="93">
      <c r="A93" s="81"/>
      <c r="B93" s="81"/>
      <c r="C93" s="104">
        <v>45489.0</v>
      </c>
      <c r="D93" s="115"/>
      <c r="E93" s="105"/>
      <c r="F93" s="115"/>
      <c r="G93" s="85"/>
      <c r="H93" s="85"/>
      <c r="I93" s="85"/>
      <c r="J93" s="85"/>
      <c r="K93" s="81"/>
      <c r="L93" s="16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</row>
    <row r="94">
      <c r="A94" s="81"/>
      <c r="B94" s="81"/>
      <c r="C94" s="116" t="s">
        <v>108</v>
      </c>
      <c r="D94" s="117" t="str">
        <f t="shared" ref="D94:F94" si="18">AVERAGE(D87:D93)</f>
        <v>#DIV/0!</v>
      </c>
      <c r="E94" s="117" t="str">
        <f t="shared" si="18"/>
        <v>#DIV/0!</v>
      </c>
      <c r="F94" s="117" t="str">
        <f t="shared" si="18"/>
        <v>#DIV/0!</v>
      </c>
      <c r="G94" s="85"/>
      <c r="H94" s="85"/>
      <c r="I94" s="85"/>
      <c r="J94" s="85"/>
      <c r="K94" s="81"/>
      <c r="L94" s="16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</row>
    <row r="95">
      <c r="A95" s="81"/>
      <c r="B95" s="81"/>
      <c r="C95" s="86"/>
      <c r="D95" s="86"/>
      <c r="E95" s="86"/>
      <c r="F95" s="86"/>
      <c r="G95" s="85"/>
      <c r="H95" s="85"/>
      <c r="I95" s="85"/>
      <c r="J95" s="85"/>
      <c r="K95" s="81"/>
      <c r="L95" s="16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</row>
    <row r="96">
      <c r="A96" s="81"/>
      <c r="B96" s="81"/>
      <c r="C96" s="100" t="s">
        <v>109</v>
      </c>
      <c r="D96" s="43"/>
      <c r="E96" s="43"/>
      <c r="F96" s="43"/>
      <c r="G96" s="23"/>
      <c r="H96" s="119"/>
      <c r="I96" s="119"/>
      <c r="J96" s="119"/>
      <c r="K96" s="81"/>
      <c r="L96" s="16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</row>
    <row r="97">
      <c r="A97" s="81"/>
      <c r="B97" s="81"/>
      <c r="C97" s="104" t="s">
        <v>93</v>
      </c>
      <c r="D97" s="175" t="s">
        <v>147</v>
      </c>
      <c r="E97" s="104" t="s">
        <v>148</v>
      </c>
      <c r="F97" s="104" t="s">
        <v>96</v>
      </c>
      <c r="G97" s="104" t="s">
        <v>97</v>
      </c>
      <c r="H97" s="119"/>
      <c r="I97" s="119"/>
      <c r="J97" s="119"/>
      <c r="K97" s="81"/>
      <c r="L97" s="16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</row>
    <row r="98">
      <c r="A98" s="81"/>
      <c r="B98" s="81"/>
      <c r="C98" s="120"/>
      <c r="D98" s="120"/>
      <c r="E98" s="120"/>
      <c r="F98" s="120"/>
      <c r="G98" s="120"/>
      <c r="H98" s="119"/>
      <c r="I98" s="119"/>
      <c r="J98" s="119"/>
      <c r="K98" s="81"/>
      <c r="L98" s="16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</row>
    <row r="99">
      <c r="A99" s="81"/>
      <c r="B99" s="81"/>
      <c r="C99" s="81"/>
      <c r="D99" s="81"/>
      <c r="E99" s="81"/>
      <c r="F99" s="81"/>
      <c r="G99" s="81"/>
      <c r="H99" s="119"/>
      <c r="I99" s="119"/>
      <c r="J99" s="119"/>
      <c r="K99" s="81"/>
      <c r="L99" s="16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</row>
    <row r="100">
      <c r="A100" s="81"/>
      <c r="B100" s="81"/>
      <c r="C100" s="81"/>
      <c r="D100" s="81"/>
      <c r="E100" s="81"/>
      <c r="F100" s="81"/>
      <c r="G100" s="81"/>
      <c r="H100" s="119"/>
      <c r="I100" s="119"/>
      <c r="J100" s="119"/>
      <c r="K100" s="81"/>
      <c r="L100" s="16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</row>
    <row r="101" ht="27.0" customHeight="1">
      <c r="A101" s="81"/>
      <c r="B101" s="81"/>
      <c r="C101" s="86"/>
      <c r="D101" s="124" t="s">
        <v>116</v>
      </c>
      <c r="E101" s="23"/>
      <c r="F101" s="86"/>
      <c r="G101" s="85"/>
      <c r="H101" s="85"/>
      <c r="I101" s="85"/>
      <c r="J101" s="85"/>
      <c r="K101" s="81"/>
      <c r="L101" s="16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</row>
    <row r="102">
      <c r="A102" s="81"/>
      <c r="B102" s="81"/>
      <c r="C102" s="97" t="s">
        <v>98</v>
      </c>
      <c r="D102" s="97" t="s">
        <v>99</v>
      </c>
      <c r="E102" s="97" t="s">
        <v>100</v>
      </c>
      <c r="F102" s="97" t="s">
        <v>101</v>
      </c>
      <c r="G102" s="85"/>
      <c r="H102" s="99"/>
      <c r="I102" s="100" t="s">
        <v>102</v>
      </c>
      <c r="J102" s="23"/>
      <c r="K102" s="81"/>
      <c r="L102" s="16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</row>
    <row r="103">
      <c r="A103" s="81"/>
      <c r="B103" s="81"/>
      <c r="C103" s="104">
        <v>45483.0</v>
      </c>
      <c r="D103" s="105"/>
      <c r="E103" s="105"/>
      <c r="F103" s="105"/>
      <c r="G103" s="85"/>
      <c r="H103" s="106"/>
      <c r="I103" s="104" t="s">
        <v>104</v>
      </c>
      <c r="J103" s="107">
        <v>2700.0</v>
      </c>
      <c r="K103" s="81"/>
      <c r="L103" s="16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</row>
    <row r="104">
      <c r="A104" s="81"/>
      <c r="B104" s="81"/>
      <c r="C104" s="104">
        <v>45484.0</v>
      </c>
      <c r="D104" s="105"/>
      <c r="E104" s="105"/>
      <c r="F104" s="105"/>
      <c r="G104" s="85"/>
      <c r="H104" s="106"/>
      <c r="I104" s="104" t="s">
        <v>105</v>
      </c>
      <c r="J104" s="107">
        <v>160.0</v>
      </c>
      <c r="K104" s="81"/>
      <c r="L104" s="16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</row>
    <row r="105">
      <c r="A105" s="81"/>
      <c r="B105" s="81"/>
      <c r="C105" s="104">
        <v>45485.0</v>
      </c>
      <c r="D105" s="105"/>
      <c r="E105" s="105"/>
      <c r="F105" s="105"/>
      <c r="G105" s="85"/>
      <c r="H105" s="106"/>
      <c r="I105" s="104" t="s">
        <v>106</v>
      </c>
      <c r="J105" s="107">
        <v>380.0</v>
      </c>
      <c r="K105" s="81"/>
      <c r="L105" s="16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</row>
    <row r="106">
      <c r="A106" s="81"/>
      <c r="B106" s="81"/>
      <c r="C106" s="104">
        <v>45486.0</v>
      </c>
      <c r="D106" s="105"/>
      <c r="E106" s="105"/>
      <c r="F106" s="105"/>
      <c r="G106" s="85"/>
      <c r="H106" s="106"/>
      <c r="I106" s="104" t="s">
        <v>107</v>
      </c>
      <c r="J106" s="107">
        <v>60.0</v>
      </c>
      <c r="K106" s="81"/>
      <c r="L106" s="16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</row>
    <row r="107">
      <c r="A107" s="81"/>
      <c r="B107" s="81"/>
      <c r="C107" s="104">
        <v>45487.0</v>
      </c>
      <c r="D107" s="105"/>
      <c r="E107" s="105"/>
      <c r="F107" s="105"/>
      <c r="G107" s="85"/>
      <c r="H107" s="85"/>
      <c r="I107" s="85"/>
      <c r="J107" s="85"/>
      <c r="K107" s="81"/>
      <c r="L107" s="16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</row>
    <row r="108">
      <c r="A108" s="81"/>
      <c r="B108" s="81"/>
      <c r="C108" s="104">
        <v>45488.0</v>
      </c>
      <c r="D108" s="115"/>
      <c r="E108" s="105"/>
      <c r="F108" s="105"/>
      <c r="G108" s="85"/>
      <c r="H108" s="85"/>
      <c r="I108" s="85"/>
      <c r="J108" s="85"/>
      <c r="K108" s="81"/>
      <c r="L108" s="16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</row>
    <row r="109">
      <c r="A109" s="81"/>
      <c r="B109" s="81"/>
      <c r="C109" s="104">
        <v>45489.0</v>
      </c>
      <c r="D109" s="115"/>
      <c r="E109" s="105"/>
      <c r="F109" s="115"/>
      <c r="G109" s="85"/>
      <c r="H109" s="85"/>
      <c r="I109" s="85"/>
      <c r="J109" s="85"/>
      <c r="K109" s="81"/>
      <c r="L109" s="16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</row>
    <row r="110">
      <c r="A110" s="81"/>
      <c r="B110" s="81"/>
      <c r="C110" s="116" t="s">
        <v>108</v>
      </c>
      <c r="D110" s="117" t="str">
        <f t="shared" ref="D110:F110" si="19">AVERAGE(D103:D109)</f>
        <v>#DIV/0!</v>
      </c>
      <c r="E110" s="117" t="str">
        <f t="shared" si="19"/>
        <v>#DIV/0!</v>
      </c>
      <c r="F110" s="117" t="str">
        <f t="shared" si="19"/>
        <v>#DIV/0!</v>
      </c>
      <c r="G110" s="85"/>
      <c r="H110" s="85"/>
      <c r="I110" s="85"/>
      <c r="J110" s="85"/>
      <c r="K110" s="81"/>
      <c r="L110" s="16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</row>
    <row r="111">
      <c r="A111" s="81"/>
      <c r="B111" s="81"/>
      <c r="C111" s="86"/>
      <c r="D111" s="86"/>
      <c r="E111" s="86"/>
      <c r="F111" s="86"/>
      <c r="G111" s="85"/>
      <c r="H111" s="85"/>
      <c r="I111" s="85"/>
      <c r="J111" s="85"/>
      <c r="K111" s="81"/>
      <c r="L111" s="16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</row>
    <row r="112">
      <c r="A112" s="81"/>
      <c r="B112" s="81"/>
      <c r="C112" s="100" t="s">
        <v>109</v>
      </c>
      <c r="D112" s="43"/>
      <c r="E112" s="43"/>
      <c r="F112" s="43"/>
      <c r="G112" s="23"/>
      <c r="H112" s="119"/>
      <c r="I112" s="119"/>
      <c r="J112" s="119"/>
      <c r="K112" s="81"/>
      <c r="L112" s="16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</row>
    <row r="113">
      <c r="A113" s="81"/>
      <c r="B113" s="81"/>
      <c r="C113" s="104" t="s">
        <v>93</v>
      </c>
      <c r="D113" s="175" t="s">
        <v>147</v>
      </c>
      <c r="E113" s="104" t="s">
        <v>148</v>
      </c>
      <c r="F113" s="104" t="s">
        <v>96</v>
      </c>
      <c r="G113" s="104" t="s">
        <v>97</v>
      </c>
      <c r="H113" s="119"/>
      <c r="I113" s="119"/>
      <c r="J113" s="119"/>
      <c r="K113" s="81"/>
      <c r="L113" s="16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</row>
    <row r="114">
      <c r="A114" s="81"/>
      <c r="B114" s="81"/>
      <c r="C114" s="120"/>
      <c r="D114" s="120"/>
      <c r="E114" s="120"/>
      <c r="F114" s="120"/>
      <c r="G114" s="120"/>
      <c r="H114" s="119"/>
      <c r="I114" s="119"/>
      <c r="J114" s="119"/>
      <c r="K114" s="81"/>
      <c r="L114" s="16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</row>
    <row r="115">
      <c r="A115" s="81"/>
      <c r="B115" s="81"/>
      <c r="C115" s="85"/>
      <c r="D115" s="85"/>
      <c r="E115" s="85"/>
      <c r="F115" s="85"/>
      <c r="G115" s="81"/>
      <c r="H115" s="81"/>
      <c r="I115" s="81"/>
      <c r="J115" s="81"/>
      <c r="K115" s="81"/>
      <c r="L115" s="16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</row>
    <row r="116">
      <c r="A116" s="81"/>
      <c r="B116" s="81"/>
      <c r="C116" s="16"/>
      <c r="D116" s="16"/>
      <c r="E116" s="16"/>
      <c r="F116" s="16"/>
      <c r="G116" s="81"/>
      <c r="H116" s="81"/>
      <c r="I116" s="81"/>
      <c r="J116" s="81"/>
      <c r="K116" s="81"/>
      <c r="L116" s="16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</row>
    <row r="117">
      <c r="A117" s="81"/>
      <c r="B117" s="81"/>
      <c r="C117" s="16"/>
      <c r="D117" s="16"/>
      <c r="E117" s="16"/>
      <c r="F117" s="16"/>
      <c r="G117" s="81"/>
      <c r="H117" s="81"/>
      <c r="I117" s="81"/>
      <c r="J117" s="81"/>
      <c r="K117" s="81"/>
      <c r="L117" s="16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</row>
    <row r="118" ht="30.0" customHeight="1">
      <c r="A118" s="81"/>
      <c r="B118" s="81"/>
      <c r="C118" s="86"/>
      <c r="D118" s="124" t="s">
        <v>117</v>
      </c>
      <c r="E118" s="23"/>
      <c r="F118" s="86"/>
      <c r="G118" s="85"/>
      <c r="H118" s="85"/>
      <c r="I118" s="85"/>
      <c r="J118" s="85"/>
      <c r="K118" s="81"/>
      <c r="L118" s="16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</row>
    <row r="119">
      <c r="A119" s="81"/>
      <c r="B119" s="81"/>
      <c r="C119" s="97" t="s">
        <v>98</v>
      </c>
      <c r="D119" s="97" t="s">
        <v>99</v>
      </c>
      <c r="E119" s="97" t="s">
        <v>100</v>
      </c>
      <c r="F119" s="97" t="s">
        <v>101</v>
      </c>
      <c r="G119" s="85"/>
      <c r="H119" s="99"/>
      <c r="I119" s="100" t="s">
        <v>102</v>
      </c>
      <c r="J119" s="23"/>
      <c r="K119" s="81"/>
      <c r="L119" s="16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</row>
    <row r="120">
      <c r="A120" s="81"/>
      <c r="B120" s="81"/>
      <c r="C120" s="104">
        <v>45483.0</v>
      </c>
      <c r="D120" s="105"/>
      <c r="E120" s="105"/>
      <c r="F120" s="105"/>
      <c r="G120" s="85"/>
      <c r="H120" s="106"/>
      <c r="I120" s="104" t="s">
        <v>104</v>
      </c>
      <c r="J120" s="107">
        <v>2700.0</v>
      </c>
      <c r="K120" s="81"/>
      <c r="L120" s="16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</row>
    <row r="121">
      <c r="A121" s="81"/>
      <c r="B121" s="81"/>
      <c r="C121" s="104">
        <v>45484.0</v>
      </c>
      <c r="D121" s="105"/>
      <c r="E121" s="105"/>
      <c r="F121" s="105"/>
      <c r="G121" s="85"/>
      <c r="H121" s="106"/>
      <c r="I121" s="104" t="s">
        <v>105</v>
      </c>
      <c r="J121" s="107">
        <v>160.0</v>
      </c>
      <c r="K121" s="81"/>
      <c r="L121" s="16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</row>
    <row r="122">
      <c r="A122" s="81"/>
      <c r="B122" s="81"/>
      <c r="C122" s="104">
        <v>45485.0</v>
      </c>
      <c r="D122" s="105"/>
      <c r="E122" s="105"/>
      <c r="F122" s="105"/>
      <c r="G122" s="85"/>
      <c r="H122" s="106"/>
      <c r="I122" s="104" t="s">
        <v>106</v>
      </c>
      <c r="J122" s="107">
        <v>380.0</v>
      </c>
      <c r="K122" s="81"/>
      <c r="L122" s="16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</row>
    <row r="123">
      <c r="A123" s="81"/>
      <c r="B123" s="81"/>
      <c r="C123" s="104">
        <v>45486.0</v>
      </c>
      <c r="D123" s="105"/>
      <c r="E123" s="105"/>
      <c r="F123" s="105"/>
      <c r="G123" s="85"/>
      <c r="H123" s="106"/>
      <c r="I123" s="104" t="s">
        <v>107</v>
      </c>
      <c r="J123" s="107">
        <v>60.0</v>
      </c>
      <c r="K123" s="81"/>
      <c r="L123" s="16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</row>
    <row r="124">
      <c r="A124" s="81"/>
      <c r="B124" s="81"/>
      <c r="C124" s="104">
        <v>45487.0</v>
      </c>
      <c r="D124" s="105"/>
      <c r="E124" s="105"/>
      <c r="F124" s="105"/>
      <c r="G124" s="85"/>
      <c r="H124" s="85"/>
      <c r="I124" s="85"/>
      <c r="J124" s="85"/>
      <c r="K124" s="81"/>
      <c r="L124" s="16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</row>
    <row r="125">
      <c r="A125" s="81"/>
      <c r="B125" s="81"/>
      <c r="C125" s="104">
        <v>45488.0</v>
      </c>
      <c r="D125" s="115"/>
      <c r="E125" s="105"/>
      <c r="F125" s="105"/>
      <c r="G125" s="85"/>
      <c r="H125" s="85"/>
      <c r="I125" s="85"/>
      <c r="J125" s="85"/>
      <c r="K125" s="81"/>
      <c r="L125" s="16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</row>
    <row r="126">
      <c r="A126" s="81"/>
      <c r="B126" s="81"/>
      <c r="C126" s="104">
        <v>45489.0</v>
      </c>
      <c r="D126" s="115"/>
      <c r="E126" s="105"/>
      <c r="F126" s="115"/>
      <c r="G126" s="85"/>
      <c r="H126" s="85"/>
      <c r="I126" s="85"/>
      <c r="J126" s="85"/>
      <c r="K126" s="81"/>
      <c r="L126" s="16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</row>
    <row r="127">
      <c r="A127" s="81"/>
      <c r="B127" s="81"/>
      <c r="C127" s="116" t="s">
        <v>108</v>
      </c>
      <c r="D127" s="117" t="str">
        <f t="shared" ref="D127:F127" si="20">AVERAGE(D120:D126)</f>
        <v>#DIV/0!</v>
      </c>
      <c r="E127" s="117" t="str">
        <f t="shared" si="20"/>
        <v>#DIV/0!</v>
      </c>
      <c r="F127" s="117" t="str">
        <f t="shared" si="20"/>
        <v>#DIV/0!</v>
      </c>
      <c r="G127" s="85"/>
      <c r="H127" s="85"/>
      <c r="I127" s="85"/>
      <c r="J127" s="85"/>
      <c r="K127" s="81"/>
      <c r="L127" s="16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</row>
    <row r="128">
      <c r="A128" s="81"/>
      <c r="B128" s="81"/>
      <c r="C128" s="86"/>
      <c r="D128" s="86"/>
      <c r="E128" s="86"/>
      <c r="F128" s="86"/>
      <c r="G128" s="85"/>
      <c r="H128" s="85"/>
      <c r="I128" s="85"/>
      <c r="J128" s="85"/>
      <c r="K128" s="81"/>
      <c r="L128" s="16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</row>
    <row r="129">
      <c r="A129" s="81"/>
      <c r="B129" s="81"/>
      <c r="C129" s="100" t="s">
        <v>109</v>
      </c>
      <c r="D129" s="43"/>
      <c r="E129" s="43"/>
      <c r="F129" s="43"/>
      <c r="G129" s="23"/>
      <c r="H129" s="119"/>
      <c r="I129" s="119"/>
      <c r="J129" s="119"/>
      <c r="K129" s="81"/>
      <c r="L129" s="16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</row>
    <row r="130">
      <c r="A130" s="81"/>
      <c r="B130" s="81"/>
      <c r="C130" s="104" t="s">
        <v>93</v>
      </c>
      <c r="D130" s="175" t="s">
        <v>147</v>
      </c>
      <c r="E130" s="104" t="s">
        <v>148</v>
      </c>
      <c r="F130" s="104" t="s">
        <v>96</v>
      </c>
      <c r="G130" s="104" t="s">
        <v>97</v>
      </c>
      <c r="H130" s="119"/>
      <c r="I130" s="119"/>
      <c r="J130" s="119"/>
      <c r="K130" s="81"/>
      <c r="L130" s="16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</row>
    <row r="131">
      <c r="A131" s="81"/>
      <c r="B131" s="81"/>
      <c r="C131" s="120"/>
      <c r="D131" s="120"/>
      <c r="E131" s="120"/>
      <c r="F131" s="120"/>
      <c r="G131" s="120"/>
      <c r="H131" s="119"/>
      <c r="I131" s="119"/>
      <c r="J131" s="119"/>
      <c r="K131" s="81"/>
      <c r="L131" s="16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</row>
    <row r="132">
      <c r="A132" s="81"/>
      <c r="B132" s="81"/>
      <c r="C132" s="81"/>
      <c r="D132" s="81"/>
      <c r="E132" s="81"/>
      <c r="F132" s="81"/>
      <c r="G132" s="81"/>
      <c r="H132" s="119"/>
      <c r="I132" s="119"/>
      <c r="J132" s="119"/>
      <c r="K132" s="81"/>
      <c r="L132" s="16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</row>
    <row r="133">
      <c r="A133" s="81"/>
      <c r="B133" s="81"/>
      <c r="C133" s="81"/>
      <c r="D133" s="81"/>
      <c r="E133" s="81"/>
      <c r="F133" s="81"/>
      <c r="G133" s="81"/>
      <c r="H133" s="119"/>
      <c r="I133" s="119"/>
      <c r="J133" s="119"/>
      <c r="K133" s="81"/>
      <c r="L133" s="16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</row>
    <row r="134">
      <c r="A134" s="81"/>
      <c r="B134" s="81"/>
      <c r="C134" s="81"/>
      <c r="D134" s="81"/>
      <c r="E134" s="81"/>
      <c r="F134" s="81"/>
      <c r="G134" s="81"/>
      <c r="H134" s="119"/>
      <c r="I134" s="119"/>
      <c r="J134" s="119"/>
      <c r="K134" s="81"/>
      <c r="L134" s="16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</row>
    <row r="135" ht="31.5" customHeight="1">
      <c r="A135" s="81"/>
      <c r="B135" s="81"/>
      <c r="C135" s="86"/>
      <c r="D135" s="124" t="s">
        <v>118</v>
      </c>
      <c r="E135" s="23"/>
      <c r="F135" s="86"/>
      <c r="G135" s="85"/>
      <c r="H135" s="85"/>
      <c r="I135" s="85"/>
      <c r="J135" s="85"/>
      <c r="K135" s="81"/>
      <c r="L135" s="16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</row>
    <row r="136">
      <c r="A136" s="81"/>
      <c r="B136" s="81"/>
      <c r="C136" s="97" t="s">
        <v>98</v>
      </c>
      <c r="D136" s="97" t="s">
        <v>99</v>
      </c>
      <c r="E136" s="97" t="s">
        <v>100</v>
      </c>
      <c r="F136" s="97" t="s">
        <v>101</v>
      </c>
      <c r="G136" s="85"/>
      <c r="H136" s="99"/>
      <c r="I136" s="100" t="s">
        <v>102</v>
      </c>
      <c r="J136" s="23"/>
      <c r="K136" s="81"/>
      <c r="L136" s="16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</row>
    <row r="137">
      <c r="A137" s="81"/>
      <c r="B137" s="81"/>
      <c r="C137" s="104">
        <v>45483.0</v>
      </c>
      <c r="D137" s="105"/>
      <c r="E137" s="105"/>
      <c r="F137" s="105"/>
      <c r="G137" s="85"/>
      <c r="H137" s="106"/>
      <c r="I137" s="104" t="s">
        <v>104</v>
      </c>
      <c r="J137" s="107">
        <v>2700.0</v>
      </c>
      <c r="K137" s="81"/>
      <c r="L137" s="16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</row>
    <row r="138">
      <c r="A138" s="81"/>
      <c r="B138" s="81"/>
      <c r="C138" s="104">
        <v>45484.0</v>
      </c>
      <c r="D138" s="105"/>
      <c r="E138" s="105"/>
      <c r="F138" s="105"/>
      <c r="G138" s="85"/>
      <c r="H138" s="106"/>
      <c r="I138" s="104" t="s">
        <v>105</v>
      </c>
      <c r="J138" s="107">
        <v>160.0</v>
      </c>
      <c r="K138" s="81"/>
      <c r="L138" s="16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</row>
    <row r="139">
      <c r="A139" s="81"/>
      <c r="B139" s="81"/>
      <c r="C139" s="104">
        <v>45485.0</v>
      </c>
      <c r="D139" s="105"/>
      <c r="E139" s="105"/>
      <c r="F139" s="105"/>
      <c r="G139" s="85"/>
      <c r="H139" s="106"/>
      <c r="I139" s="104" t="s">
        <v>106</v>
      </c>
      <c r="J139" s="107">
        <v>380.0</v>
      </c>
      <c r="K139" s="81"/>
      <c r="L139" s="16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</row>
    <row r="140">
      <c r="A140" s="81"/>
      <c r="B140" s="81"/>
      <c r="C140" s="104">
        <v>45486.0</v>
      </c>
      <c r="D140" s="105"/>
      <c r="E140" s="105"/>
      <c r="F140" s="105"/>
      <c r="G140" s="85"/>
      <c r="H140" s="106"/>
      <c r="I140" s="104" t="s">
        <v>107</v>
      </c>
      <c r="J140" s="107">
        <v>60.0</v>
      </c>
      <c r="K140" s="81"/>
      <c r="L140" s="16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</row>
    <row r="141">
      <c r="A141" s="81"/>
      <c r="B141" s="81"/>
      <c r="C141" s="104">
        <v>45487.0</v>
      </c>
      <c r="D141" s="105"/>
      <c r="E141" s="105"/>
      <c r="F141" s="105"/>
      <c r="G141" s="85"/>
      <c r="H141" s="85"/>
      <c r="I141" s="85"/>
      <c r="J141" s="85"/>
      <c r="K141" s="81"/>
      <c r="L141" s="16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</row>
    <row r="142">
      <c r="A142" s="81"/>
      <c r="B142" s="81"/>
      <c r="C142" s="104">
        <v>45488.0</v>
      </c>
      <c r="D142" s="115"/>
      <c r="E142" s="105"/>
      <c r="F142" s="105"/>
      <c r="G142" s="85"/>
      <c r="H142" s="85"/>
      <c r="I142" s="85"/>
      <c r="J142" s="85"/>
      <c r="K142" s="81"/>
      <c r="L142" s="16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</row>
    <row r="143">
      <c r="A143" s="81"/>
      <c r="B143" s="81"/>
      <c r="C143" s="104">
        <v>45489.0</v>
      </c>
      <c r="D143" s="115"/>
      <c r="E143" s="105"/>
      <c r="F143" s="115"/>
      <c r="G143" s="85"/>
      <c r="H143" s="85"/>
      <c r="I143" s="85"/>
      <c r="J143" s="85"/>
      <c r="K143" s="81"/>
      <c r="L143" s="16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</row>
    <row r="144">
      <c r="A144" s="81"/>
      <c r="B144" s="81"/>
      <c r="C144" s="116" t="s">
        <v>108</v>
      </c>
      <c r="D144" s="117" t="str">
        <f t="shared" ref="D144:F144" si="21">AVERAGE(D137:D143)</f>
        <v>#DIV/0!</v>
      </c>
      <c r="E144" s="117" t="str">
        <f t="shared" si="21"/>
        <v>#DIV/0!</v>
      </c>
      <c r="F144" s="117" t="str">
        <f t="shared" si="21"/>
        <v>#DIV/0!</v>
      </c>
      <c r="G144" s="85"/>
      <c r="H144" s="85"/>
      <c r="I144" s="85"/>
      <c r="J144" s="85"/>
      <c r="K144" s="81"/>
      <c r="L144" s="16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</row>
    <row r="145">
      <c r="A145" s="81"/>
      <c r="B145" s="81"/>
      <c r="C145" s="86"/>
      <c r="D145" s="86"/>
      <c r="E145" s="86"/>
      <c r="F145" s="86"/>
      <c r="G145" s="85"/>
      <c r="H145" s="85"/>
      <c r="I145" s="85"/>
      <c r="J145" s="85"/>
      <c r="K145" s="81"/>
      <c r="L145" s="16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</row>
    <row r="146">
      <c r="A146" s="81"/>
      <c r="B146" s="81"/>
      <c r="C146" s="100" t="s">
        <v>109</v>
      </c>
      <c r="D146" s="43"/>
      <c r="E146" s="43"/>
      <c r="F146" s="43"/>
      <c r="G146" s="23"/>
      <c r="H146" s="119"/>
      <c r="I146" s="119"/>
      <c r="J146" s="119"/>
      <c r="K146" s="81"/>
      <c r="L146" s="16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</row>
    <row r="147">
      <c r="A147" s="81"/>
      <c r="B147" s="81"/>
      <c r="C147" s="104" t="s">
        <v>93</v>
      </c>
      <c r="D147" s="175" t="s">
        <v>147</v>
      </c>
      <c r="E147" s="104" t="s">
        <v>148</v>
      </c>
      <c r="F147" s="104" t="s">
        <v>96</v>
      </c>
      <c r="G147" s="104" t="s">
        <v>97</v>
      </c>
      <c r="H147" s="119"/>
      <c r="I147" s="119"/>
      <c r="J147" s="119"/>
      <c r="K147" s="81"/>
      <c r="L147" s="16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</row>
    <row r="148">
      <c r="A148" s="81"/>
      <c r="B148" s="81"/>
      <c r="C148" s="120"/>
      <c r="D148" s="120"/>
      <c r="E148" s="120"/>
      <c r="F148" s="120"/>
      <c r="G148" s="120"/>
      <c r="H148" s="119"/>
      <c r="I148" s="119"/>
      <c r="J148" s="119"/>
      <c r="K148" s="81"/>
      <c r="L148" s="16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16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16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</row>
    <row r="151" ht="28.5" customHeight="1">
      <c r="A151" s="81"/>
      <c r="B151" s="81"/>
      <c r="C151" s="86"/>
      <c r="D151" s="124" t="s">
        <v>119</v>
      </c>
      <c r="E151" s="23"/>
      <c r="F151" s="86"/>
      <c r="G151" s="85"/>
      <c r="H151" s="85"/>
      <c r="I151" s="85"/>
      <c r="J151" s="85"/>
      <c r="K151" s="81"/>
      <c r="L151" s="16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</row>
    <row r="152">
      <c r="A152" s="81"/>
      <c r="B152" s="81"/>
      <c r="C152" s="97" t="s">
        <v>98</v>
      </c>
      <c r="D152" s="97" t="s">
        <v>99</v>
      </c>
      <c r="E152" s="97" t="s">
        <v>100</v>
      </c>
      <c r="F152" s="97" t="s">
        <v>101</v>
      </c>
      <c r="G152" s="85"/>
      <c r="H152" s="99"/>
      <c r="I152" s="100" t="s">
        <v>102</v>
      </c>
      <c r="J152" s="23"/>
      <c r="K152" s="81"/>
      <c r="L152" s="16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</row>
    <row r="153">
      <c r="A153" s="81"/>
      <c r="B153" s="81"/>
      <c r="C153" s="104">
        <v>45483.0</v>
      </c>
      <c r="D153" s="105"/>
      <c r="E153" s="105"/>
      <c r="F153" s="105"/>
      <c r="G153" s="85"/>
      <c r="H153" s="106"/>
      <c r="I153" s="104" t="s">
        <v>104</v>
      </c>
      <c r="J153" s="107">
        <v>2700.0</v>
      </c>
      <c r="K153" s="81"/>
      <c r="L153" s="16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</row>
    <row r="154">
      <c r="A154" s="81"/>
      <c r="B154" s="81"/>
      <c r="C154" s="104">
        <v>45484.0</v>
      </c>
      <c r="D154" s="105"/>
      <c r="E154" s="105"/>
      <c r="F154" s="105"/>
      <c r="G154" s="85"/>
      <c r="H154" s="106"/>
      <c r="I154" s="104" t="s">
        <v>105</v>
      </c>
      <c r="J154" s="107">
        <v>160.0</v>
      </c>
      <c r="K154" s="81"/>
      <c r="L154" s="16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</row>
    <row r="155">
      <c r="A155" s="81"/>
      <c r="B155" s="81"/>
      <c r="C155" s="104">
        <v>45485.0</v>
      </c>
      <c r="D155" s="105"/>
      <c r="E155" s="105"/>
      <c r="F155" s="105"/>
      <c r="G155" s="85"/>
      <c r="H155" s="106"/>
      <c r="I155" s="104" t="s">
        <v>106</v>
      </c>
      <c r="J155" s="107">
        <v>380.0</v>
      </c>
      <c r="K155" s="81"/>
      <c r="L155" s="16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</row>
    <row r="156">
      <c r="A156" s="81"/>
      <c r="B156" s="81"/>
      <c r="C156" s="104">
        <v>45486.0</v>
      </c>
      <c r="D156" s="105"/>
      <c r="E156" s="105"/>
      <c r="F156" s="105"/>
      <c r="G156" s="85"/>
      <c r="H156" s="106"/>
      <c r="I156" s="104" t="s">
        <v>107</v>
      </c>
      <c r="J156" s="107">
        <v>60.0</v>
      </c>
      <c r="K156" s="81"/>
      <c r="L156" s="16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</row>
    <row r="157">
      <c r="A157" s="81"/>
      <c r="B157" s="81"/>
      <c r="C157" s="104">
        <v>45487.0</v>
      </c>
      <c r="D157" s="105"/>
      <c r="E157" s="105"/>
      <c r="F157" s="105"/>
      <c r="G157" s="85"/>
      <c r="H157" s="85"/>
      <c r="I157" s="85"/>
      <c r="J157" s="85"/>
      <c r="K157" s="81"/>
      <c r="L157" s="16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</row>
    <row r="158">
      <c r="A158" s="81"/>
      <c r="B158" s="81"/>
      <c r="C158" s="104">
        <v>45488.0</v>
      </c>
      <c r="D158" s="115"/>
      <c r="E158" s="105"/>
      <c r="F158" s="105"/>
      <c r="G158" s="85"/>
      <c r="H158" s="85"/>
      <c r="I158" s="85"/>
      <c r="J158" s="85"/>
      <c r="K158" s="81"/>
      <c r="L158" s="16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</row>
    <row r="159">
      <c r="A159" s="81"/>
      <c r="B159" s="81"/>
      <c r="C159" s="104">
        <v>45489.0</v>
      </c>
      <c r="D159" s="115"/>
      <c r="E159" s="105"/>
      <c r="F159" s="115"/>
      <c r="G159" s="85"/>
      <c r="H159" s="85"/>
      <c r="I159" s="85"/>
      <c r="J159" s="85"/>
      <c r="K159" s="81"/>
      <c r="L159" s="16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</row>
    <row r="160">
      <c r="A160" s="81"/>
      <c r="B160" s="81"/>
      <c r="C160" s="116" t="s">
        <v>108</v>
      </c>
      <c r="D160" s="117" t="str">
        <f t="shared" ref="D160:F160" si="22">AVERAGE(D153:D159)</f>
        <v>#DIV/0!</v>
      </c>
      <c r="E160" s="117" t="str">
        <f t="shared" si="22"/>
        <v>#DIV/0!</v>
      </c>
      <c r="F160" s="117" t="str">
        <f t="shared" si="22"/>
        <v>#DIV/0!</v>
      </c>
      <c r="G160" s="85"/>
      <c r="H160" s="85"/>
      <c r="I160" s="85"/>
      <c r="J160" s="85"/>
      <c r="K160" s="81"/>
      <c r="L160" s="16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</row>
    <row r="161">
      <c r="A161" s="81"/>
      <c r="B161" s="81"/>
      <c r="C161" s="86"/>
      <c r="D161" s="86"/>
      <c r="E161" s="86"/>
      <c r="F161" s="86"/>
      <c r="G161" s="85"/>
      <c r="H161" s="85"/>
      <c r="I161" s="85"/>
      <c r="J161" s="85"/>
      <c r="K161" s="81"/>
      <c r="L161" s="16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</row>
    <row r="162">
      <c r="A162" s="81"/>
      <c r="B162" s="81"/>
      <c r="C162" s="100" t="s">
        <v>109</v>
      </c>
      <c r="D162" s="43"/>
      <c r="E162" s="43"/>
      <c r="F162" s="43"/>
      <c r="G162" s="23"/>
      <c r="H162" s="119"/>
      <c r="I162" s="119"/>
      <c r="J162" s="119"/>
      <c r="K162" s="81"/>
      <c r="L162" s="16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</row>
    <row r="163">
      <c r="A163" s="81"/>
      <c r="B163" s="81"/>
      <c r="C163" s="104" t="s">
        <v>93</v>
      </c>
      <c r="D163" s="175" t="s">
        <v>147</v>
      </c>
      <c r="E163" s="104" t="s">
        <v>148</v>
      </c>
      <c r="F163" s="104" t="s">
        <v>96</v>
      </c>
      <c r="G163" s="104" t="s">
        <v>97</v>
      </c>
      <c r="H163" s="119"/>
      <c r="I163" s="119"/>
      <c r="J163" s="119"/>
      <c r="K163" s="81"/>
      <c r="L163" s="16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</row>
    <row r="164">
      <c r="A164" s="81"/>
      <c r="B164" s="81"/>
      <c r="C164" s="120"/>
      <c r="D164" s="120"/>
      <c r="E164" s="120"/>
      <c r="F164" s="120"/>
      <c r="G164" s="120"/>
      <c r="H164" s="119"/>
      <c r="I164" s="119"/>
      <c r="J164" s="119"/>
      <c r="K164" s="81"/>
      <c r="L164" s="16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</row>
    <row r="165">
      <c r="A165" s="81"/>
      <c r="B165" s="81"/>
      <c r="C165" s="81"/>
      <c r="D165" s="81"/>
      <c r="E165" s="81"/>
      <c r="F165" s="81"/>
      <c r="G165" s="81"/>
      <c r="H165" s="119"/>
      <c r="I165" s="119"/>
      <c r="J165" s="119"/>
      <c r="K165" s="81"/>
      <c r="L165" s="16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</row>
    <row r="166">
      <c r="A166" s="81"/>
      <c r="B166" s="81"/>
      <c r="C166" s="81"/>
      <c r="D166" s="81"/>
      <c r="E166" s="81"/>
      <c r="F166" s="81"/>
      <c r="G166" s="81"/>
      <c r="H166" s="119"/>
      <c r="I166" s="119"/>
      <c r="J166" s="119"/>
      <c r="K166" s="81"/>
      <c r="L166" s="16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</row>
    <row r="167" ht="31.5" customHeight="1">
      <c r="A167" s="81"/>
      <c r="B167" s="81"/>
      <c r="C167" s="86"/>
      <c r="D167" s="124" t="s">
        <v>120</v>
      </c>
      <c r="E167" s="23"/>
      <c r="F167" s="86"/>
      <c r="G167" s="85"/>
      <c r="H167" s="85"/>
      <c r="I167" s="85"/>
      <c r="J167" s="85"/>
      <c r="K167" s="81"/>
      <c r="L167" s="16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</row>
    <row r="168">
      <c r="A168" s="81"/>
      <c r="B168" s="81"/>
      <c r="C168" s="97" t="s">
        <v>98</v>
      </c>
      <c r="D168" s="97" t="s">
        <v>99</v>
      </c>
      <c r="E168" s="97" t="s">
        <v>100</v>
      </c>
      <c r="F168" s="97" t="s">
        <v>101</v>
      </c>
      <c r="G168" s="85"/>
      <c r="H168" s="99"/>
      <c r="I168" s="100" t="s">
        <v>102</v>
      </c>
      <c r="J168" s="23"/>
      <c r="K168" s="81"/>
      <c r="L168" s="16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</row>
    <row r="169">
      <c r="A169" s="81"/>
      <c r="B169" s="81"/>
      <c r="C169" s="104">
        <v>45483.0</v>
      </c>
      <c r="D169" s="105"/>
      <c r="E169" s="105"/>
      <c r="F169" s="105"/>
      <c r="G169" s="85"/>
      <c r="H169" s="106"/>
      <c r="I169" s="104" t="s">
        <v>104</v>
      </c>
      <c r="J169" s="107">
        <v>2700.0</v>
      </c>
      <c r="K169" s="81"/>
      <c r="L169" s="16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</row>
    <row r="170">
      <c r="A170" s="81"/>
      <c r="B170" s="81"/>
      <c r="C170" s="104">
        <v>45484.0</v>
      </c>
      <c r="D170" s="105"/>
      <c r="E170" s="105"/>
      <c r="F170" s="105"/>
      <c r="G170" s="85"/>
      <c r="H170" s="106"/>
      <c r="I170" s="104" t="s">
        <v>105</v>
      </c>
      <c r="J170" s="107">
        <v>160.0</v>
      </c>
      <c r="K170" s="81"/>
      <c r="L170" s="16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</row>
    <row r="171">
      <c r="A171" s="81"/>
      <c r="B171" s="81"/>
      <c r="C171" s="104">
        <v>45485.0</v>
      </c>
      <c r="D171" s="105"/>
      <c r="E171" s="105"/>
      <c r="F171" s="105"/>
      <c r="G171" s="85"/>
      <c r="H171" s="106"/>
      <c r="I171" s="104" t="s">
        <v>106</v>
      </c>
      <c r="J171" s="107">
        <v>380.0</v>
      </c>
      <c r="K171" s="81"/>
      <c r="L171" s="16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</row>
    <row r="172">
      <c r="A172" s="81"/>
      <c r="B172" s="81"/>
      <c r="C172" s="104">
        <v>45486.0</v>
      </c>
      <c r="D172" s="105"/>
      <c r="E172" s="105"/>
      <c r="F172" s="105"/>
      <c r="G172" s="85"/>
      <c r="H172" s="106"/>
      <c r="I172" s="104" t="s">
        <v>107</v>
      </c>
      <c r="J172" s="107">
        <v>60.0</v>
      </c>
      <c r="K172" s="81"/>
      <c r="L172" s="16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</row>
    <row r="173">
      <c r="A173" s="81"/>
      <c r="B173" s="81"/>
      <c r="C173" s="104">
        <v>45487.0</v>
      </c>
      <c r="D173" s="105"/>
      <c r="E173" s="105"/>
      <c r="F173" s="105"/>
      <c r="G173" s="85"/>
      <c r="H173" s="85"/>
      <c r="I173" s="85"/>
      <c r="J173" s="85"/>
      <c r="K173" s="81"/>
      <c r="L173" s="16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</row>
    <row r="174">
      <c r="A174" s="81"/>
      <c r="B174" s="81"/>
      <c r="C174" s="104">
        <v>45488.0</v>
      </c>
      <c r="D174" s="115"/>
      <c r="E174" s="105"/>
      <c r="F174" s="105"/>
      <c r="G174" s="85"/>
      <c r="H174" s="85"/>
      <c r="I174" s="85"/>
      <c r="J174" s="85"/>
      <c r="K174" s="81"/>
      <c r="L174" s="16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</row>
    <row r="175">
      <c r="A175" s="81"/>
      <c r="B175" s="81"/>
      <c r="C175" s="104">
        <v>45489.0</v>
      </c>
      <c r="D175" s="115"/>
      <c r="E175" s="105"/>
      <c r="F175" s="115"/>
      <c r="G175" s="85"/>
      <c r="H175" s="85"/>
      <c r="I175" s="85"/>
      <c r="J175" s="85"/>
      <c r="K175" s="81"/>
      <c r="L175" s="16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</row>
    <row r="176">
      <c r="A176" s="81"/>
      <c r="B176" s="81"/>
      <c r="C176" s="116" t="s">
        <v>108</v>
      </c>
      <c r="D176" s="117" t="str">
        <f t="shared" ref="D176:F176" si="23">AVERAGE(D169:D175)</f>
        <v>#DIV/0!</v>
      </c>
      <c r="E176" s="117" t="str">
        <f t="shared" si="23"/>
        <v>#DIV/0!</v>
      </c>
      <c r="F176" s="117" t="str">
        <f t="shared" si="23"/>
        <v>#DIV/0!</v>
      </c>
      <c r="G176" s="85"/>
      <c r="H176" s="85"/>
      <c r="I176" s="85"/>
      <c r="J176" s="85"/>
      <c r="K176" s="81"/>
      <c r="L176" s="16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</row>
    <row r="177">
      <c r="A177" s="81"/>
      <c r="B177" s="81"/>
      <c r="C177" s="86"/>
      <c r="D177" s="86"/>
      <c r="E177" s="86"/>
      <c r="F177" s="86"/>
      <c r="G177" s="85"/>
      <c r="H177" s="85"/>
      <c r="I177" s="85"/>
      <c r="J177" s="85"/>
      <c r="K177" s="81"/>
      <c r="L177" s="16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</row>
    <row r="178">
      <c r="A178" s="81"/>
      <c r="B178" s="81"/>
      <c r="C178" s="100" t="s">
        <v>109</v>
      </c>
      <c r="D178" s="43"/>
      <c r="E178" s="43"/>
      <c r="F178" s="43"/>
      <c r="G178" s="23"/>
      <c r="H178" s="119"/>
      <c r="I178" s="119"/>
      <c r="J178" s="119"/>
      <c r="K178" s="81"/>
      <c r="L178" s="16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</row>
    <row r="179">
      <c r="A179" s="81"/>
      <c r="B179" s="81"/>
      <c r="C179" s="104" t="s">
        <v>93</v>
      </c>
      <c r="D179" s="175" t="s">
        <v>147</v>
      </c>
      <c r="E179" s="104" t="s">
        <v>148</v>
      </c>
      <c r="F179" s="104" t="s">
        <v>96</v>
      </c>
      <c r="G179" s="104" t="s">
        <v>97</v>
      </c>
      <c r="H179" s="119"/>
      <c r="I179" s="119"/>
      <c r="J179" s="119"/>
      <c r="K179" s="81"/>
      <c r="L179" s="16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</row>
    <row r="180">
      <c r="A180" s="81"/>
      <c r="B180" s="81"/>
      <c r="C180" s="120"/>
      <c r="D180" s="120"/>
      <c r="E180" s="120"/>
      <c r="F180" s="120"/>
      <c r="G180" s="120"/>
      <c r="H180" s="119"/>
      <c r="I180" s="119"/>
      <c r="J180" s="119"/>
      <c r="K180" s="81"/>
      <c r="L180" s="16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</row>
    <row r="181">
      <c r="A181" s="81"/>
      <c r="B181" s="81"/>
      <c r="C181" s="81"/>
      <c r="D181" s="81"/>
      <c r="E181" s="81"/>
      <c r="F181" s="81"/>
      <c r="G181" s="81"/>
      <c r="H181" s="119"/>
      <c r="I181" s="119"/>
      <c r="J181" s="119"/>
      <c r="K181" s="81"/>
      <c r="L181" s="16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</row>
    <row r="182">
      <c r="A182" s="81"/>
      <c r="B182" s="81"/>
      <c r="C182" s="81"/>
      <c r="D182" s="81"/>
      <c r="E182" s="81"/>
      <c r="F182" s="81"/>
      <c r="G182" s="81"/>
      <c r="H182" s="119"/>
      <c r="I182" s="119"/>
      <c r="J182" s="119"/>
      <c r="K182" s="81"/>
      <c r="L182" s="16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</row>
    <row r="183" ht="30.0" customHeight="1">
      <c r="A183" s="81"/>
      <c r="B183" s="81"/>
      <c r="C183" s="86"/>
      <c r="D183" s="124" t="s">
        <v>121</v>
      </c>
      <c r="E183" s="23"/>
      <c r="F183" s="86"/>
      <c r="G183" s="85"/>
      <c r="H183" s="85"/>
      <c r="I183" s="85"/>
      <c r="J183" s="85"/>
      <c r="K183" s="81"/>
      <c r="L183" s="16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</row>
    <row r="184">
      <c r="A184" s="81"/>
      <c r="B184" s="81"/>
      <c r="C184" s="97" t="s">
        <v>98</v>
      </c>
      <c r="D184" s="97" t="s">
        <v>99</v>
      </c>
      <c r="E184" s="97" t="s">
        <v>100</v>
      </c>
      <c r="F184" s="97" t="s">
        <v>101</v>
      </c>
      <c r="G184" s="85"/>
      <c r="H184" s="99"/>
      <c r="I184" s="100" t="s">
        <v>102</v>
      </c>
      <c r="J184" s="23"/>
      <c r="K184" s="81"/>
      <c r="L184" s="16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</row>
    <row r="185">
      <c r="A185" s="81"/>
      <c r="B185" s="81"/>
      <c r="C185" s="104">
        <v>45483.0</v>
      </c>
      <c r="D185" s="105"/>
      <c r="E185" s="105"/>
      <c r="F185" s="105"/>
      <c r="G185" s="85"/>
      <c r="H185" s="106"/>
      <c r="I185" s="104" t="s">
        <v>104</v>
      </c>
      <c r="J185" s="107">
        <v>2700.0</v>
      </c>
      <c r="K185" s="81"/>
      <c r="L185" s="16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</row>
    <row r="186">
      <c r="A186" s="81"/>
      <c r="B186" s="81"/>
      <c r="C186" s="104">
        <v>45484.0</v>
      </c>
      <c r="D186" s="105"/>
      <c r="E186" s="105"/>
      <c r="F186" s="105"/>
      <c r="G186" s="85"/>
      <c r="H186" s="106"/>
      <c r="I186" s="104" t="s">
        <v>105</v>
      </c>
      <c r="J186" s="107">
        <v>160.0</v>
      </c>
      <c r="K186" s="81"/>
      <c r="L186" s="16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</row>
    <row r="187">
      <c r="A187" s="81"/>
      <c r="B187" s="81"/>
      <c r="C187" s="104">
        <v>45485.0</v>
      </c>
      <c r="D187" s="105"/>
      <c r="E187" s="105"/>
      <c r="F187" s="105"/>
      <c r="G187" s="85"/>
      <c r="H187" s="106"/>
      <c r="I187" s="104" t="s">
        <v>106</v>
      </c>
      <c r="J187" s="107">
        <v>380.0</v>
      </c>
      <c r="K187" s="81"/>
      <c r="L187" s="16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</row>
    <row r="188">
      <c r="A188" s="81"/>
      <c r="B188" s="81"/>
      <c r="C188" s="104">
        <v>45486.0</v>
      </c>
      <c r="D188" s="105"/>
      <c r="E188" s="105"/>
      <c r="F188" s="105"/>
      <c r="G188" s="85"/>
      <c r="H188" s="106"/>
      <c r="I188" s="104" t="s">
        <v>107</v>
      </c>
      <c r="J188" s="107">
        <v>60.0</v>
      </c>
      <c r="K188" s="81"/>
      <c r="L188" s="16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</row>
    <row r="189">
      <c r="A189" s="81"/>
      <c r="B189" s="81"/>
      <c r="C189" s="104">
        <v>45487.0</v>
      </c>
      <c r="D189" s="105"/>
      <c r="E189" s="105"/>
      <c r="F189" s="105"/>
      <c r="G189" s="85"/>
      <c r="H189" s="85"/>
      <c r="I189" s="85"/>
      <c r="J189" s="85"/>
      <c r="K189" s="81"/>
      <c r="L189" s="16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</row>
    <row r="190">
      <c r="A190" s="81"/>
      <c r="B190" s="81"/>
      <c r="C190" s="104">
        <v>45488.0</v>
      </c>
      <c r="D190" s="115"/>
      <c r="E190" s="105"/>
      <c r="F190" s="105"/>
      <c r="G190" s="85"/>
      <c r="H190" s="85"/>
      <c r="I190" s="85"/>
      <c r="J190" s="85"/>
      <c r="K190" s="81"/>
      <c r="L190" s="16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</row>
    <row r="191">
      <c r="A191" s="81"/>
      <c r="B191" s="81"/>
      <c r="C191" s="104">
        <v>45489.0</v>
      </c>
      <c r="D191" s="115"/>
      <c r="E191" s="105"/>
      <c r="F191" s="115"/>
      <c r="G191" s="85"/>
      <c r="H191" s="85"/>
      <c r="I191" s="85"/>
      <c r="J191" s="85"/>
      <c r="K191" s="81"/>
      <c r="L191" s="16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</row>
    <row r="192">
      <c r="A192" s="81"/>
      <c r="B192" s="81"/>
      <c r="C192" s="116" t="s">
        <v>108</v>
      </c>
      <c r="D192" s="117" t="str">
        <f t="shared" ref="D192:F192" si="24">AVERAGE(D185:D191)</f>
        <v>#DIV/0!</v>
      </c>
      <c r="E192" s="117" t="str">
        <f t="shared" si="24"/>
        <v>#DIV/0!</v>
      </c>
      <c r="F192" s="117" t="str">
        <f t="shared" si="24"/>
        <v>#DIV/0!</v>
      </c>
      <c r="G192" s="85"/>
      <c r="H192" s="85"/>
      <c r="I192" s="85"/>
      <c r="J192" s="85"/>
      <c r="K192" s="81"/>
      <c r="L192" s="16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</row>
    <row r="193">
      <c r="A193" s="81"/>
      <c r="B193" s="81"/>
      <c r="C193" s="86"/>
      <c r="D193" s="86"/>
      <c r="E193" s="86"/>
      <c r="F193" s="86"/>
      <c r="G193" s="85"/>
      <c r="H193" s="85"/>
      <c r="I193" s="85"/>
      <c r="J193" s="85"/>
      <c r="K193" s="81"/>
      <c r="L193" s="16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</row>
    <row r="194">
      <c r="A194" s="81"/>
      <c r="B194" s="81"/>
      <c r="C194" s="100" t="s">
        <v>109</v>
      </c>
      <c r="D194" s="43"/>
      <c r="E194" s="43"/>
      <c r="F194" s="43"/>
      <c r="G194" s="23"/>
      <c r="H194" s="119"/>
      <c r="I194" s="119"/>
      <c r="J194" s="119"/>
      <c r="K194" s="81"/>
      <c r="L194" s="16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</row>
    <row r="195">
      <c r="A195" s="81"/>
      <c r="B195" s="81"/>
      <c r="C195" s="104" t="s">
        <v>93</v>
      </c>
      <c r="D195" s="175" t="s">
        <v>147</v>
      </c>
      <c r="E195" s="104" t="s">
        <v>148</v>
      </c>
      <c r="F195" s="104" t="s">
        <v>96</v>
      </c>
      <c r="G195" s="104" t="s">
        <v>97</v>
      </c>
      <c r="H195" s="119"/>
      <c r="I195" s="119"/>
      <c r="J195" s="119"/>
      <c r="K195" s="81"/>
      <c r="L195" s="16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</row>
    <row r="196">
      <c r="A196" s="81"/>
      <c r="B196" s="81"/>
      <c r="C196" s="120"/>
      <c r="D196" s="120"/>
      <c r="E196" s="120"/>
      <c r="F196" s="120"/>
      <c r="G196" s="120"/>
      <c r="H196" s="119"/>
      <c r="I196" s="119"/>
      <c r="J196" s="119"/>
      <c r="K196" s="81"/>
      <c r="L196" s="16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</row>
    <row r="197">
      <c r="A197" s="81"/>
      <c r="B197" s="81"/>
      <c r="C197" s="81"/>
      <c r="D197" s="81"/>
      <c r="E197" s="81"/>
      <c r="F197" s="81"/>
      <c r="G197" s="81"/>
      <c r="H197" s="119"/>
      <c r="I197" s="119"/>
      <c r="J197" s="119"/>
      <c r="K197" s="81"/>
      <c r="L197" s="16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</row>
    <row r="198">
      <c r="A198" s="81"/>
      <c r="B198" s="81"/>
      <c r="C198" s="81"/>
      <c r="D198" s="81"/>
      <c r="E198" s="81"/>
      <c r="F198" s="81"/>
      <c r="G198" s="81"/>
      <c r="H198" s="119"/>
      <c r="I198" s="119"/>
      <c r="J198" s="119"/>
      <c r="K198" s="81"/>
      <c r="L198" s="16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</row>
    <row r="199" ht="25.5" customHeight="1">
      <c r="A199" s="81"/>
      <c r="B199" s="81"/>
      <c r="C199" s="86"/>
      <c r="D199" s="124" t="s">
        <v>122</v>
      </c>
      <c r="E199" s="23"/>
      <c r="F199" s="86"/>
      <c r="G199" s="85"/>
      <c r="H199" s="85"/>
      <c r="I199" s="85"/>
      <c r="J199" s="85"/>
      <c r="K199" s="81"/>
      <c r="L199" s="16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</row>
    <row r="200">
      <c r="A200" s="81"/>
      <c r="B200" s="81"/>
      <c r="C200" s="97" t="s">
        <v>98</v>
      </c>
      <c r="D200" s="97" t="s">
        <v>99</v>
      </c>
      <c r="E200" s="97" t="s">
        <v>100</v>
      </c>
      <c r="F200" s="97" t="s">
        <v>101</v>
      </c>
      <c r="G200" s="85"/>
      <c r="H200" s="99"/>
      <c r="I200" s="100" t="s">
        <v>102</v>
      </c>
      <c r="J200" s="23"/>
      <c r="K200" s="81"/>
      <c r="L200" s="16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</row>
    <row r="201">
      <c r="A201" s="81"/>
      <c r="B201" s="81"/>
      <c r="C201" s="104">
        <v>45483.0</v>
      </c>
      <c r="D201" s="105"/>
      <c r="E201" s="105"/>
      <c r="F201" s="105"/>
      <c r="G201" s="85"/>
      <c r="H201" s="106"/>
      <c r="I201" s="104" t="s">
        <v>104</v>
      </c>
      <c r="J201" s="107">
        <v>2700.0</v>
      </c>
      <c r="K201" s="81"/>
      <c r="L201" s="16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</row>
    <row r="202">
      <c r="A202" s="81"/>
      <c r="B202" s="81"/>
      <c r="C202" s="104">
        <v>45484.0</v>
      </c>
      <c r="D202" s="105"/>
      <c r="E202" s="105"/>
      <c r="F202" s="105"/>
      <c r="G202" s="85"/>
      <c r="H202" s="106"/>
      <c r="I202" s="104" t="s">
        <v>105</v>
      </c>
      <c r="J202" s="107">
        <v>160.0</v>
      </c>
      <c r="K202" s="81"/>
      <c r="L202" s="16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</row>
    <row r="203">
      <c r="A203" s="81"/>
      <c r="B203" s="81"/>
      <c r="C203" s="104">
        <v>45485.0</v>
      </c>
      <c r="D203" s="105"/>
      <c r="E203" s="105"/>
      <c r="F203" s="105"/>
      <c r="G203" s="85"/>
      <c r="H203" s="106"/>
      <c r="I203" s="104" t="s">
        <v>106</v>
      </c>
      <c r="J203" s="107">
        <v>380.0</v>
      </c>
      <c r="K203" s="81"/>
      <c r="L203" s="16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</row>
    <row r="204">
      <c r="A204" s="81"/>
      <c r="B204" s="81"/>
      <c r="C204" s="104">
        <v>45486.0</v>
      </c>
      <c r="D204" s="105"/>
      <c r="E204" s="105"/>
      <c r="F204" s="105"/>
      <c r="G204" s="85"/>
      <c r="H204" s="106"/>
      <c r="I204" s="104" t="s">
        <v>107</v>
      </c>
      <c r="J204" s="107">
        <v>60.0</v>
      </c>
      <c r="K204" s="81"/>
      <c r="L204" s="16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</row>
    <row r="205">
      <c r="A205" s="81"/>
      <c r="B205" s="81"/>
      <c r="C205" s="104">
        <v>45487.0</v>
      </c>
      <c r="D205" s="105"/>
      <c r="E205" s="105"/>
      <c r="F205" s="105"/>
      <c r="G205" s="85"/>
      <c r="H205" s="85"/>
      <c r="I205" s="85"/>
      <c r="J205" s="85"/>
      <c r="K205" s="81"/>
      <c r="L205" s="16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</row>
    <row r="206">
      <c r="A206" s="81"/>
      <c r="B206" s="81"/>
      <c r="C206" s="104">
        <v>45488.0</v>
      </c>
      <c r="D206" s="115"/>
      <c r="E206" s="105"/>
      <c r="F206" s="105"/>
      <c r="G206" s="85"/>
      <c r="H206" s="85"/>
      <c r="I206" s="85"/>
      <c r="J206" s="85"/>
      <c r="K206" s="81"/>
      <c r="L206" s="16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</row>
    <row r="207">
      <c r="A207" s="81"/>
      <c r="B207" s="81"/>
      <c r="C207" s="104">
        <v>45489.0</v>
      </c>
      <c r="D207" s="115"/>
      <c r="E207" s="105"/>
      <c r="F207" s="115"/>
      <c r="G207" s="85"/>
      <c r="H207" s="85"/>
      <c r="I207" s="85"/>
      <c r="J207" s="85"/>
      <c r="K207" s="81"/>
      <c r="L207" s="16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</row>
    <row r="208">
      <c r="A208" s="81"/>
      <c r="B208" s="81"/>
      <c r="C208" s="116" t="s">
        <v>108</v>
      </c>
      <c r="D208" s="117" t="str">
        <f t="shared" ref="D208:F208" si="25">AVERAGE(D201:D207)</f>
        <v>#DIV/0!</v>
      </c>
      <c r="E208" s="117" t="str">
        <f t="shared" si="25"/>
        <v>#DIV/0!</v>
      </c>
      <c r="F208" s="117" t="str">
        <f t="shared" si="25"/>
        <v>#DIV/0!</v>
      </c>
      <c r="G208" s="85"/>
      <c r="H208" s="85"/>
      <c r="I208" s="85"/>
      <c r="J208" s="85"/>
      <c r="K208" s="81"/>
      <c r="L208" s="16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</row>
    <row r="209">
      <c r="A209" s="81"/>
      <c r="B209" s="81"/>
      <c r="C209" s="86"/>
      <c r="D209" s="86"/>
      <c r="E209" s="86"/>
      <c r="F209" s="86"/>
      <c r="G209" s="85"/>
      <c r="H209" s="85"/>
      <c r="I209" s="85"/>
      <c r="J209" s="85"/>
      <c r="K209" s="81"/>
      <c r="L209" s="16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</row>
    <row r="210">
      <c r="A210" s="81"/>
      <c r="B210" s="81"/>
      <c r="C210" s="100" t="s">
        <v>109</v>
      </c>
      <c r="D210" s="43"/>
      <c r="E210" s="43"/>
      <c r="F210" s="43"/>
      <c r="G210" s="23"/>
      <c r="H210" s="119"/>
      <c r="I210" s="119"/>
      <c r="J210" s="119"/>
      <c r="K210" s="81"/>
      <c r="L210" s="16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</row>
    <row r="211">
      <c r="A211" s="81"/>
      <c r="B211" s="81"/>
      <c r="C211" s="104" t="s">
        <v>93</v>
      </c>
      <c r="D211" s="175" t="s">
        <v>147</v>
      </c>
      <c r="E211" s="104" t="s">
        <v>148</v>
      </c>
      <c r="F211" s="104" t="s">
        <v>96</v>
      </c>
      <c r="G211" s="104" t="s">
        <v>97</v>
      </c>
      <c r="H211" s="119"/>
      <c r="I211" s="119"/>
      <c r="J211" s="119"/>
      <c r="K211" s="81"/>
      <c r="L211" s="16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</row>
    <row r="212">
      <c r="A212" s="81"/>
      <c r="B212" s="81"/>
      <c r="C212" s="120"/>
      <c r="D212" s="120"/>
      <c r="E212" s="120"/>
      <c r="F212" s="120"/>
      <c r="G212" s="120"/>
      <c r="H212" s="119"/>
      <c r="I212" s="119"/>
      <c r="J212" s="119"/>
      <c r="K212" s="81"/>
      <c r="L212" s="16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16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16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16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16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16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16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16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16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16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16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16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16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16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16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16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16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16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16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16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16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16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16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16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16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16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16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16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16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16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16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16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16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16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16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16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16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16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16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16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16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16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16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16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16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16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16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16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16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16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16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16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16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16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16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16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16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16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16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16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16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16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16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16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16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16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16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16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16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16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16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16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16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16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16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16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16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16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16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16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16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16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16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16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16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16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16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16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16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16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16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16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16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16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16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16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16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16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16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16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16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16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16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16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16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16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16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16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16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16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16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16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16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16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16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16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16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16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16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16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16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16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16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16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16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16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16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16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16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16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16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16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16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16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16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16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16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16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16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16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16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16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16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16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16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16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16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16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16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16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16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16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16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16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16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16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16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16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16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16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16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16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16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16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16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16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16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16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16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16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16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16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16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16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16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16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16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16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16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16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16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16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16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16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16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16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16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16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16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16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16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16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16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16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16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16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16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16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16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16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16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16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16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16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16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16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16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16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16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16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16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16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16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16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16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16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16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16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16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16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16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16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16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16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16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16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16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16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16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16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16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16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16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16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16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16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16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16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16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16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16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16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16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16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16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16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16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16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16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16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16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16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16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16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16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16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16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16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16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16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16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16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16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16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16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16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16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16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16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16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16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16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16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16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16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16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16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16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16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16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16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16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16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16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16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16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16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16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16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16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16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16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16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16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16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16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16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16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16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16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16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16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16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16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16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16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16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16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16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16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16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16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16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16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16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16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16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16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16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16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16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16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16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16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16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16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16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16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16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16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16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16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16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16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16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16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16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16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16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16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16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16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16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16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16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16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16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16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16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16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16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16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16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16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16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16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16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16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16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16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16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16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16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16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16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16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16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16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16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16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16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16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16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16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16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16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16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16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16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16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16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16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16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16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16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16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16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16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16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16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16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16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16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16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16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16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16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16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16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16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16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16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16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16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16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16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16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16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16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16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16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16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16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16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16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16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16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16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16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16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16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16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16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16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16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16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16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16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16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16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16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16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16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16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16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16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16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16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16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16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16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16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16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16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16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16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16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16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16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16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16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16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16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16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16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16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16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16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16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16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16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16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16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16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16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16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16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16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16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16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16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16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16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16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16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16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16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16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16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16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16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16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16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16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16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16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16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16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16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16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16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16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16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16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16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16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16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16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16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16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16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16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16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16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16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16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16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16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16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16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16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16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16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16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16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16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16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16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16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16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16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16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16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16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16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16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16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16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16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16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16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16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16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16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16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16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16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16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16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16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16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16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16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16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16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16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16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16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16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16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16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16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16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16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16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16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16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16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16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16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16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16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16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16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16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16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16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16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16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16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16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16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16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16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16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16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16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16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16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16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16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16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16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16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16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16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16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16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16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16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16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16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16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16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16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16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16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16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16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16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16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16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16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16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16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16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16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16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16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16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16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16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16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16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16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16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16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16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16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16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16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16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16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16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16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16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16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16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16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16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16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16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16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16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16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16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16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16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16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16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16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16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16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16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16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16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16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16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16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16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16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16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16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16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16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16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16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16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16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16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16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16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16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16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16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16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16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16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16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16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16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16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16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16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16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16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16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16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16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16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16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16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16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16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16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16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16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16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16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16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16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16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16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16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16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16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16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16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16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16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16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16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16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16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16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16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16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16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16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16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16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16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16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16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16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16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16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16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16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16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16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16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16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16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16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</row>
    <row r="937">
      <c r="A937" s="81"/>
      <c r="B937" s="81"/>
      <c r="C937" s="126"/>
      <c r="D937" s="126"/>
      <c r="E937" s="126"/>
      <c r="F937" s="126"/>
      <c r="G937" s="126"/>
      <c r="H937" s="126"/>
      <c r="I937" s="126"/>
      <c r="J937" s="126"/>
      <c r="K937" s="126"/>
      <c r="L937" s="16"/>
      <c r="M937" s="126"/>
      <c r="N937" s="126"/>
      <c r="O937" s="126"/>
      <c r="P937" s="126"/>
      <c r="Q937" s="126"/>
      <c r="R937" s="126"/>
      <c r="S937" s="126"/>
      <c r="T937" s="126"/>
      <c r="U937" s="126"/>
      <c r="V937" s="126"/>
      <c r="W937" s="126"/>
      <c r="X937" s="126"/>
      <c r="Y937" s="126"/>
      <c r="Z937" s="126"/>
      <c r="AA937" s="126"/>
      <c r="AB937" s="126"/>
      <c r="AC937" s="126"/>
      <c r="AD937" s="126"/>
      <c r="AE937" s="126"/>
      <c r="AF937" s="126"/>
      <c r="AG937" s="126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