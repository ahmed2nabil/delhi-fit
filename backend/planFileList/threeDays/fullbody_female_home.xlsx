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<sst xmlns="http://schemas.openxmlformats.org/spreadsheetml/2006/main" count="616" uniqueCount="117">
  <si>
    <t>الاسبوع 1</t>
  </si>
  <si>
    <t>الاسبوع 2</t>
  </si>
  <si>
    <t>الاسبوع 3</t>
  </si>
  <si>
    <t>الاسبوع 4</t>
  </si>
  <si>
    <t>اليوم 1- فل بودي</t>
  </si>
  <si>
    <t>الاحد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</si>
  <si>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</si>
  <si>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</si>
  <si>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</si>
  <si>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</si>
  <si>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</si>
  <si>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</si>
  <si>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</si>
  <si>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</si>
  <si>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Goblet squat</t>
  </si>
  <si>
    <t xml:space="preserve"> Banded wide grip Lat Pull-down</t>
  </si>
  <si>
    <t>8--10</t>
  </si>
  <si>
    <t xml:space="preserve">Banded Hamstring Curl </t>
  </si>
  <si>
    <t>Lateral Raise</t>
  </si>
  <si>
    <t>Standing calves raise home</t>
  </si>
  <si>
    <t>Plank</t>
  </si>
  <si>
    <t>15-50sec</t>
  </si>
  <si>
    <t>سوي اول تمرين يظهر لك فقط</t>
  </si>
  <si>
    <t>يوم راحة</t>
  </si>
  <si>
    <t>اليوم 2- فل بودي</t>
  </si>
  <si>
    <t>الثلاثاء</t>
  </si>
  <si>
    <t>Floor db press</t>
  </si>
  <si>
    <t>STATIONARY LUNGE</t>
  </si>
  <si>
    <t xml:space="preserve">Banded Bent Over Row  </t>
  </si>
  <si>
    <t>Dumbbell Glutes Bridge</t>
  </si>
  <si>
    <t>Dumbbell Curls</t>
  </si>
  <si>
    <t xml:space="preserve">banded triceps pushdown </t>
  </si>
  <si>
    <t>اليوم 3- فل بودي</t>
  </si>
  <si>
    <t>الخميس</t>
  </si>
  <si>
    <t>Seated Rows with Resistance Band</t>
  </si>
  <si>
    <t>step-up</t>
  </si>
  <si>
    <t>Chest Press with Resistance Bands</t>
  </si>
  <si>
    <t>bodyweight Side-Lying Hip Abduction</t>
  </si>
  <si>
    <t>Modified crunches</t>
  </si>
  <si>
    <t>يومين راحة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</si>
  <si>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</si>
  <si>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</si>
  <si>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</si>
  <si>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</si>
  <si>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</si>
  <si>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</si>
  <si>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</si>
  <si>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</si>
  <si>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</si>
  <si>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</si>
  <si>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</si>
  <si>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</si>
  <si>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</si>
  <si>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</si>
  <si>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</si>
  <si>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</si>
  <si>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</si>
  <si>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</si>
  <si>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</si>
  <si>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</si>
  <si>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</si>
  <si>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</si>
  <si>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</si>
  <si>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</si>
  <si>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</si>
  <si>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</si>
  <si>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</si>
  <si>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</si>
  <si>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</si>
  <si>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</si>
  <si>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</si>
  <si>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</si>
  <si>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</si>
  <si>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</si>
  <si>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</si>
  <si>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</si>
  <si>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</si>
  <si>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</si>
  <si>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</si>
  <si>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</si>
  <si>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</si>
  <si>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 تحت السره)</t>
  </si>
  <si>
    <t>الحوض</t>
  </si>
  <si>
    <t>الذراع</t>
  </si>
  <si>
    <t>الفخذ</t>
  </si>
  <si>
    <t xml:space="preserve">اليوم 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</si>
  <si>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</si>
  <si>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</si>
  <si>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</si>
  <si>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</si>
  <si>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</si>
  <si>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</si>
  <si>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</si>
  <si>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</si>
  <si>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</si>
  <si>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</si>
  <si>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</si>
  <si>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</si>
  <si>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</si>
  <si>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</si>
  <si>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</si>
  <si>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</si>
  <si>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</si>
  <si>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</si>
  <si>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البطن (تحت السره)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</si>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</sst>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-yyyy"/>
    <numFmt numFmtId="165" formatCode="m-d"/>
    <numFmt numFmtId="166" formatCode="m-d-yy"/>
    <numFmt numFmtId="167" formatCode="m/d/yyyy"/>
    <numFmt numFmtId="168" formatCode="M/d/yyyy"/>
  </numFmts>
  <fonts count="48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rgb="FFFFFFFF"/>
      <name val="Cairo"/>
    </font>
    <font>
      <b/>
      <u/>
      <sz val="12.0"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sz val="11.0"/>
      <color theme="1"/>
      <name val="Arial"/>
    </font>
    <font>
      <color rgb="FF000000"/>
      <name val="Arial"/>
      <scheme val="minor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FBBC04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9" fillId="2" fontId="15" numFmtId="0" xfId="0" applyAlignment="1" applyBorder="1" applyFont="1">
      <alignment horizontal="center" vertical="center"/>
    </xf>
    <xf borderId="9" fillId="6" fontId="16" numFmtId="0" xfId="0" applyAlignment="1" applyBorder="1" applyFill="1" applyFont="1">
      <alignment horizontal="center" vertical="center"/>
    </xf>
    <xf borderId="9" fillId="6" fontId="16" numFmtId="0" xfId="0" applyAlignment="1" applyBorder="1" applyFont="1">
      <alignment horizontal="center" readingOrder="0" vertical="center"/>
    </xf>
    <xf borderId="9" fillId="7" fontId="14" numFmtId="164" xfId="0" applyAlignment="1" applyBorder="1" applyFill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9" fillId="0" fontId="17" numFmtId="0" xfId="0" applyAlignment="1" applyBorder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13" numFmtId="0" xfId="0" applyAlignment="1" applyFont="1">
      <alignment horizontal="center" readingOrder="0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0" fontId="18" numFmtId="0" xfId="0" applyAlignment="1" applyBorder="1" applyFont="1">
      <alignment horizontal="center" readingOrder="0" vertical="center"/>
    </xf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19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2" fontId="19" numFmtId="0" xfId="0" applyAlignment="1" applyBorder="1" applyFont="1">
      <alignment horizontal="center" vertical="center"/>
    </xf>
    <xf borderId="9" fillId="0" fontId="20" numFmtId="0" xfId="0" applyAlignment="1" applyBorder="1" applyFont="1">
      <alignment horizontal="center" readingOrder="0" vertical="center"/>
    </xf>
    <xf borderId="4" fillId="7" fontId="4" numFmtId="0" xfId="0" applyAlignment="1" applyBorder="1" applyFont="1">
      <alignment horizontal="center" readingOrder="0" vertical="center"/>
    </xf>
    <xf borderId="9" fillId="7" fontId="1" numFmtId="166" xfId="0" applyAlignment="1" applyBorder="1" applyFont="1" applyNumberFormat="1">
      <alignment horizontal="center" readingOrder="0" vertical="center"/>
    </xf>
    <xf borderId="0" fillId="2" fontId="21" numFmtId="0" xfId="0" applyAlignment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3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vertical="center"/>
    </xf>
    <xf borderId="1" fillId="5" fontId="24" numFmtId="0" xfId="0" applyAlignment="1" applyBorder="1" applyFont="1">
      <alignment horizontal="center" readingOrder="0" vertical="center"/>
    </xf>
    <xf borderId="12" fillId="5" fontId="24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4" numFmtId="0" xfId="0" applyAlignment="1" applyBorder="1" applyFont="1">
      <alignment horizontal="center" readingOrder="0" vertical="center"/>
    </xf>
    <xf borderId="0" fillId="2" fontId="25" numFmtId="0" xfId="0" applyAlignment="1" applyFont="1">
      <alignment horizontal="center" vertical="center"/>
    </xf>
    <xf borderId="1" fillId="2" fontId="26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0" fillId="2" fontId="25" numFmtId="0" xfId="0" applyAlignment="1" applyFont="1">
      <alignment horizontal="center" vertical="center"/>
    </xf>
    <xf borderId="1" fillId="2" fontId="28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0" fillId="2" fontId="29" numFmtId="0" xfId="0" applyAlignment="1" applyFont="1">
      <alignment horizontal="center" readingOrder="0" vertical="center"/>
    </xf>
    <xf borderId="0" fillId="2" fontId="30" numFmtId="0" xfId="0" applyAlignment="1" applyFont="1">
      <alignment horizontal="center" readingOrder="0" vertical="center"/>
    </xf>
    <xf borderId="0" fillId="2" fontId="31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19" numFmtId="0" xfId="0" applyAlignment="1" applyBorder="1" applyFont="1">
      <alignment horizontal="center" readingOrder="0" shrinkToFit="0" vertical="center" wrapText="0"/>
    </xf>
    <xf borderId="15" fillId="2" fontId="19" numFmtId="0" xfId="0" applyAlignment="1" applyBorder="1" applyFont="1">
      <alignment horizontal="center" readingOrder="0" shrinkToFit="0" vertical="center" wrapText="0"/>
    </xf>
    <xf borderId="15" fillId="2" fontId="32" numFmtId="0" xfId="0" applyAlignment="1" applyBorder="1" applyFont="1">
      <alignment horizontal="center" readingOrder="0" shrinkToFit="0" vertical="center" wrapText="0"/>
    </xf>
    <xf borderId="15" fillId="2" fontId="32" numFmtId="0" xfId="0" applyAlignment="1" applyBorder="1" applyFont="1">
      <alignment horizontal="center" readingOrder="0" shrinkToFit="0" vertical="center" wrapText="0"/>
    </xf>
    <xf borderId="0" fillId="2" fontId="33" numFmtId="0" xfId="0" applyAlignment="1" applyFont="1">
      <alignment horizontal="center" vertical="center"/>
    </xf>
    <xf borderId="0" fillId="2" fontId="19" numFmtId="0" xfId="0" applyAlignment="1" applyFont="1">
      <alignment horizontal="center" readingOrder="0" shrinkToFit="0" vertical="center" wrapText="0"/>
    </xf>
    <xf borderId="0" fillId="2" fontId="32" numFmtId="0" xfId="0" applyAlignment="1" applyFont="1">
      <alignment horizontal="center" readingOrder="0" shrinkToFit="0" vertical="center" wrapText="0"/>
    </xf>
    <xf borderId="0" fillId="2" fontId="34" numFmtId="0" xfId="0" applyAlignment="1" applyFont="1">
      <alignment horizontal="center" vertical="center"/>
    </xf>
    <xf borderId="0" fillId="2" fontId="34" numFmtId="167" xfId="0" applyAlignment="1" applyFont="1" applyNumberFormat="1">
      <alignment horizontal="center" readingOrder="0" vertical="center"/>
    </xf>
    <xf borderId="0" fillId="2" fontId="34" numFmtId="167" xfId="0" applyAlignment="1" applyFont="1" applyNumberFormat="1">
      <alignment horizontal="center" readingOrder="2" vertical="center"/>
    </xf>
    <xf borderId="4" fillId="2" fontId="35" numFmtId="0" xfId="0" applyAlignment="1" applyBorder="1" applyFont="1">
      <alignment horizontal="center" vertical="bottom"/>
    </xf>
    <xf borderId="0" fillId="2" fontId="36" numFmtId="167" xfId="0" applyAlignment="1" applyFont="1" applyNumberFormat="1">
      <alignment horizontal="center" readingOrder="0" vertical="center"/>
    </xf>
    <xf borderId="0" fillId="0" fontId="31" numFmtId="0" xfId="0" applyAlignment="1" applyFont="1">
      <alignment horizontal="center" vertical="center"/>
    </xf>
    <xf borderId="0" fillId="0" fontId="37" numFmtId="167" xfId="0" applyAlignment="1" applyFont="1" applyNumberFormat="1">
      <alignment horizontal="center" vertical="center"/>
    </xf>
    <xf borderId="0" fillId="0" fontId="38" numFmtId="0" xfId="0" applyFont="1"/>
    <xf borderId="0" fillId="2" fontId="30" numFmtId="0" xfId="0" applyAlignment="1" applyFont="1">
      <alignment horizontal="center" readingOrder="0" vertical="center"/>
    </xf>
    <xf borderId="0" fillId="0" fontId="37" numFmtId="0" xfId="0" applyAlignment="1" applyFont="1">
      <alignment horizontal="center" vertical="center"/>
    </xf>
    <xf borderId="4" fillId="3" fontId="39" numFmtId="0" xfId="0" applyAlignment="1" applyBorder="1" applyFont="1">
      <alignment horizontal="center" readingOrder="0" vertical="center"/>
    </xf>
    <xf borderId="9" fillId="8" fontId="36" numFmtId="0" xfId="0" applyAlignment="1" applyBorder="1" applyFill="1" applyFont="1">
      <alignment horizontal="center" readingOrder="0" vertical="center"/>
    </xf>
    <xf borderId="4" fillId="7" fontId="36" numFmtId="0" xfId="0" applyAlignment="1" applyBorder="1" applyFont="1">
      <alignment horizontal="center" readingOrder="0" vertical="center"/>
    </xf>
    <xf borderId="0" fillId="2" fontId="40" numFmtId="0" xfId="0" applyAlignment="1" applyFont="1">
      <alignment horizontal="center" readingOrder="0" vertical="center"/>
    </xf>
    <xf borderId="0" fillId="2" fontId="36" numFmtId="0" xfId="0" applyAlignment="1" applyFont="1">
      <alignment horizontal="center" readingOrder="0" vertical="center"/>
    </xf>
    <xf borderId="4" fillId="7" fontId="36" numFmtId="0" xfId="0" applyAlignment="1" applyBorder="1" applyFont="1">
      <alignment horizontal="center" readingOrder="0" vertical="center"/>
    </xf>
    <xf borderId="4" fillId="3" fontId="41" numFmtId="0" xfId="0" applyAlignment="1" applyBorder="1" applyFont="1">
      <alignment horizontal="center" readingOrder="1" shrinkToFit="0" vertical="center" wrapText="0"/>
    </xf>
    <xf borderId="9" fillId="3" fontId="42" numFmtId="0" xfId="0" applyAlignment="1" applyBorder="1" applyFont="1">
      <alignment horizontal="center" readingOrder="0" vertical="center"/>
    </xf>
    <xf borderId="9" fillId="3" fontId="40" numFmtId="0" xfId="0" applyAlignment="1" applyBorder="1" applyFont="1">
      <alignment horizontal="center" readingOrder="0" vertical="center"/>
    </xf>
    <xf borderId="0" fillId="2" fontId="31" numFmtId="0" xfId="0" applyAlignment="1" applyFont="1">
      <alignment horizontal="center" readingOrder="2" vertical="center"/>
    </xf>
    <xf borderId="9" fillId="3" fontId="43" numFmtId="0" xfId="0" applyAlignment="1" applyBorder="1" applyFont="1">
      <alignment horizontal="center" readingOrder="0" vertical="center"/>
    </xf>
    <xf borderId="0" fillId="2" fontId="42" numFmtId="0" xfId="0" applyAlignment="1" applyFont="1">
      <alignment horizontal="center" readingOrder="0" vertical="center"/>
    </xf>
    <xf borderId="4" fillId="3" fontId="42" numFmtId="0" xfId="0" applyAlignment="1" applyBorder="1" applyFont="1">
      <alignment horizontal="center" readingOrder="0" vertical="center"/>
    </xf>
    <xf borderId="9" fillId="8" fontId="44" numFmtId="0" xfId="0" applyAlignment="1" applyBorder="1" applyFont="1">
      <alignment horizontal="center" readingOrder="0" vertical="center"/>
    </xf>
    <xf borderId="9" fillId="0" fontId="45" numFmtId="16" xfId="0" applyAlignment="1" applyBorder="1" applyFont="1" applyNumberFormat="1">
      <alignment horizontal="center" readingOrder="0" vertical="center"/>
    </xf>
    <xf borderId="9" fillId="2" fontId="30" numFmtId="0" xfId="0" applyAlignment="1" applyBorder="1" applyFont="1">
      <alignment horizontal="center" readingOrder="0" vertical="center"/>
    </xf>
    <xf borderId="9" fillId="5" fontId="36" numFmtId="168" xfId="0" applyAlignment="1" applyBorder="1" applyFont="1" applyNumberFormat="1">
      <alignment horizontal="center"/>
    </xf>
    <xf borderId="9" fillId="7" fontId="30" numFmtId="4" xfId="0" applyAlignment="1" applyBorder="1" applyFont="1" applyNumberFormat="1">
      <alignment horizontal="center" readingOrder="0" vertical="center"/>
    </xf>
    <xf borderId="0" fillId="2" fontId="44" numFmtId="0" xfId="0" applyAlignment="1" applyFont="1">
      <alignment horizontal="center" readingOrder="0" vertical="center"/>
    </xf>
    <xf borderId="9" fillId="5" fontId="36" numFmtId="168" xfId="0" applyAlignment="1" applyBorder="1" applyFont="1" applyNumberFormat="1">
      <alignment horizontal="center" readingOrder="0" vertical="center"/>
    </xf>
    <xf borderId="9" fillId="6" fontId="30" numFmtId="0" xfId="0" applyAlignment="1" applyBorder="1" applyFont="1">
      <alignment horizontal="center" readingOrder="0" vertical="center"/>
    </xf>
    <xf borderId="9" fillId="9" fontId="45" numFmtId="16" xfId="0" applyAlignment="1" applyBorder="1" applyFill="1" applyFont="1" applyNumberFormat="1">
      <alignment horizontal="center" vertical="center"/>
    </xf>
    <xf borderId="9" fillId="6" fontId="30" numFmtId="4" xfId="0" applyAlignment="1" applyBorder="1" applyFont="1" applyNumberFormat="1">
      <alignment horizontal="center" readingOrder="0" vertical="center"/>
    </xf>
    <xf borderId="9" fillId="6" fontId="30" numFmtId="49" xfId="0" applyAlignment="1" applyBorder="1" applyFont="1" applyNumberFormat="1">
      <alignment horizontal="center" readingOrder="0" vertical="center"/>
    </xf>
    <xf borderId="9" fillId="2" fontId="30" numFmtId="4" xfId="0" applyAlignment="1" applyBorder="1" applyFont="1" applyNumberFormat="1">
      <alignment horizontal="center"/>
    </xf>
    <xf borderId="9" fillId="2" fontId="30" numFmtId="49" xfId="0" applyAlignment="1" applyBorder="1" applyFont="1" applyNumberFormat="1">
      <alignment horizontal="center" readingOrder="0" vertical="center"/>
    </xf>
    <xf borderId="0" fillId="2" fontId="36" numFmtId="168" xfId="0" applyAlignment="1" applyFont="1" applyNumberFormat="1">
      <alignment horizontal="center" readingOrder="0" vertical="center"/>
    </xf>
    <xf borderId="9" fillId="7" fontId="30" numFmtId="49" xfId="0" applyAlignment="1" applyBorder="1" applyFont="1" applyNumberFormat="1">
      <alignment horizontal="center" readingOrder="0" vertical="center"/>
    </xf>
    <xf borderId="9" fillId="2" fontId="30" numFmtId="4" xfId="0" applyAlignment="1" applyBorder="1" applyFont="1" applyNumberFormat="1">
      <alignment horizontal="center" readingOrder="0" vertical="center"/>
    </xf>
    <xf borderId="9" fillId="7" fontId="36" numFmtId="4" xfId="0" applyAlignment="1" applyBorder="1" applyFont="1" applyNumberFormat="1">
      <alignment horizontal="center" readingOrder="0" vertical="center"/>
    </xf>
    <xf borderId="9" fillId="10" fontId="46" numFmtId="0" xfId="0" applyAlignment="1" applyBorder="1" applyFill="1" applyFont="1">
      <alignment horizontal="center" readingOrder="0" vertical="center"/>
    </xf>
    <xf borderId="9" fillId="10" fontId="36" numFmtId="4" xfId="0" applyAlignment="1" applyBorder="1" applyFont="1" applyNumberFormat="1">
      <alignment horizontal="center" readingOrder="0" vertical="center"/>
    </xf>
    <xf borderId="0" fillId="2" fontId="46" numFmtId="0" xfId="0" applyAlignment="1" applyFont="1">
      <alignment horizontal="center" readingOrder="0" vertical="center"/>
    </xf>
    <xf borderId="0" fillId="2" fontId="36" numFmtId="0" xfId="0" applyAlignment="1" applyFont="1">
      <alignment horizontal="center" vertical="center"/>
    </xf>
    <xf borderId="9" fillId="7" fontId="30" numFmtId="0" xfId="0" applyAlignment="1" applyBorder="1" applyFont="1">
      <alignment horizontal="center" readingOrder="0" vertical="center"/>
    </xf>
    <xf borderId="4" fillId="4" fontId="39" numFmtId="0" xfId="0" applyAlignment="1" applyBorder="1" applyFont="1">
      <alignment horizontal="center" readingOrder="0" vertical="center"/>
    </xf>
    <xf borderId="9" fillId="8" fontId="30" numFmtId="0" xfId="0" applyAlignment="1" applyBorder="1" applyFont="1">
      <alignment horizontal="center" readingOrder="0" vertical="center"/>
    </xf>
    <xf borderId="9" fillId="7" fontId="30" numFmtId="0" xfId="0" applyAlignment="1" applyBorder="1" applyFont="1">
      <alignment horizontal="center" readingOrder="0" vertical="center"/>
    </xf>
    <xf borderId="4" fillId="3" fontId="47" numFmtId="0" xfId="0" applyAlignment="1" applyBorder="1" applyFont="1">
      <alignment horizontal="center" readingOrder="1" shrinkToFit="0" vertical="center" wrapText="0"/>
    </xf>
    <xf borderId="9" fillId="7" fontId="36" numFmtId="167" xfId="0" applyAlignment="1" applyBorder="1" applyFont="1" applyNumberFormat="1">
      <alignment horizontal="center" readingOrder="0" vertical="center"/>
    </xf>
    <xf borderId="6" fillId="2" fontId="3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904875</xdr:colOff>
      <xdr:row>32</xdr:row>
      <xdr:rowOff>209550</xdr:rowOff>
    </xdr:from>
    <xdr:ext cx="4038600" cy="4762500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JpDDoINkrog?si=ljnSgx71RIzXDU71&amp;t=2" TargetMode="External"/><Relationship Id="rId42" Type="http://schemas.openxmlformats.org/officeDocument/2006/relationships/hyperlink" Target="https://youtu.be/sAq_ocpRh_I?t=18" TargetMode="External"/><Relationship Id="rId41" Type="http://schemas.openxmlformats.org/officeDocument/2006/relationships/hyperlink" Target="https://youtu.be/sAq_ocpRh_I?t=18" TargetMode="External"/><Relationship Id="rId44" Type="http://schemas.openxmlformats.org/officeDocument/2006/relationships/hyperlink" Target="https://youtu.be/sAq_ocpRh_I?t=18" TargetMode="External"/><Relationship Id="rId43" Type="http://schemas.openxmlformats.org/officeDocument/2006/relationships/hyperlink" Target="https://youtu.be/sAq_ocpRh_I?t=18" TargetMode="External"/><Relationship Id="rId46" Type="http://schemas.openxmlformats.org/officeDocument/2006/relationships/hyperlink" Target="https://www.youtube.com/shorts/PkGesjlH7RQ" TargetMode="External"/><Relationship Id="rId45" Type="http://schemas.openxmlformats.org/officeDocument/2006/relationships/hyperlink" Target="https://www.youtube.com/shorts/PkGesjlH7RQ" TargetMode="External"/><Relationship Id="rId1" Type="http://schemas.openxmlformats.org/officeDocument/2006/relationships/hyperlink" Target="https://www.youtube.com/watch?v=MeIiIdhvXT4&amp;t=119s" TargetMode="External"/><Relationship Id="rId2" Type="http://schemas.openxmlformats.org/officeDocument/2006/relationships/hyperlink" Target="https://www.youtube.com/watch?v=MeIiIdhvXT4&amp;t=119s" TargetMode="External"/><Relationship Id="rId3" Type="http://schemas.openxmlformats.org/officeDocument/2006/relationships/hyperlink" Target="https://www.youtube.com/watch?v=MeIiIdhvXT4&amp;t=119s" TargetMode="External"/><Relationship Id="rId4" Type="http://schemas.openxmlformats.org/officeDocument/2006/relationships/hyperlink" Target="https://www.youtube.com/watch?v=MeIiIdhvXT4&amp;t=119s" TargetMode="External"/><Relationship Id="rId9" Type="http://schemas.openxmlformats.org/officeDocument/2006/relationships/hyperlink" Target="https://www.youtube.com/watch?v=6h1A7cpM1L0" TargetMode="External"/><Relationship Id="rId48" Type="http://schemas.openxmlformats.org/officeDocument/2006/relationships/hyperlink" Target="https://www.youtube.com/shorts/PkGesjlH7RQ" TargetMode="External"/><Relationship Id="rId47" Type="http://schemas.openxmlformats.org/officeDocument/2006/relationships/hyperlink" Target="https://www.youtube.com/shorts/PkGesjlH7RQ" TargetMode="External"/><Relationship Id="rId49" Type="http://schemas.openxmlformats.org/officeDocument/2006/relationships/hyperlink" Target="https://www.youtube.com/watch?v=aafaCFMvDKk" TargetMode="External"/><Relationship Id="rId5" Type="http://schemas.openxmlformats.org/officeDocument/2006/relationships/hyperlink" Target="https://www.youtube.com/watch?v=lJJEkmU_f3c" TargetMode="External"/><Relationship Id="rId6" Type="http://schemas.openxmlformats.org/officeDocument/2006/relationships/hyperlink" Target="https://www.youtube.com/watch?v=lJJEkmU_f3c" TargetMode="External"/><Relationship Id="rId7" Type="http://schemas.openxmlformats.org/officeDocument/2006/relationships/hyperlink" Target="https://www.youtube.com/watch?v=lJJEkmU_f3c" TargetMode="External"/><Relationship Id="rId8" Type="http://schemas.openxmlformats.org/officeDocument/2006/relationships/hyperlink" Target="https://www.youtube.com/watch?v=lJJEkmU_f3c" TargetMode="External"/><Relationship Id="rId73" Type="http://schemas.openxmlformats.org/officeDocument/2006/relationships/hyperlink" Target="https://www.youtube.com/watch?v=uW3-Ue07H0M" TargetMode="External"/><Relationship Id="rId72" Type="http://schemas.openxmlformats.org/officeDocument/2006/relationships/hyperlink" Target="https://youtu.be/JIZy6qGTL2s?t=88" TargetMode="External"/><Relationship Id="rId31" Type="http://schemas.openxmlformats.org/officeDocument/2006/relationships/hyperlink" Target="https://youtu.be/qO_21ExL4zw?si=_jvjZg9jiOagFqub&amp;t=3" TargetMode="External"/><Relationship Id="rId75" Type="http://schemas.openxmlformats.org/officeDocument/2006/relationships/hyperlink" Target="https://www.youtube.com/watch?v=0lEADrqPPNM" TargetMode="External"/><Relationship Id="rId30" Type="http://schemas.openxmlformats.org/officeDocument/2006/relationships/hyperlink" Target="https://youtu.be/qO_21ExL4zw?si=_jvjZg9jiOagFqub&amp;t=3" TargetMode="External"/><Relationship Id="rId74" Type="http://schemas.openxmlformats.org/officeDocument/2006/relationships/hyperlink" Target="https://www.youtube.com/shorts/5MNZ2x9Qzsw" TargetMode="External"/><Relationship Id="rId33" Type="http://schemas.openxmlformats.org/officeDocument/2006/relationships/hyperlink" Target="https://www.youtube.com/watch?v=hsHWPGOE4V0" TargetMode="External"/><Relationship Id="rId32" Type="http://schemas.openxmlformats.org/officeDocument/2006/relationships/hyperlink" Target="https://youtu.be/qO_21ExL4zw?si=_jvjZg9jiOagFqub&amp;t=3" TargetMode="External"/><Relationship Id="rId76" Type="http://schemas.openxmlformats.org/officeDocument/2006/relationships/drawing" Target="../drawings/drawing1.xml"/><Relationship Id="rId35" Type="http://schemas.openxmlformats.org/officeDocument/2006/relationships/hyperlink" Target="https://www.youtube.com/watch?v=hsHWPGOE4V0" TargetMode="External"/><Relationship Id="rId34" Type="http://schemas.openxmlformats.org/officeDocument/2006/relationships/hyperlink" Target="https://www.youtube.com/watch?v=hsHWPGOE4V0" TargetMode="External"/><Relationship Id="rId71" Type="http://schemas.openxmlformats.org/officeDocument/2006/relationships/hyperlink" Target="https://youtu.be/JIZy6qGTL2s?t=88" TargetMode="External"/><Relationship Id="rId70" Type="http://schemas.openxmlformats.org/officeDocument/2006/relationships/hyperlink" Target="https://youtu.be/JIZy6qGTL2s?t=88" TargetMode="External"/><Relationship Id="rId37" Type="http://schemas.openxmlformats.org/officeDocument/2006/relationships/hyperlink" Target="https://youtu.be/JpDDoINkrog?si=ljnSgx71RIzXDU71&amp;t=2" TargetMode="External"/><Relationship Id="rId36" Type="http://schemas.openxmlformats.org/officeDocument/2006/relationships/hyperlink" Target="https://www.youtube.com/watch?v=hsHWPGOE4V0" TargetMode="External"/><Relationship Id="rId39" Type="http://schemas.openxmlformats.org/officeDocument/2006/relationships/hyperlink" Target="https://youtu.be/JpDDoINkrog?si=ljnSgx71RIzXDU71&amp;t=2" TargetMode="External"/><Relationship Id="rId38" Type="http://schemas.openxmlformats.org/officeDocument/2006/relationships/hyperlink" Target="https://youtu.be/JpDDoINkrog?si=ljnSgx71RIzXDU71&amp;t=2" TargetMode="External"/><Relationship Id="rId62" Type="http://schemas.openxmlformats.org/officeDocument/2006/relationships/hyperlink" Target="https://www.youtube.com/watch?v=6h1A7cpM1L0" TargetMode="External"/><Relationship Id="rId61" Type="http://schemas.openxmlformats.org/officeDocument/2006/relationships/hyperlink" Target="https://www.youtube.com/watch?v=6h1A7cpM1L0" TargetMode="External"/><Relationship Id="rId20" Type="http://schemas.openxmlformats.org/officeDocument/2006/relationships/hyperlink" Target="https://www.youtube.com/shorts/fOfPwmb5FXU" TargetMode="External"/><Relationship Id="rId64" Type="http://schemas.openxmlformats.org/officeDocument/2006/relationships/hyperlink" Target="https://www.youtube.com/watch?v=6h1A7cpM1L0" TargetMode="External"/><Relationship Id="rId63" Type="http://schemas.openxmlformats.org/officeDocument/2006/relationships/hyperlink" Target="https://www.youtube.com/watch?v=6h1A7cpM1L0" TargetMode="External"/><Relationship Id="rId22" Type="http://schemas.openxmlformats.org/officeDocument/2006/relationships/hyperlink" Target="https://youtu.be/eDu68xpNsKE?t=365" TargetMode="External"/><Relationship Id="rId66" Type="http://schemas.openxmlformats.org/officeDocument/2006/relationships/hyperlink" Target="https://youtu.be/65Gynvvbxvg?si=OBQSuleziA3akvVF" TargetMode="External"/><Relationship Id="rId21" Type="http://schemas.openxmlformats.org/officeDocument/2006/relationships/hyperlink" Target="https://youtu.be/eDu68xpNsKE?t=365" TargetMode="External"/><Relationship Id="rId65" Type="http://schemas.openxmlformats.org/officeDocument/2006/relationships/hyperlink" Target="https://youtu.be/65Gynvvbxvg?si=OBQSuleziA3akvVF" TargetMode="External"/><Relationship Id="rId24" Type="http://schemas.openxmlformats.org/officeDocument/2006/relationships/hyperlink" Target="https://youtu.be/eDu68xpNsKE?t=365" TargetMode="External"/><Relationship Id="rId68" Type="http://schemas.openxmlformats.org/officeDocument/2006/relationships/hyperlink" Target="https://youtu.be/65Gynvvbxvg?si=OBQSuleziA3akvVF" TargetMode="External"/><Relationship Id="rId23" Type="http://schemas.openxmlformats.org/officeDocument/2006/relationships/hyperlink" Target="https://youtu.be/eDu68xpNsKE?t=365" TargetMode="External"/><Relationship Id="rId67" Type="http://schemas.openxmlformats.org/officeDocument/2006/relationships/hyperlink" Target="https://youtu.be/65Gynvvbxvg?si=OBQSuleziA3akvVF" TargetMode="External"/><Relationship Id="rId60" Type="http://schemas.openxmlformats.org/officeDocument/2006/relationships/hyperlink" Target="https://www.youtube.com/watch?v=4iVpEZ-Vl8U" TargetMode="External"/><Relationship Id="rId26" Type="http://schemas.openxmlformats.org/officeDocument/2006/relationships/hyperlink" Target="https://youtu.be/0MPzebsn6dc?t=240" TargetMode="External"/><Relationship Id="rId25" Type="http://schemas.openxmlformats.org/officeDocument/2006/relationships/hyperlink" Target="https://youtu.be/0MPzebsn6dc?t=240" TargetMode="External"/><Relationship Id="rId69" Type="http://schemas.openxmlformats.org/officeDocument/2006/relationships/hyperlink" Target="https://youtu.be/JIZy6qGTL2s?t=88" TargetMode="External"/><Relationship Id="rId28" Type="http://schemas.openxmlformats.org/officeDocument/2006/relationships/hyperlink" Target="https://youtu.be/0MPzebsn6dc?t=240" TargetMode="External"/><Relationship Id="rId27" Type="http://schemas.openxmlformats.org/officeDocument/2006/relationships/hyperlink" Target="https://youtu.be/0MPzebsn6dc?t=240" TargetMode="External"/><Relationship Id="rId29" Type="http://schemas.openxmlformats.org/officeDocument/2006/relationships/hyperlink" Target="https://youtu.be/qO_21ExL4zw?si=_jvjZg9jiOagFqub&amp;t=3" TargetMode="External"/><Relationship Id="rId51" Type="http://schemas.openxmlformats.org/officeDocument/2006/relationships/hyperlink" Target="https://www.youtube.com/watch?v=aafaCFMvDKk" TargetMode="External"/><Relationship Id="rId50" Type="http://schemas.openxmlformats.org/officeDocument/2006/relationships/hyperlink" Target="https://www.youtube.com/watch?v=aafaCFMvDKk" TargetMode="External"/><Relationship Id="rId53" Type="http://schemas.openxmlformats.org/officeDocument/2006/relationships/hyperlink" Target="https://www.youtube.com/watch?v=37tVohr7LcE" TargetMode="External"/><Relationship Id="rId52" Type="http://schemas.openxmlformats.org/officeDocument/2006/relationships/hyperlink" Target="https://www.youtube.com/watch?v=aafaCFMvDKk" TargetMode="External"/><Relationship Id="rId11" Type="http://schemas.openxmlformats.org/officeDocument/2006/relationships/hyperlink" Target="https://www.youtube.com/watch?v=6h1A7cpM1L0" TargetMode="External"/><Relationship Id="rId55" Type="http://schemas.openxmlformats.org/officeDocument/2006/relationships/hyperlink" Target="https://www.youtube.com/watch?v=37tVohr7LcE" TargetMode="External"/><Relationship Id="rId10" Type="http://schemas.openxmlformats.org/officeDocument/2006/relationships/hyperlink" Target="https://www.youtube.com/watch?v=6h1A7cpM1L0" TargetMode="External"/><Relationship Id="rId54" Type="http://schemas.openxmlformats.org/officeDocument/2006/relationships/hyperlink" Target="https://www.youtube.com/watch?v=37tVohr7LcE" TargetMode="External"/><Relationship Id="rId13" Type="http://schemas.openxmlformats.org/officeDocument/2006/relationships/hyperlink" Target="https://www.youtube.com/shorts/JxQPsGSTPA8" TargetMode="External"/><Relationship Id="rId57" Type="http://schemas.openxmlformats.org/officeDocument/2006/relationships/hyperlink" Target="https://www.youtube.com/watch?v=4iVpEZ-Vl8U" TargetMode="External"/><Relationship Id="rId12" Type="http://schemas.openxmlformats.org/officeDocument/2006/relationships/hyperlink" Target="https://www.youtube.com/watch?v=6h1A7cpM1L0" TargetMode="External"/><Relationship Id="rId56" Type="http://schemas.openxmlformats.org/officeDocument/2006/relationships/hyperlink" Target="https://www.youtube.com/watch?v=37tVohr7LcE" TargetMode="External"/><Relationship Id="rId15" Type="http://schemas.openxmlformats.org/officeDocument/2006/relationships/hyperlink" Target="https://www.youtube.com/shorts/JxQPsGSTPA8" TargetMode="External"/><Relationship Id="rId59" Type="http://schemas.openxmlformats.org/officeDocument/2006/relationships/hyperlink" Target="https://www.youtube.com/watch?v=4iVpEZ-Vl8U" TargetMode="External"/><Relationship Id="rId14" Type="http://schemas.openxmlformats.org/officeDocument/2006/relationships/hyperlink" Target="https://www.youtube.com/shorts/JxQPsGSTPA8" TargetMode="External"/><Relationship Id="rId58" Type="http://schemas.openxmlformats.org/officeDocument/2006/relationships/hyperlink" Target="https://www.youtube.com/watch?v=4iVpEZ-Vl8U" TargetMode="External"/><Relationship Id="rId17" Type="http://schemas.openxmlformats.org/officeDocument/2006/relationships/hyperlink" Target="https://www.youtube.com/shorts/fOfPwmb5FXU" TargetMode="External"/><Relationship Id="rId16" Type="http://schemas.openxmlformats.org/officeDocument/2006/relationships/hyperlink" Target="https://www.youtube.com/shorts/JxQPsGSTPA8" TargetMode="External"/><Relationship Id="rId19" Type="http://schemas.openxmlformats.org/officeDocument/2006/relationships/hyperlink" Target="https://www.youtube.com/shorts/fOfPwmb5FXU" TargetMode="External"/><Relationship Id="rId18" Type="http://schemas.openxmlformats.org/officeDocument/2006/relationships/hyperlink" Target="https://www.youtube.com/shorts/fOfPwmb5FXU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1" width="18.88"/>
    <col customWidth="1" min="22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5.88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7.63"/>
    <col customWidth="1" min="46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1"/>
      <c r="B12" s="1"/>
      <c r="C12" s="26" t="s">
        <v>14</v>
      </c>
      <c r="D12" s="27">
        <v>3.0</v>
      </c>
      <c r="E12" s="28">
        <v>8.0</v>
      </c>
      <c r="F12" s="28">
        <v>8.0</v>
      </c>
      <c r="G12" s="29"/>
      <c r="H12" s="30"/>
      <c r="I12" s="31"/>
      <c r="J12" s="23"/>
      <c r="K12" s="31"/>
      <c r="L12" s="23"/>
      <c r="M12" s="32"/>
      <c r="N12" s="1"/>
      <c r="O12" s="26" t="s">
        <v>14</v>
      </c>
      <c r="P12" s="27">
        <v>3.0</v>
      </c>
      <c r="Q12" s="28">
        <v>8.0</v>
      </c>
      <c r="R12" s="28">
        <v>8.0</v>
      </c>
      <c r="S12" s="29"/>
      <c r="T12" s="30"/>
      <c r="U12" s="31"/>
      <c r="V12" s="23"/>
      <c r="W12" s="31"/>
      <c r="X12" s="23"/>
      <c r="Y12" s="1"/>
      <c r="Z12" s="1"/>
      <c r="AA12" s="26" t="s">
        <v>14</v>
      </c>
      <c r="AB12" s="27">
        <v>3.0</v>
      </c>
      <c r="AC12" s="28">
        <v>8.0</v>
      </c>
      <c r="AD12" s="28">
        <v>8.0</v>
      </c>
      <c r="AE12" s="29"/>
      <c r="AF12" s="30"/>
      <c r="AG12" s="31"/>
      <c r="AH12" s="23"/>
      <c r="AI12" s="31"/>
      <c r="AJ12" s="23"/>
      <c r="AK12" s="33"/>
      <c r="AL12" s="1"/>
      <c r="AM12" s="26" t="s">
        <v>14</v>
      </c>
      <c r="AN12" s="27">
        <v>3.0</v>
      </c>
      <c r="AO12" s="28">
        <v>8.0</v>
      </c>
      <c r="AP12" s="28">
        <v>8.0</v>
      </c>
      <c r="AQ12" s="29"/>
      <c r="AR12" s="30"/>
      <c r="AS12" s="31"/>
      <c r="AT12" s="23"/>
      <c r="AU12" s="31"/>
      <c r="AV12" s="23"/>
      <c r="AW12" s="34"/>
      <c r="AX12" s="34"/>
    </row>
    <row r="13" ht="20.25" customHeight="1">
      <c r="A13" s="4"/>
      <c r="B13" s="1"/>
      <c r="C13" s="26" t="s">
        <v>15</v>
      </c>
      <c r="D13" s="27">
        <v>3.0</v>
      </c>
      <c r="E13" s="28" t="s">
        <v>16</v>
      </c>
      <c r="F13" s="28">
        <v>8.0</v>
      </c>
      <c r="G13" s="30"/>
      <c r="H13" s="30"/>
      <c r="I13" s="31"/>
      <c r="J13" s="23"/>
      <c r="K13" s="31"/>
      <c r="L13" s="23"/>
      <c r="M13" s="32"/>
      <c r="N13" s="1"/>
      <c r="O13" s="26" t="s">
        <v>15</v>
      </c>
      <c r="P13" s="27">
        <v>3.0</v>
      </c>
      <c r="Q13" s="28" t="s">
        <v>16</v>
      </c>
      <c r="R13" s="28">
        <v>8.0</v>
      </c>
      <c r="S13" s="30"/>
      <c r="T13" s="30"/>
      <c r="U13" s="31"/>
      <c r="V13" s="23"/>
      <c r="W13" s="31"/>
      <c r="X13" s="23"/>
      <c r="Y13" s="1"/>
      <c r="Z13" s="1"/>
      <c r="AA13" s="26" t="s">
        <v>15</v>
      </c>
      <c r="AB13" s="27">
        <v>3.0</v>
      </c>
      <c r="AC13" s="28" t="s">
        <v>16</v>
      </c>
      <c r="AD13" s="28">
        <v>8.0</v>
      </c>
      <c r="AE13" s="30"/>
      <c r="AF13" s="30"/>
      <c r="AG13" s="31"/>
      <c r="AH13" s="23"/>
      <c r="AI13" s="31"/>
      <c r="AJ13" s="23"/>
      <c r="AK13" s="33"/>
      <c r="AL13" s="1"/>
      <c r="AM13" s="26" t="s">
        <v>15</v>
      </c>
      <c r="AN13" s="27">
        <v>3.0</v>
      </c>
      <c r="AO13" s="28" t="s">
        <v>16</v>
      </c>
      <c r="AP13" s="28">
        <v>8.0</v>
      </c>
      <c r="AQ13" s="30"/>
      <c r="AR13" s="30"/>
      <c r="AS13" s="31"/>
      <c r="AT13" s="23"/>
      <c r="AU13" s="31"/>
      <c r="AV13" s="23"/>
      <c r="AW13" s="34"/>
      <c r="AX13" s="34"/>
    </row>
    <row r="14" ht="20.25" customHeight="1">
      <c r="A14" s="4"/>
      <c r="B14" s="1"/>
      <c r="C14" s="26" t="s">
        <v>17</v>
      </c>
      <c r="D14" s="27">
        <v>3.0</v>
      </c>
      <c r="E14" s="28" t="s">
        <v>16</v>
      </c>
      <c r="F14" s="28">
        <v>8.0</v>
      </c>
      <c r="G14" s="30"/>
      <c r="H14" s="30"/>
      <c r="I14" s="31"/>
      <c r="J14" s="23"/>
      <c r="K14" s="31"/>
      <c r="L14" s="23"/>
      <c r="M14" s="32"/>
      <c r="N14" s="1"/>
      <c r="O14" s="26" t="s">
        <v>17</v>
      </c>
      <c r="P14" s="27">
        <v>3.0</v>
      </c>
      <c r="Q14" s="28" t="s">
        <v>16</v>
      </c>
      <c r="R14" s="28">
        <v>8.0</v>
      </c>
      <c r="S14" s="30"/>
      <c r="T14" s="30"/>
      <c r="U14" s="31"/>
      <c r="V14" s="23"/>
      <c r="W14" s="31"/>
      <c r="X14" s="23"/>
      <c r="Y14" s="24"/>
      <c r="Z14" s="1"/>
      <c r="AA14" s="26" t="s">
        <v>17</v>
      </c>
      <c r="AB14" s="27">
        <v>3.0</v>
      </c>
      <c r="AC14" s="28" t="s">
        <v>16</v>
      </c>
      <c r="AD14" s="28">
        <v>8.0</v>
      </c>
      <c r="AE14" s="30"/>
      <c r="AF14" s="30"/>
      <c r="AG14" s="31"/>
      <c r="AH14" s="23"/>
      <c r="AI14" s="31"/>
      <c r="AJ14" s="23"/>
      <c r="AK14" s="33"/>
      <c r="AL14" s="1"/>
      <c r="AM14" s="26" t="s">
        <v>17</v>
      </c>
      <c r="AN14" s="27">
        <v>3.0</v>
      </c>
      <c r="AO14" s="28" t="s">
        <v>16</v>
      </c>
      <c r="AP14" s="28">
        <v>8.0</v>
      </c>
      <c r="AQ14" s="30"/>
      <c r="AR14" s="30"/>
      <c r="AS14" s="31"/>
      <c r="AT14" s="23"/>
      <c r="AU14" s="31"/>
      <c r="AV14" s="23"/>
      <c r="AW14" s="34"/>
      <c r="AX14" s="34"/>
    </row>
    <row r="15" ht="20.25" customHeight="1">
      <c r="A15" s="1"/>
      <c r="B15" s="1"/>
      <c r="C15" s="35" t="s">
        <v>18</v>
      </c>
      <c r="D15" s="27">
        <v>3.0</v>
      </c>
      <c r="E15" s="28" t="s">
        <v>16</v>
      </c>
      <c r="F15" s="28">
        <v>8.0</v>
      </c>
      <c r="G15" s="30"/>
      <c r="H15" s="30"/>
      <c r="I15" s="31"/>
      <c r="J15" s="23"/>
      <c r="K15" s="31"/>
      <c r="L15" s="23"/>
      <c r="M15" s="32"/>
      <c r="N15" s="1"/>
      <c r="O15" s="35" t="s">
        <v>18</v>
      </c>
      <c r="P15" s="27">
        <v>3.0</v>
      </c>
      <c r="Q15" s="28" t="s">
        <v>16</v>
      </c>
      <c r="R15" s="28">
        <v>8.0</v>
      </c>
      <c r="S15" s="30"/>
      <c r="T15" s="30"/>
      <c r="U15" s="31"/>
      <c r="V15" s="23"/>
      <c r="W15" s="31"/>
      <c r="X15" s="23"/>
      <c r="Y15" s="24"/>
      <c r="Z15" s="1"/>
      <c r="AA15" s="35" t="s">
        <v>18</v>
      </c>
      <c r="AB15" s="27">
        <v>3.0</v>
      </c>
      <c r="AC15" s="28" t="s">
        <v>16</v>
      </c>
      <c r="AD15" s="28">
        <v>8.0</v>
      </c>
      <c r="AE15" s="30"/>
      <c r="AF15" s="30"/>
      <c r="AG15" s="31"/>
      <c r="AH15" s="23"/>
      <c r="AI15" s="31"/>
      <c r="AJ15" s="23"/>
      <c r="AK15" s="33"/>
      <c r="AL15" s="1"/>
      <c r="AM15" s="35" t="s">
        <v>18</v>
      </c>
      <c r="AN15" s="27">
        <v>3.0</v>
      </c>
      <c r="AO15" s="28" t="s">
        <v>16</v>
      </c>
      <c r="AP15" s="28">
        <v>8.0</v>
      </c>
      <c r="AQ15" s="30"/>
      <c r="AR15" s="30"/>
      <c r="AS15" s="31"/>
      <c r="AT15" s="23"/>
      <c r="AU15" s="31"/>
      <c r="AV15" s="23"/>
      <c r="AW15" s="34"/>
      <c r="AX15" s="34"/>
    </row>
    <row r="16" ht="20.25" customHeight="1">
      <c r="A16" s="1"/>
      <c r="B16" s="1"/>
      <c r="C16" s="35" t="s">
        <v>19</v>
      </c>
      <c r="D16" s="27">
        <v>3.0</v>
      </c>
      <c r="E16" s="28" t="s">
        <v>16</v>
      </c>
      <c r="F16" s="28">
        <v>8.0</v>
      </c>
      <c r="G16" s="30"/>
      <c r="H16" s="30"/>
      <c r="I16" s="31"/>
      <c r="J16" s="23"/>
      <c r="K16" s="31"/>
      <c r="L16" s="23"/>
      <c r="M16" s="32"/>
      <c r="N16" s="1"/>
      <c r="O16" s="35" t="s">
        <v>19</v>
      </c>
      <c r="P16" s="27">
        <v>3.0</v>
      </c>
      <c r="Q16" s="28" t="s">
        <v>16</v>
      </c>
      <c r="R16" s="28">
        <v>8.0</v>
      </c>
      <c r="S16" s="30"/>
      <c r="T16" s="30"/>
      <c r="U16" s="31"/>
      <c r="V16" s="23"/>
      <c r="W16" s="31"/>
      <c r="X16" s="23"/>
      <c r="Y16" s="24"/>
      <c r="Z16" s="1"/>
      <c r="AA16" s="35" t="s">
        <v>19</v>
      </c>
      <c r="AB16" s="27">
        <v>3.0</v>
      </c>
      <c r="AC16" s="28" t="s">
        <v>16</v>
      </c>
      <c r="AD16" s="28">
        <v>8.0</v>
      </c>
      <c r="AE16" s="30"/>
      <c r="AF16" s="30"/>
      <c r="AG16" s="31"/>
      <c r="AH16" s="23"/>
      <c r="AI16" s="31"/>
      <c r="AJ16" s="23"/>
      <c r="AK16" s="33"/>
      <c r="AL16" s="1"/>
      <c r="AM16" s="35" t="s">
        <v>19</v>
      </c>
      <c r="AN16" s="27">
        <v>3.0</v>
      </c>
      <c r="AO16" s="28" t="s">
        <v>16</v>
      </c>
      <c r="AP16" s="28">
        <v>8.0</v>
      </c>
      <c r="AQ16" s="30"/>
      <c r="AR16" s="30"/>
      <c r="AS16" s="31"/>
      <c r="AT16" s="23"/>
      <c r="AU16" s="31"/>
      <c r="AV16" s="23"/>
      <c r="AW16" s="34"/>
      <c r="AX16" s="34"/>
    </row>
    <row r="17" ht="20.25" customHeight="1">
      <c r="A17" s="1"/>
      <c r="B17" s="16"/>
      <c r="C17" s="26" t="s">
        <v>20</v>
      </c>
      <c r="D17" s="27">
        <v>3.0</v>
      </c>
      <c r="E17" s="28" t="s">
        <v>21</v>
      </c>
      <c r="F17" s="28">
        <v>8.0</v>
      </c>
      <c r="G17" s="30"/>
      <c r="H17" s="30"/>
      <c r="I17" s="31" t="s">
        <v>22</v>
      </c>
      <c r="J17" s="23"/>
      <c r="K17" s="31"/>
      <c r="L17" s="23"/>
      <c r="M17" s="5"/>
      <c r="N17" s="16"/>
      <c r="O17" s="26" t="s">
        <v>20</v>
      </c>
      <c r="P17" s="27">
        <v>3.0</v>
      </c>
      <c r="Q17" s="28" t="s">
        <v>21</v>
      </c>
      <c r="R17" s="28">
        <v>8.0</v>
      </c>
      <c r="S17" s="30"/>
      <c r="T17" s="30"/>
      <c r="U17" s="31" t="s">
        <v>22</v>
      </c>
      <c r="V17" s="23"/>
      <c r="W17" s="31"/>
      <c r="X17" s="23"/>
      <c r="Y17" s="4"/>
      <c r="Z17" s="16"/>
      <c r="AA17" s="26" t="s">
        <v>20</v>
      </c>
      <c r="AB17" s="27">
        <v>3.0</v>
      </c>
      <c r="AC17" s="28" t="s">
        <v>21</v>
      </c>
      <c r="AD17" s="28">
        <v>8.0</v>
      </c>
      <c r="AE17" s="30"/>
      <c r="AF17" s="30"/>
      <c r="AG17" s="31" t="s">
        <v>22</v>
      </c>
      <c r="AH17" s="23"/>
      <c r="AI17" s="31"/>
      <c r="AJ17" s="23"/>
      <c r="AK17" s="2"/>
      <c r="AL17" s="16"/>
      <c r="AM17" s="26" t="s">
        <v>20</v>
      </c>
      <c r="AN17" s="27">
        <v>3.0</v>
      </c>
      <c r="AO17" s="28" t="s">
        <v>21</v>
      </c>
      <c r="AP17" s="28">
        <v>8.0</v>
      </c>
      <c r="AQ17" s="30"/>
      <c r="AR17" s="30"/>
      <c r="AS17" s="31" t="s">
        <v>22</v>
      </c>
      <c r="AT17" s="23"/>
      <c r="AU17" s="31"/>
      <c r="AV17" s="23"/>
      <c r="AW17" s="34"/>
      <c r="AX17" s="34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36"/>
      <c r="AX18" s="36"/>
    </row>
    <row r="19" ht="20.25" customHeight="1">
      <c r="A19" s="1"/>
      <c r="B19" s="16"/>
      <c r="C19" s="37" t="s">
        <v>23</v>
      </c>
      <c r="D19" s="38"/>
      <c r="E19" s="38"/>
      <c r="F19" s="38"/>
      <c r="G19" s="38"/>
      <c r="H19" s="38"/>
      <c r="I19" s="38"/>
      <c r="J19" s="38"/>
      <c r="K19" s="38"/>
      <c r="L19" s="23"/>
      <c r="M19" s="5"/>
      <c r="N19" s="16"/>
      <c r="O19" s="37" t="s">
        <v>23</v>
      </c>
      <c r="P19" s="38"/>
      <c r="Q19" s="38"/>
      <c r="R19" s="38"/>
      <c r="S19" s="38"/>
      <c r="T19" s="38"/>
      <c r="U19" s="38"/>
      <c r="V19" s="38"/>
      <c r="W19" s="38"/>
      <c r="X19" s="23"/>
      <c r="Y19" s="4"/>
      <c r="Z19" s="16"/>
      <c r="AA19" s="37" t="s">
        <v>23</v>
      </c>
      <c r="AB19" s="38"/>
      <c r="AC19" s="38"/>
      <c r="AD19" s="38"/>
      <c r="AE19" s="38"/>
      <c r="AF19" s="38"/>
      <c r="AG19" s="38"/>
      <c r="AH19" s="38"/>
      <c r="AI19" s="38"/>
      <c r="AJ19" s="23"/>
      <c r="AK19" s="2"/>
      <c r="AL19" s="16"/>
      <c r="AM19" s="37" t="s">
        <v>23</v>
      </c>
      <c r="AN19" s="38"/>
      <c r="AO19" s="38"/>
      <c r="AP19" s="38"/>
      <c r="AQ19" s="38"/>
      <c r="AR19" s="38"/>
      <c r="AS19" s="38"/>
      <c r="AT19" s="38"/>
      <c r="AU19" s="38"/>
      <c r="AV19" s="23"/>
      <c r="AW19" s="39"/>
      <c r="AX19" s="39"/>
    </row>
    <row r="20" ht="20.25" customHeight="1">
      <c r="A20" s="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5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4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2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36"/>
      <c r="AX20" s="36"/>
    </row>
    <row r="21" ht="20.25" customHeight="1">
      <c r="A21" s="1"/>
      <c r="B21" s="4"/>
      <c r="C21" s="12" t="s">
        <v>24</v>
      </c>
      <c r="D21" s="40"/>
      <c r="E21" s="40"/>
      <c r="F21" s="1"/>
      <c r="G21" s="1"/>
      <c r="H21" s="1"/>
      <c r="I21" s="1"/>
      <c r="J21" s="1"/>
      <c r="K21" s="1"/>
      <c r="L21" s="1"/>
      <c r="M21" s="5"/>
      <c r="N21" s="4"/>
      <c r="O21" s="12" t="s">
        <v>24</v>
      </c>
      <c r="P21" s="40"/>
      <c r="Q21" s="40"/>
      <c r="R21" s="1"/>
      <c r="S21" s="1"/>
      <c r="T21" s="1"/>
      <c r="U21" s="1"/>
      <c r="V21" s="1"/>
      <c r="W21" s="1"/>
      <c r="X21" s="1"/>
      <c r="Y21" s="24"/>
      <c r="Z21" s="4"/>
      <c r="AA21" s="12" t="s">
        <v>24</v>
      </c>
      <c r="AB21" s="40"/>
      <c r="AC21" s="40"/>
      <c r="AD21" s="1"/>
      <c r="AE21" s="1"/>
      <c r="AF21" s="1"/>
      <c r="AG21" s="1"/>
      <c r="AH21" s="1"/>
      <c r="AI21" s="1"/>
      <c r="AJ21" s="1"/>
      <c r="AK21" s="3"/>
      <c r="AL21" s="4"/>
      <c r="AM21" s="12" t="s">
        <v>24</v>
      </c>
      <c r="AN21" s="40"/>
      <c r="AO21" s="40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2" t="s">
        <v>25</v>
      </c>
      <c r="C22" s="41" t="s">
        <v>6</v>
      </c>
      <c r="D22" s="21" t="s">
        <v>7</v>
      </c>
      <c r="E22" s="21" t="s">
        <v>8</v>
      </c>
      <c r="F22" s="20" t="s">
        <v>9</v>
      </c>
      <c r="G22" s="21" t="s">
        <v>10</v>
      </c>
      <c r="H22" s="21" t="s">
        <v>11</v>
      </c>
      <c r="I22" s="22" t="s">
        <v>12</v>
      </c>
      <c r="J22" s="23"/>
      <c r="K22" s="22" t="s">
        <v>13</v>
      </c>
      <c r="L22" s="23"/>
      <c r="M22" s="32"/>
      <c r="N22" s="12" t="s">
        <v>25</v>
      </c>
      <c r="O22" s="41" t="s">
        <v>6</v>
      </c>
      <c r="P22" s="21" t="s">
        <v>7</v>
      </c>
      <c r="Q22" s="21" t="s">
        <v>8</v>
      </c>
      <c r="R22" s="20" t="s">
        <v>9</v>
      </c>
      <c r="S22" s="21" t="s">
        <v>10</v>
      </c>
      <c r="T22" s="21" t="s">
        <v>11</v>
      </c>
      <c r="U22" s="22" t="s">
        <v>12</v>
      </c>
      <c r="V22" s="23"/>
      <c r="W22" s="22" t="s">
        <v>13</v>
      </c>
      <c r="X22" s="23"/>
      <c r="Y22" s="24"/>
      <c r="Z22" s="12" t="s">
        <v>25</v>
      </c>
      <c r="AA22" s="41" t="s">
        <v>6</v>
      </c>
      <c r="AB22" s="21" t="s">
        <v>7</v>
      </c>
      <c r="AC22" s="21" t="s">
        <v>8</v>
      </c>
      <c r="AD22" s="20" t="s">
        <v>9</v>
      </c>
      <c r="AE22" s="21" t="s">
        <v>10</v>
      </c>
      <c r="AF22" s="21" t="s">
        <v>11</v>
      </c>
      <c r="AG22" s="22" t="s">
        <v>12</v>
      </c>
      <c r="AH22" s="23"/>
      <c r="AI22" s="22" t="s">
        <v>13</v>
      </c>
      <c r="AJ22" s="23"/>
      <c r="AK22" s="33"/>
      <c r="AL22" s="12" t="s">
        <v>25</v>
      </c>
      <c r="AM22" s="41" t="s">
        <v>6</v>
      </c>
      <c r="AN22" s="21" t="s">
        <v>7</v>
      </c>
      <c r="AO22" s="21" t="s">
        <v>8</v>
      </c>
      <c r="AP22" s="20" t="s">
        <v>9</v>
      </c>
      <c r="AQ22" s="21" t="s">
        <v>10</v>
      </c>
      <c r="AR22" s="21" t="s">
        <v>11</v>
      </c>
      <c r="AS22" s="22" t="s">
        <v>12</v>
      </c>
      <c r="AT22" s="23"/>
      <c r="AU22" s="22" t="s">
        <v>13</v>
      </c>
      <c r="AV22" s="23"/>
      <c r="AW22" s="25"/>
      <c r="AX22" s="25"/>
    </row>
    <row r="23" ht="20.25" customHeight="1">
      <c r="A23" s="4"/>
      <c r="B23" s="1"/>
      <c r="C23" s="42" t="s">
        <v>26</v>
      </c>
      <c r="D23" s="43">
        <v>3.0</v>
      </c>
      <c r="E23" s="44">
        <v>8.0</v>
      </c>
      <c r="F23" s="44">
        <v>8.0</v>
      </c>
      <c r="G23" s="45"/>
      <c r="H23" s="46"/>
      <c r="I23" s="31"/>
      <c r="J23" s="23"/>
      <c r="K23" s="31"/>
      <c r="L23" s="23"/>
      <c r="M23" s="17"/>
      <c r="N23" s="1"/>
      <c r="O23" s="42" t="s">
        <v>26</v>
      </c>
      <c r="P23" s="43">
        <v>3.0</v>
      </c>
      <c r="Q23" s="44">
        <v>8.0</v>
      </c>
      <c r="R23" s="44">
        <v>8.0</v>
      </c>
      <c r="S23" s="45"/>
      <c r="T23" s="46"/>
      <c r="U23" s="31"/>
      <c r="V23" s="23"/>
      <c r="W23" s="31"/>
      <c r="X23" s="23"/>
      <c r="Y23" s="1"/>
      <c r="Z23" s="1"/>
      <c r="AA23" s="42" t="s">
        <v>26</v>
      </c>
      <c r="AB23" s="43">
        <v>3.0</v>
      </c>
      <c r="AC23" s="44">
        <v>8.0</v>
      </c>
      <c r="AD23" s="44">
        <v>8.0</v>
      </c>
      <c r="AE23" s="45"/>
      <c r="AF23" s="46"/>
      <c r="AG23" s="31"/>
      <c r="AH23" s="23"/>
      <c r="AI23" s="31"/>
      <c r="AJ23" s="23"/>
      <c r="AK23" s="33"/>
      <c r="AL23" s="1"/>
      <c r="AM23" s="42" t="s">
        <v>26</v>
      </c>
      <c r="AN23" s="43">
        <v>3.0</v>
      </c>
      <c r="AO23" s="44">
        <v>8.0</v>
      </c>
      <c r="AP23" s="44">
        <v>8.0</v>
      </c>
      <c r="AQ23" s="45"/>
      <c r="AR23" s="46"/>
      <c r="AS23" s="31"/>
      <c r="AT23" s="23"/>
      <c r="AU23" s="31"/>
      <c r="AV23" s="23"/>
      <c r="AW23" s="34"/>
      <c r="AX23" s="34"/>
    </row>
    <row r="24" ht="20.25" customHeight="1">
      <c r="A24" s="1"/>
      <c r="B24" s="1"/>
      <c r="C24" s="26" t="s">
        <v>27</v>
      </c>
      <c r="D24" s="43">
        <v>3.0</v>
      </c>
      <c r="E24" s="44">
        <v>8.0</v>
      </c>
      <c r="F24" s="44">
        <v>8.0</v>
      </c>
      <c r="G24" s="30"/>
      <c r="H24" s="30"/>
      <c r="I24" s="31"/>
      <c r="J24" s="23"/>
      <c r="K24" s="31"/>
      <c r="L24" s="23"/>
      <c r="M24" s="32"/>
      <c r="N24" s="1"/>
      <c r="O24" s="26" t="s">
        <v>27</v>
      </c>
      <c r="P24" s="43">
        <v>3.0</v>
      </c>
      <c r="Q24" s="44">
        <v>8.0</v>
      </c>
      <c r="R24" s="44">
        <v>8.0</v>
      </c>
      <c r="S24" s="30"/>
      <c r="T24" s="30"/>
      <c r="U24" s="31"/>
      <c r="V24" s="23"/>
      <c r="W24" s="31"/>
      <c r="X24" s="23"/>
      <c r="Y24" s="24"/>
      <c r="Z24" s="1"/>
      <c r="AA24" s="26" t="s">
        <v>27</v>
      </c>
      <c r="AB24" s="43">
        <v>3.0</v>
      </c>
      <c r="AC24" s="44">
        <v>8.0</v>
      </c>
      <c r="AD24" s="44">
        <v>8.0</v>
      </c>
      <c r="AE24" s="30"/>
      <c r="AF24" s="30"/>
      <c r="AG24" s="31"/>
      <c r="AH24" s="23"/>
      <c r="AI24" s="31"/>
      <c r="AJ24" s="23"/>
      <c r="AK24" s="33"/>
      <c r="AL24" s="1"/>
      <c r="AM24" s="26" t="s">
        <v>27</v>
      </c>
      <c r="AN24" s="43">
        <v>3.0</v>
      </c>
      <c r="AO24" s="44">
        <v>8.0</v>
      </c>
      <c r="AP24" s="44">
        <v>8.0</v>
      </c>
      <c r="AQ24" s="30"/>
      <c r="AR24" s="30"/>
      <c r="AS24" s="31"/>
      <c r="AT24" s="23"/>
      <c r="AU24" s="31"/>
      <c r="AV24" s="23"/>
      <c r="AW24" s="34"/>
      <c r="AX24" s="34"/>
    </row>
    <row r="25" ht="20.25" customHeight="1">
      <c r="A25" s="1"/>
      <c r="B25" s="1"/>
      <c r="C25" s="26" t="s">
        <v>28</v>
      </c>
      <c r="D25" s="43">
        <v>3.0</v>
      </c>
      <c r="E25" s="28" t="s">
        <v>16</v>
      </c>
      <c r="F25" s="44">
        <v>8.0</v>
      </c>
      <c r="G25" s="30"/>
      <c r="H25" s="30"/>
      <c r="I25" s="31"/>
      <c r="J25" s="23"/>
      <c r="K25" s="31"/>
      <c r="L25" s="23"/>
      <c r="M25" s="32"/>
      <c r="N25" s="1"/>
      <c r="O25" s="26" t="s">
        <v>28</v>
      </c>
      <c r="P25" s="43">
        <v>3.0</v>
      </c>
      <c r="Q25" s="28" t="s">
        <v>16</v>
      </c>
      <c r="R25" s="44">
        <v>8.0</v>
      </c>
      <c r="S25" s="30"/>
      <c r="T25" s="30"/>
      <c r="U25" s="31"/>
      <c r="V25" s="23"/>
      <c r="W25" s="31"/>
      <c r="X25" s="23"/>
      <c r="Y25" s="24"/>
      <c r="Z25" s="1"/>
      <c r="AA25" s="26" t="s">
        <v>28</v>
      </c>
      <c r="AB25" s="43">
        <v>3.0</v>
      </c>
      <c r="AC25" s="28" t="s">
        <v>16</v>
      </c>
      <c r="AD25" s="44">
        <v>8.0</v>
      </c>
      <c r="AE25" s="30"/>
      <c r="AF25" s="30"/>
      <c r="AG25" s="31"/>
      <c r="AH25" s="23"/>
      <c r="AI25" s="31"/>
      <c r="AJ25" s="23"/>
      <c r="AK25" s="33"/>
      <c r="AL25" s="1"/>
      <c r="AM25" s="26" t="s">
        <v>28</v>
      </c>
      <c r="AN25" s="43">
        <v>3.0</v>
      </c>
      <c r="AO25" s="28" t="s">
        <v>16</v>
      </c>
      <c r="AP25" s="44">
        <v>8.0</v>
      </c>
      <c r="AQ25" s="30"/>
      <c r="AR25" s="30"/>
      <c r="AS25" s="31"/>
      <c r="AT25" s="23"/>
      <c r="AU25" s="31"/>
      <c r="AV25" s="23"/>
      <c r="AW25" s="34"/>
      <c r="AX25" s="34"/>
    </row>
    <row r="26" ht="20.25" customHeight="1">
      <c r="A26" s="1"/>
      <c r="B26" s="1"/>
      <c r="C26" s="35" t="s">
        <v>29</v>
      </c>
      <c r="D26" s="43">
        <v>3.0</v>
      </c>
      <c r="E26" s="28" t="s">
        <v>16</v>
      </c>
      <c r="F26" s="44">
        <v>8.0</v>
      </c>
      <c r="G26" s="30"/>
      <c r="H26" s="30"/>
      <c r="I26" s="31"/>
      <c r="J26" s="23"/>
      <c r="K26" s="31"/>
      <c r="L26" s="23"/>
      <c r="M26" s="32"/>
      <c r="N26" s="1"/>
      <c r="O26" s="35" t="s">
        <v>29</v>
      </c>
      <c r="P26" s="43">
        <v>3.0</v>
      </c>
      <c r="Q26" s="28" t="s">
        <v>16</v>
      </c>
      <c r="R26" s="44">
        <v>8.0</v>
      </c>
      <c r="S26" s="30"/>
      <c r="T26" s="30"/>
      <c r="U26" s="31"/>
      <c r="V26" s="23"/>
      <c r="W26" s="31"/>
      <c r="X26" s="23"/>
      <c r="Y26" s="24"/>
      <c r="Z26" s="1"/>
      <c r="AA26" s="35" t="s">
        <v>29</v>
      </c>
      <c r="AB26" s="43">
        <v>3.0</v>
      </c>
      <c r="AC26" s="28" t="s">
        <v>16</v>
      </c>
      <c r="AD26" s="44">
        <v>8.0</v>
      </c>
      <c r="AE26" s="30"/>
      <c r="AF26" s="30"/>
      <c r="AG26" s="31"/>
      <c r="AH26" s="23"/>
      <c r="AI26" s="31"/>
      <c r="AJ26" s="23"/>
      <c r="AK26" s="33"/>
      <c r="AL26" s="1"/>
      <c r="AM26" s="35" t="s">
        <v>29</v>
      </c>
      <c r="AN26" s="43">
        <v>3.0</v>
      </c>
      <c r="AO26" s="28" t="s">
        <v>16</v>
      </c>
      <c r="AP26" s="44">
        <v>8.0</v>
      </c>
      <c r="AQ26" s="30"/>
      <c r="AR26" s="30"/>
      <c r="AS26" s="31"/>
      <c r="AT26" s="23"/>
      <c r="AU26" s="31"/>
      <c r="AV26" s="23"/>
      <c r="AW26" s="34"/>
      <c r="AX26" s="34"/>
    </row>
    <row r="27" ht="20.25" customHeight="1">
      <c r="A27" s="1"/>
      <c r="B27" s="1"/>
      <c r="C27" s="26" t="s">
        <v>30</v>
      </c>
      <c r="D27" s="43">
        <v>3.0</v>
      </c>
      <c r="E27" s="28" t="s">
        <v>16</v>
      </c>
      <c r="F27" s="44">
        <v>8.0</v>
      </c>
      <c r="G27" s="30"/>
      <c r="H27" s="30"/>
      <c r="I27" s="31"/>
      <c r="J27" s="23"/>
      <c r="K27" s="31"/>
      <c r="L27" s="23"/>
      <c r="M27" s="32"/>
      <c r="N27" s="1"/>
      <c r="O27" s="26" t="s">
        <v>30</v>
      </c>
      <c r="P27" s="43">
        <v>3.0</v>
      </c>
      <c r="Q27" s="28" t="s">
        <v>16</v>
      </c>
      <c r="R27" s="44">
        <v>8.0</v>
      </c>
      <c r="S27" s="30"/>
      <c r="T27" s="30"/>
      <c r="U27" s="31"/>
      <c r="V27" s="23"/>
      <c r="W27" s="31"/>
      <c r="X27" s="23"/>
      <c r="Y27" s="24"/>
      <c r="Z27" s="1"/>
      <c r="AA27" s="26" t="s">
        <v>30</v>
      </c>
      <c r="AB27" s="43">
        <v>3.0</v>
      </c>
      <c r="AC27" s="28" t="s">
        <v>16</v>
      </c>
      <c r="AD27" s="44">
        <v>8.0</v>
      </c>
      <c r="AE27" s="30"/>
      <c r="AF27" s="30"/>
      <c r="AG27" s="31"/>
      <c r="AH27" s="23"/>
      <c r="AI27" s="31"/>
      <c r="AJ27" s="23"/>
      <c r="AK27" s="33"/>
      <c r="AL27" s="1"/>
      <c r="AM27" s="26" t="s">
        <v>30</v>
      </c>
      <c r="AN27" s="43">
        <v>3.0</v>
      </c>
      <c r="AO27" s="28" t="s">
        <v>16</v>
      </c>
      <c r="AP27" s="44">
        <v>8.0</v>
      </c>
      <c r="AQ27" s="30"/>
      <c r="AR27" s="30"/>
      <c r="AS27" s="31"/>
      <c r="AT27" s="23"/>
      <c r="AU27" s="31"/>
      <c r="AV27" s="23"/>
      <c r="AW27" s="34"/>
      <c r="AX27" s="34"/>
    </row>
    <row r="28" ht="20.25" customHeight="1">
      <c r="A28" s="1"/>
      <c r="B28" s="1"/>
      <c r="C28" s="26" t="s">
        <v>31</v>
      </c>
      <c r="D28" s="43">
        <v>3.0</v>
      </c>
      <c r="E28" s="28" t="s">
        <v>16</v>
      </c>
      <c r="F28" s="44">
        <v>8.0</v>
      </c>
      <c r="G28" s="30"/>
      <c r="H28" s="30"/>
      <c r="I28" s="31"/>
      <c r="J28" s="23"/>
      <c r="K28" s="31"/>
      <c r="L28" s="23"/>
      <c r="M28" s="32"/>
      <c r="N28" s="1"/>
      <c r="O28" s="26" t="s">
        <v>31</v>
      </c>
      <c r="P28" s="43">
        <v>3.0</v>
      </c>
      <c r="Q28" s="28" t="s">
        <v>16</v>
      </c>
      <c r="R28" s="44">
        <v>8.0</v>
      </c>
      <c r="S28" s="30"/>
      <c r="T28" s="30"/>
      <c r="U28" s="31"/>
      <c r="V28" s="23"/>
      <c r="W28" s="31"/>
      <c r="X28" s="23"/>
      <c r="Y28" s="34"/>
      <c r="Z28" s="1"/>
      <c r="AA28" s="26" t="s">
        <v>31</v>
      </c>
      <c r="AB28" s="43">
        <v>3.0</v>
      </c>
      <c r="AC28" s="28" t="s">
        <v>16</v>
      </c>
      <c r="AD28" s="44">
        <v>8.0</v>
      </c>
      <c r="AE28" s="30"/>
      <c r="AF28" s="30"/>
      <c r="AG28" s="31"/>
      <c r="AH28" s="23"/>
      <c r="AI28" s="31"/>
      <c r="AJ28" s="23"/>
      <c r="AK28" s="33"/>
      <c r="AL28" s="1"/>
      <c r="AM28" s="26" t="s">
        <v>31</v>
      </c>
      <c r="AN28" s="43">
        <v>3.0</v>
      </c>
      <c r="AO28" s="28" t="s">
        <v>16</v>
      </c>
      <c r="AP28" s="44">
        <v>8.0</v>
      </c>
      <c r="AQ28" s="30"/>
      <c r="AR28" s="30"/>
      <c r="AS28" s="31"/>
      <c r="AT28" s="23"/>
      <c r="AU28" s="31"/>
      <c r="AV28" s="23"/>
      <c r="AW28" s="34"/>
      <c r="AX28" s="34"/>
    </row>
    <row r="29" ht="20.25" customHeight="1">
      <c r="A29" s="1"/>
      <c r="B29" s="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5"/>
      <c r="N29" s="1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"/>
      <c r="Z29" s="1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2"/>
      <c r="AL29" s="1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36"/>
      <c r="AX29" s="36"/>
    </row>
    <row r="30" ht="20.25" customHeight="1">
      <c r="A30" s="1"/>
      <c r="B30" s="1"/>
      <c r="C30" s="37" t="s">
        <v>23</v>
      </c>
      <c r="D30" s="38"/>
      <c r="E30" s="38"/>
      <c r="F30" s="38"/>
      <c r="G30" s="38"/>
      <c r="H30" s="38"/>
      <c r="I30" s="38"/>
      <c r="J30" s="38"/>
      <c r="K30" s="38"/>
      <c r="L30" s="23"/>
      <c r="M30" s="5"/>
      <c r="N30" s="1"/>
      <c r="O30" s="37" t="s">
        <v>23</v>
      </c>
      <c r="P30" s="38"/>
      <c r="Q30" s="38"/>
      <c r="R30" s="38"/>
      <c r="S30" s="38"/>
      <c r="T30" s="38"/>
      <c r="U30" s="38"/>
      <c r="V30" s="38"/>
      <c r="W30" s="38"/>
      <c r="X30" s="23"/>
      <c r="Y30" s="47"/>
      <c r="Z30" s="1"/>
      <c r="AA30" s="37" t="s">
        <v>23</v>
      </c>
      <c r="AB30" s="38"/>
      <c r="AC30" s="38"/>
      <c r="AD30" s="38"/>
      <c r="AE30" s="38"/>
      <c r="AF30" s="38"/>
      <c r="AG30" s="38"/>
      <c r="AH30" s="38"/>
      <c r="AI30" s="38"/>
      <c r="AJ30" s="23"/>
      <c r="AK30" s="3"/>
      <c r="AL30" s="1"/>
      <c r="AM30" s="37" t="s">
        <v>23</v>
      </c>
      <c r="AN30" s="38"/>
      <c r="AO30" s="38"/>
      <c r="AP30" s="38"/>
      <c r="AQ30" s="38"/>
      <c r="AR30" s="38"/>
      <c r="AS30" s="38"/>
      <c r="AT30" s="38"/>
      <c r="AU30" s="38"/>
      <c r="AV30" s="23"/>
      <c r="AW30" s="39"/>
      <c r="AX30" s="39"/>
    </row>
    <row r="31" ht="27.0" customHeight="1">
      <c r="A31" s="4"/>
      <c r="B31" s="2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32"/>
      <c r="N31" s="2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34"/>
      <c r="Z31" s="2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33"/>
      <c r="AL31" s="2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36"/>
      <c r="AX31" s="36"/>
    </row>
    <row r="32">
      <c r="A32" s="1"/>
      <c r="B32" s="16"/>
      <c r="C32" s="12" t="s">
        <v>32</v>
      </c>
      <c r="D32" s="40"/>
      <c r="E32" s="40"/>
      <c r="F32" s="1"/>
      <c r="G32" s="1"/>
      <c r="H32" s="1"/>
      <c r="I32" s="1"/>
      <c r="J32" s="1"/>
      <c r="K32" s="1"/>
      <c r="L32" s="1"/>
      <c r="M32" s="32"/>
      <c r="N32" s="16"/>
      <c r="O32" s="12" t="s">
        <v>32</v>
      </c>
      <c r="P32" s="40"/>
      <c r="Q32" s="40"/>
      <c r="R32" s="1"/>
      <c r="S32" s="1"/>
      <c r="T32" s="1"/>
      <c r="U32" s="1"/>
      <c r="V32" s="1"/>
      <c r="W32" s="1"/>
      <c r="X32" s="1"/>
      <c r="Y32" s="34"/>
      <c r="Z32" s="16"/>
      <c r="AA32" s="12" t="s">
        <v>32</v>
      </c>
      <c r="AB32" s="40"/>
      <c r="AC32" s="40"/>
      <c r="AD32" s="1"/>
      <c r="AE32" s="1"/>
      <c r="AF32" s="1"/>
      <c r="AG32" s="1"/>
      <c r="AH32" s="1"/>
      <c r="AI32" s="1"/>
      <c r="AJ32" s="1"/>
      <c r="AK32" s="33"/>
      <c r="AL32" s="16"/>
      <c r="AM32" s="12" t="s">
        <v>32</v>
      </c>
      <c r="AN32" s="40"/>
      <c r="AO32" s="40"/>
      <c r="AP32" s="1"/>
      <c r="AQ32" s="1"/>
      <c r="AR32" s="1"/>
      <c r="AS32" s="1"/>
      <c r="AT32" s="1"/>
      <c r="AU32" s="1"/>
      <c r="AV32" s="1"/>
      <c r="AW32" s="1"/>
      <c r="AX32" s="1"/>
    </row>
    <row r="33" ht="20.25" customHeight="1">
      <c r="A33" s="7"/>
      <c r="B33" s="48" t="s">
        <v>33</v>
      </c>
      <c r="C33" s="21" t="s">
        <v>6</v>
      </c>
      <c r="D33" s="21" t="s">
        <v>7</v>
      </c>
      <c r="E33" s="21" t="s">
        <v>8</v>
      </c>
      <c r="F33" s="20" t="s">
        <v>9</v>
      </c>
      <c r="G33" s="21" t="s">
        <v>10</v>
      </c>
      <c r="H33" s="21" t="s">
        <v>11</v>
      </c>
      <c r="I33" s="22" t="s">
        <v>12</v>
      </c>
      <c r="J33" s="23"/>
      <c r="K33" s="22" t="s">
        <v>13</v>
      </c>
      <c r="L33" s="23"/>
      <c r="M33" s="5"/>
      <c r="N33" s="48" t="s">
        <v>33</v>
      </c>
      <c r="O33" s="21" t="s">
        <v>6</v>
      </c>
      <c r="P33" s="21" t="s">
        <v>7</v>
      </c>
      <c r="Q33" s="21" t="s">
        <v>8</v>
      </c>
      <c r="R33" s="20" t="s">
        <v>9</v>
      </c>
      <c r="S33" s="21" t="s">
        <v>10</v>
      </c>
      <c r="T33" s="21" t="s">
        <v>11</v>
      </c>
      <c r="U33" s="22" t="s">
        <v>12</v>
      </c>
      <c r="V33" s="23"/>
      <c r="W33" s="22" t="s">
        <v>13</v>
      </c>
      <c r="X33" s="23"/>
      <c r="Y33" s="34"/>
      <c r="Z33" s="48" t="s">
        <v>33</v>
      </c>
      <c r="AA33" s="21" t="s">
        <v>6</v>
      </c>
      <c r="AB33" s="21" t="s">
        <v>7</v>
      </c>
      <c r="AC33" s="21" t="s">
        <v>8</v>
      </c>
      <c r="AD33" s="20" t="s">
        <v>9</v>
      </c>
      <c r="AE33" s="21" t="s">
        <v>10</v>
      </c>
      <c r="AF33" s="21" t="s">
        <v>11</v>
      </c>
      <c r="AG33" s="22" t="s">
        <v>12</v>
      </c>
      <c r="AH33" s="23"/>
      <c r="AI33" s="22" t="s">
        <v>13</v>
      </c>
      <c r="AJ33" s="23"/>
      <c r="AK33" s="49"/>
      <c r="AL33" s="48" t="s">
        <v>33</v>
      </c>
      <c r="AM33" s="21" t="s">
        <v>6</v>
      </c>
      <c r="AN33" s="21" t="s">
        <v>7</v>
      </c>
      <c r="AO33" s="21" t="s">
        <v>8</v>
      </c>
      <c r="AP33" s="20" t="s">
        <v>9</v>
      </c>
      <c r="AQ33" s="21" t="s">
        <v>10</v>
      </c>
      <c r="AR33" s="21" t="s">
        <v>11</v>
      </c>
      <c r="AS33" s="22" t="s">
        <v>12</v>
      </c>
      <c r="AT33" s="23"/>
      <c r="AU33" s="22" t="s">
        <v>13</v>
      </c>
      <c r="AV33" s="23"/>
      <c r="AW33" s="25"/>
      <c r="AX33" s="25"/>
    </row>
    <row r="34" ht="20.25" customHeight="1">
      <c r="A34" s="50"/>
      <c r="B34" s="1"/>
      <c r="C34" s="26" t="s">
        <v>34</v>
      </c>
      <c r="D34" s="44">
        <v>3.0</v>
      </c>
      <c r="E34" s="28" t="s">
        <v>16</v>
      </c>
      <c r="F34" s="44">
        <v>8.0</v>
      </c>
      <c r="G34" s="45"/>
      <c r="H34" s="30"/>
      <c r="I34" s="31"/>
      <c r="J34" s="23"/>
      <c r="K34" s="31"/>
      <c r="L34" s="23"/>
      <c r="M34" s="5"/>
      <c r="N34" s="1"/>
      <c r="O34" s="26" t="s">
        <v>34</v>
      </c>
      <c r="P34" s="44">
        <v>3.0</v>
      </c>
      <c r="Q34" s="28" t="s">
        <v>16</v>
      </c>
      <c r="R34" s="44">
        <v>8.0</v>
      </c>
      <c r="S34" s="45"/>
      <c r="T34" s="30"/>
      <c r="U34" s="31"/>
      <c r="V34" s="23"/>
      <c r="W34" s="31"/>
      <c r="X34" s="23"/>
      <c r="Y34" s="24"/>
      <c r="Z34" s="1"/>
      <c r="AA34" s="26" t="s">
        <v>34</v>
      </c>
      <c r="AB34" s="44">
        <v>3.0</v>
      </c>
      <c r="AC34" s="28" t="s">
        <v>16</v>
      </c>
      <c r="AD34" s="44">
        <v>8.0</v>
      </c>
      <c r="AE34" s="45"/>
      <c r="AF34" s="30"/>
      <c r="AG34" s="31"/>
      <c r="AH34" s="23"/>
      <c r="AI34" s="31"/>
      <c r="AJ34" s="23"/>
      <c r="AK34" s="51"/>
      <c r="AL34" s="1"/>
      <c r="AM34" s="26" t="s">
        <v>34</v>
      </c>
      <c r="AN34" s="44">
        <v>3.0</v>
      </c>
      <c r="AO34" s="28" t="s">
        <v>16</v>
      </c>
      <c r="AP34" s="44">
        <v>8.0</v>
      </c>
      <c r="AQ34" s="45"/>
      <c r="AR34" s="30"/>
      <c r="AS34" s="31"/>
      <c r="AT34" s="23"/>
      <c r="AU34" s="31"/>
      <c r="AV34" s="23"/>
      <c r="AW34" s="34"/>
      <c r="AX34" s="34"/>
    </row>
    <row r="35" ht="20.25" customHeight="1">
      <c r="A35" s="4"/>
      <c r="B35" s="1"/>
      <c r="C35" s="52" t="s">
        <v>35</v>
      </c>
      <c r="D35" s="43">
        <v>3.0</v>
      </c>
      <c r="E35" s="44">
        <v>8.0</v>
      </c>
      <c r="F35" s="44">
        <v>8.0</v>
      </c>
      <c r="G35" s="30"/>
      <c r="H35" s="30"/>
      <c r="I35" s="31"/>
      <c r="J35" s="23"/>
      <c r="K35" s="31"/>
      <c r="L35" s="23"/>
      <c r="M35" s="32"/>
      <c r="N35" s="1"/>
      <c r="O35" s="52" t="s">
        <v>35</v>
      </c>
      <c r="P35" s="43">
        <v>3.0</v>
      </c>
      <c r="Q35" s="44">
        <v>8.0</v>
      </c>
      <c r="R35" s="44">
        <v>8.0</v>
      </c>
      <c r="S35" s="30"/>
      <c r="T35" s="30"/>
      <c r="U35" s="31"/>
      <c r="V35" s="23"/>
      <c r="W35" s="31"/>
      <c r="X35" s="23"/>
      <c r="Y35" s="34"/>
      <c r="Z35" s="1"/>
      <c r="AA35" s="52" t="s">
        <v>35</v>
      </c>
      <c r="AB35" s="43">
        <v>3.0</v>
      </c>
      <c r="AC35" s="44">
        <v>8.0</v>
      </c>
      <c r="AD35" s="44">
        <v>8.0</v>
      </c>
      <c r="AE35" s="30"/>
      <c r="AF35" s="30"/>
      <c r="AG35" s="31"/>
      <c r="AH35" s="23"/>
      <c r="AI35" s="31"/>
      <c r="AJ35" s="23"/>
      <c r="AK35" s="33"/>
      <c r="AL35" s="1"/>
      <c r="AM35" s="52" t="s">
        <v>35</v>
      </c>
      <c r="AN35" s="43">
        <v>3.0</v>
      </c>
      <c r="AO35" s="44">
        <v>8.0</v>
      </c>
      <c r="AP35" s="44">
        <v>8.0</v>
      </c>
      <c r="AQ35" s="30"/>
      <c r="AR35" s="30"/>
      <c r="AS35" s="31"/>
      <c r="AT35" s="23"/>
      <c r="AU35" s="31"/>
      <c r="AV35" s="23"/>
      <c r="AW35" s="34"/>
      <c r="AX35" s="34"/>
    </row>
    <row r="36" ht="20.25" customHeight="1">
      <c r="A36" s="1"/>
      <c r="B36" s="1"/>
      <c r="C36" s="26" t="s">
        <v>36</v>
      </c>
      <c r="D36" s="44">
        <v>3.0</v>
      </c>
      <c r="E36" s="28" t="s">
        <v>16</v>
      </c>
      <c r="F36" s="44">
        <v>8.0</v>
      </c>
      <c r="G36" s="30"/>
      <c r="H36" s="53"/>
      <c r="I36" s="31"/>
      <c r="J36" s="23"/>
      <c r="K36" s="31"/>
      <c r="L36" s="23"/>
      <c r="M36" s="32"/>
      <c r="N36" s="1"/>
      <c r="O36" s="26" t="s">
        <v>36</v>
      </c>
      <c r="P36" s="44">
        <v>3.0</v>
      </c>
      <c r="Q36" s="28" t="s">
        <v>16</v>
      </c>
      <c r="R36" s="44">
        <v>8.0</v>
      </c>
      <c r="S36" s="30"/>
      <c r="T36" s="53"/>
      <c r="U36" s="31"/>
      <c r="V36" s="23"/>
      <c r="W36" s="31"/>
      <c r="X36" s="23"/>
      <c r="Y36" s="1"/>
      <c r="Z36" s="1"/>
      <c r="AA36" s="26" t="s">
        <v>36</v>
      </c>
      <c r="AB36" s="44">
        <v>3.0</v>
      </c>
      <c r="AC36" s="28" t="s">
        <v>16</v>
      </c>
      <c r="AD36" s="44">
        <v>8.0</v>
      </c>
      <c r="AE36" s="30"/>
      <c r="AF36" s="53"/>
      <c r="AG36" s="31"/>
      <c r="AH36" s="23"/>
      <c r="AI36" s="31"/>
      <c r="AJ36" s="23"/>
      <c r="AK36" s="33"/>
      <c r="AL36" s="1"/>
      <c r="AM36" s="26" t="s">
        <v>36</v>
      </c>
      <c r="AN36" s="44">
        <v>3.0</v>
      </c>
      <c r="AO36" s="28" t="s">
        <v>16</v>
      </c>
      <c r="AP36" s="44">
        <v>8.0</v>
      </c>
      <c r="AQ36" s="30"/>
      <c r="AR36" s="53"/>
      <c r="AS36" s="31"/>
      <c r="AT36" s="23"/>
      <c r="AU36" s="31"/>
      <c r="AV36" s="23"/>
      <c r="AW36" s="34"/>
      <c r="AX36" s="34"/>
    </row>
    <row r="37" ht="20.25" customHeight="1">
      <c r="A37" s="1"/>
      <c r="B37" s="1"/>
      <c r="C37" s="26" t="s">
        <v>17</v>
      </c>
      <c r="D37" s="44">
        <v>3.0</v>
      </c>
      <c r="E37" s="28" t="s">
        <v>16</v>
      </c>
      <c r="F37" s="44">
        <v>8.0</v>
      </c>
      <c r="G37" s="30"/>
      <c r="H37" s="53"/>
      <c r="I37" s="31"/>
      <c r="J37" s="23"/>
      <c r="K37" s="31"/>
      <c r="L37" s="23"/>
      <c r="M37" s="32"/>
      <c r="N37" s="1"/>
      <c r="O37" s="26" t="s">
        <v>17</v>
      </c>
      <c r="P37" s="44">
        <v>3.0</v>
      </c>
      <c r="Q37" s="28" t="s">
        <v>16</v>
      </c>
      <c r="R37" s="44">
        <v>8.0</v>
      </c>
      <c r="S37" s="30"/>
      <c r="T37" s="53"/>
      <c r="U37" s="31"/>
      <c r="V37" s="23"/>
      <c r="W37" s="31"/>
      <c r="X37" s="23"/>
      <c r="Y37" s="1"/>
      <c r="Z37" s="1"/>
      <c r="AA37" s="26" t="s">
        <v>17</v>
      </c>
      <c r="AB37" s="44">
        <v>3.0</v>
      </c>
      <c r="AC37" s="28" t="s">
        <v>16</v>
      </c>
      <c r="AD37" s="44">
        <v>8.0</v>
      </c>
      <c r="AE37" s="30"/>
      <c r="AF37" s="53"/>
      <c r="AG37" s="31"/>
      <c r="AH37" s="23"/>
      <c r="AI37" s="31"/>
      <c r="AJ37" s="23"/>
      <c r="AK37" s="33"/>
      <c r="AL37" s="1"/>
      <c r="AM37" s="26" t="s">
        <v>17</v>
      </c>
      <c r="AN37" s="44">
        <v>3.0</v>
      </c>
      <c r="AO37" s="28" t="s">
        <v>16</v>
      </c>
      <c r="AP37" s="44">
        <v>8.0</v>
      </c>
      <c r="AQ37" s="30"/>
      <c r="AR37" s="53"/>
      <c r="AS37" s="31"/>
      <c r="AT37" s="23"/>
      <c r="AU37" s="31"/>
      <c r="AV37" s="23"/>
      <c r="AW37" s="34"/>
      <c r="AX37" s="34"/>
    </row>
    <row r="38">
      <c r="A38" s="1"/>
      <c r="B38" s="1"/>
      <c r="C38" s="42" t="s">
        <v>37</v>
      </c>
      <c r="D38" s="27">
        <v>3.0</v>
      </c>
      <c r="E38" s="28" t="s">
        <v>16</v>
      </c>
      <c r="F38" s="28">
        <v>8.0</v>
      </c>
      <c r="G38" s="30"/>
      <c r="H38" s="30"/>
      <c r="I38" s="31"/>
      <c r="J38" s="23"/>
      <c r="K38" s="31"/>
      <c r="L38" s="23"/>
      <c r="M38" s="32"/>
      <c r="N38" s="1"/>
      <c r="O38" s="42" t="s">
        <v>37</v>
      </c>
      <c r="P38" s="27">
        <v>3.0</v>
      </c>
      <c r="Q38" s="28" t="s">
        <v>16</v>
      </c>
      <c r="R38" s="28">
        <v>8.0</v>
      </c>
      <c r="S38" s="30"/>
      <c r="T38" s="30"/>
      <c r="U38" s="31"/>
      <c r="V38" s="23"/>
      <c r="W38" s="31"/>
      <c r="X38" s="23"/>
      <c r="Y38" s="1"/>
      <c r="Z38" s="1"/>
      <c r="AA38" s="42" t="s">
        <v>37</v>
      </c>
      <c r="AB38" s="27">
        <v>3.0</v>
      </c>
      <c r="AC38" s="28" t="s">
        <v>16</v>
      </c>
      <c r="AD38" s="28">
        <v>8.0</v>
      </c>
      <c r="AE38" s="30"/>
      <c r="AF38" s="30"/>
      <c r="AG38" s="31"/>
      <c r="AH38" s="23"/>
      <c r="AI38" s="31"/>
      <c r="AJ38" s="23"/>
      <c r="AK38" s="33"/>
      <c r="AL38" s="1"/>
      <c r="AM38" s="42" t="s">
        <v>37</v>
      </c>
      <c r="AN38" s="27">
        <v>3.0</v>
      </c>
      <c r="AO38" s="28" t="s">
        <v>16</v>
      </c>
      <c r="AP38" s="28">
        <v>8.0</v>
      </c>
      <c r="AQ38" s="30"/>
      <c r="AR38" s="30"/>
      <c r="AS38" s="31"/>
      <c r="AT38" s="23"/>
      <c r="AU38" s="31"/>
      <c r="AV38" s="23"/>
      <c r="AW38" s="34"/>
      <c r="AX38" s="34"/>
    </row>
    <row r="39" ht="20.25" customHeight="1">
      <c r="A39" s="4"/>
      <c r="B39" s="16"/>
      <c r="C39" s="26" t="s">
        <v>38</v>
      </c>
      <c r="D39" s="43">
        <v>3.0</v>
      </c>
      <c r="E39" s="28" t="s">
        <v>16</v>
      </c>
      <c r="F39" s="44">
        <v>8.0</v>
      </c>
      <c r="G39" s="30"/>
      <c r="H39" s="54"/>
      <c r="I39" s="31" t="s">
        <v>22</v>
      </c>
      <c r="J39" s="23"/>
      <c r="K39" s="31"/>
      <c r="L39" s="23"/>
      <c r="M39" s="32"/>
      <c r="N39" s="16"/>
      <c r="O39" s="26" t="s">
        <v>38</v>
      </c>
      <c r="P39" s="43">
        <v>3.0</v>
      </c>
      <c r="Q39" s="28" t="s">
        <v>16</v>
      </c>
      <c r="R39" s="44">
        <v>8.0</v>
      </c>
      <c r="S39" s="30"/>
      <c r="T39" s="54"/>
      <c r="U39" s="31" t="s">
        <v>22</v>
      </c>
      <c r="V39" s="23"/>
      <c r="W39" s="31"/>
      <c r="X39" s="23"/>
      <c r="Y39" s="34"/>
      <c r="Z39" s="16"/>
      <c r="AA39" s="26" t="s">
        <v>38</v>
      </c>
      <c r="AB39" s="43">
        <v>3.0</v>
      </c>
      <c r="AC39" s="28" t="s">
        <v>16</v>
      </c>
      <c r="AD39" s="44">
        <v>8.0</v>
      </c>
      <c r="AE39" s="30"/>
      <c r="AF39" s="54"/>
      <c r="AG39" s="31" t="s">
        <v>22</v>
      </c>
      <c r="AH39" s="23"/>
      <c r="AI39" s="31"/>
      <c r="AJ39" s="23"/>
      <c r="AK39" s="33"/>
      <c r="AL39" s="16"/>
      <c r="AM39" s="26" t="s">
        <v>38</v>
      </c>
      <c r="AN39" s="43">
        <v>3.0</v>
      </c>
      <c r="AO39" s="28" t="s">
        <v>16</v>
      </c>
      <c r="AP39" s="44">
        <v>8.0</v>
      </c>
      <c r="AQ39" s="30"/>
      <c r="AR39" s="54"/>
      <c r="AS39" s="31" t="s">
        <v>22</v>
      </c>
      <c r="AT39" s="23"/>
      <c r="AU39" s="31"/>
      <c r="AV39" s="23"/>
      <c r="AW39" s="34"/>
      <c r="AX39" s="34"/>
    </row>
    <row r="40" ht="20.25" customHeight="1">
      <c r="A40" s="1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5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2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2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36"/>
      <c r="AX40" s="36"/>
    </row>
    <row r="41" ht="20.25" customHeight="1">
      <c r="A41" s="1"/>
      <c r="B41" s="1"/>
      <c r="C41" s="37" t="s">
        <v>39</v>
      </c>
      <c r="D41" s="38"/>
      <c r="E41" s="38"/>
      <c r="F41" s="38"/>
      <c r="G41" s="38"/>
      <c r="H41" s="38"/>
      <c r="I41" s="38"/>
      <c r="J41" s="38"/>
      <c r="K41" s="38"/>
      <c r="L41" s="23"/>
      <c r="M41" s="5"/>
      <c r="N41" s="1"/>
      <c r="O41" s="37" t="s">
        <v>39</v>
      </c>
      <c r="P41" s="38"/>
      <c r="Q41" s="38"/>
      <c r="R41" s="38"/>
      <c r="S41" s="38"/>
      <c r="T41" s="38"/>
      <c r="U41" s="38"/>
      <c r="V41" s="38"/>
      <c r="W41" s="38"/>
      <c r="X41" s="23"/>
      <c r="Y41" s="2"/>
      <c r="Z41" s="1"/>
      <c r="AA41" s="37" t="s">
        <v>39</v>
      </c>
      <c r="AB41" s="38"/>
      <c r="AC41" s="38"/>
      <c r="AD41" s="38"/>
      <c r="AE41" s="38"/>
      <c r="AF41" s="38"/>
      <c r="AG41" s="38"/>
      <c r="AH41" s="38"/>
      <c r="AI41" s="38"/>
      <c r="AJ41" s="23"/>
      <c r="AK41" s="2"/>
      <c r="AL41" s="1"/>
      <c r="AM41" s="37" t="s">
        <v>39</v>
      </c>
      <c r="AN41" s="38"/>
      <c r="AO41" s="38"/>
      <c r="AP41" s="38"/>
      <c r="AQ41" s="38"/>
      <c r="AR41" s="38"/>
      <c r="AS41" s="38"/>
      <c r="AT41" s="38"/>
      <c r="AU41" s="38"/>
      <c r="AV41" s="23"/>
      <c r="AW41" s="39"/>
      <c r="AX41" s="39"/>
    </row>
    <row r="42" ht="20.25" customHeight="1">
      <c r="A42" s="1"/>
      <c r="B42" s="16"/>
      <c r="C42" s="16"/>
      <c r="D42" s="16"/>
      <c r="E42" s="16"/>
      <c r="F42" s="16"/>
      <c r="G42" s="55"/>
      <c r="H42" s="1"/>
      <c r="I42" s="1"/>
      <c r="J42" s="1"/>
      <c r="K42" s="1"/>
      <c r="L42" s="1"/>
      <c r="M42" s="5"/>
      <c r="N42" s="16"/>
      <c r="O42" s="16"/>
      <c r="P42" s="16"/>
      <c r="Q42" s="16"/>
      <c r="R42" s="16"/>
      <c r="S42" s="55"/>
      <c r="T42" s="1"/>
      <c r="U42" s="1"/>
      <c r="V42" s="1"/>
      <c r="W42" s="1"/>
      <c r="X42" s="1"/>
      <c r="Y42" s="56"/>
      <c r="Z42" s="18"/>
      <c r="AA42" s="18"/>
      <c r="AB42" s="18"/>
      <c r="AC42" s="18"/>
      <c r="AD42" s="18"/>
      <c r="AE42" s="11"/>
      <c r="AF42" s="11"/>
      <c r="AG42" s="11"/>
      <c r="AH42" s="11"/>
      <c r="AI42" s="11"/>
      <c r="AJ42" s="11"/>
      <c r="AK42" s="2"/>
      <c r="AL42" s="18"/>
      <c r="AM42" s="18"/>
      <c r="AN42" s="18"/>
      <c r="AO42" s="18"/>
      <c r="AP42" s="18"/>
      <c r="AQ42" s="11"/>
      <c r="AR42" s="11"/>
      <c r="AS42" s="11"/>
      <c r="AT42" s="11"/>
      <c r="AU42" s="11"/>
      <c r="AV42" s="11"/>
      <c r="AW42" s="11"/>
      <c r="AX42" s="11"/>
    </row>
    <row r="43" ht="20.25" customHeight="1">
      <c r="A43" s="1"/>
      <c r="B43" s="16"/>
      <c r="C43" s="16"/>
      <c r="D43" s="16"/>
      <c r="E43" s="16"/>
      <c r="F43" s="16"/>
      <c r="G43" s="55"/>
      <c r="H43" s="57"/>
      <c r="I43" s="1"/>
      <c r="J43" s="1"/>
      <c r="K43" s="1"/>
      <c r="L43" s="1"/>
      <c r="M43" s="5"/>
      <c r="N43" s="2"/>
      <c r="O43" s="2"/>
      <c r="P43" s="2"/>
      <c r="Q43" s="2"/>
      <c r="R43" s="2"/>
      <c r="S43" s="2"/>
      <c r="T43" s="57"/>
      <c r="U43" s="1"/>
      <c r="V43" s="1"/>
      <c r="W43" s="1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 ht="20.25" customHeight="1">
      <c r="A44" s="1"/>
      <c r="B44" s="58" t="s">
        <v>40</v>
      </c>
      <c r="C44" s="9"/>
      <c r="D44" s="9"/>
      <c r="E44" s="9"/>
      <c r="F44" s="10"/>
      <c r="G44" s="59"/>
      <c r="H44" s="1"/>
      <c r="I44" s="1"/>
      <c r="J44" s="1"/>
      <c r="K44" s="1"/>
      <c r="L44" s="1"/>
      <c r="M44" s="5"/>
      <c r="N44" s="2"/>
      <c r="O44" s="2"/>
      <c r="P44" s="2"/>
      <c r="Q44" s="2"/>
      <c r="R44" s="2"/>
      <c r="S44" s="2"/>
      <c r="T44" s="1"/>
      <c r="U44" s="1"/>
      <c r="V44" s="1"/>
      <c r="W44" s="1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 ht="20.25" customHeight="1">
      <c r="A45" s="1"/>
      <c r="B45" s="13"/>
      <c r="C45" s="14"/>
      <c r="D45" s="14"/>
      <c r="E45" s="14"/>
      <c r="F45" s="15"/>
      <c r="G45" s="59"/>
      <c r="H45" s="1"/>
      <c r="I45" s="1"/>
      <c r="J45" s="1"/>
      <c r="K45" s="1"/>
      <c r="L45" s="1"/>
      <c r="M45" s="5"/>
      <c r="N45" s="2"/>
      <c r="O45" s="2"/>
      <c r="P45" s="2"/>
      <c r="Q45" s="2"/>
      <c r="R45" s="2"/>
      <c r="S45" s="2"/>
      <c r="T45" s="1"/>
      <c r="U45" s="1"/>
      <c r="V45" s="1"/>
      <c r="W45" s="1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ht="20.25" customHeight="1">
      <c r="A46" s="1"/>
      <c r="B46" s="60" t="s">
        <v>6</v>
      </c>
      <c r="C46" s="9"/>
      <c r="D46" s="10"/>
      <c r="E46" s="61" t="s">
        <v>7</v>
      </c>
      <c r="F46" s="61" t="s">
        <v>41</v>
      </c>
      <c r="G46" s="7"/>
      <c r="H46" s="1"/>
      <c r="I46" s="1"/>
      <c r="J46" s="1"/>
      <c r="K46" s="1"/>
      <c r="L46" s="1"/>
      <c r="M46" s="5"/>
      <c r="N46" s="2"/>
      <c r="O46" s="2"/>
      <c r="P46" s="2"/>
      <c r="Q46" s="2"/>
      <c r="R46" s="2"/>
      <c r="S46" s="2"/>
      <c r="T46" s="1"/>
      <c r="U46" s="1"/>
      <c r="V46" s="1"/>
      <c r="W46" s="1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ht="20.25" customHeight="1">
      <c r="A47" s="1"/>
      <c r="B47" s="13"/>
      <c r="C47" s="14"/>
      <c r="D47" s="15"/>
      <c r="E47" s="62"/>
      <c r="F47" s="62"/>
      <c r="G47" s="7"/>
      <c r="H47" s="1"/>
      <c r="I47" s="1"/>
      <c r="J47" s="1"/>
      <c r="K47" s="1"/>
      <c r="L47" s="1"/>
      <c r="M47" s="5"/>
      <c r="N47" s="2"/>
      <c r="O47" s="2"/>
      <c r="P47" s="2"/>
      <c r="Q47" s="2"/>
      <c r="R47" s="2"/>
      <c r="S47" s="2"/>
      <c r="T47" s="1"/>
      <c r="U47" s="1"/>
      <c r="V47" s="1"/>
      <c r="W47" s="1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ht="20.25" customHeight="1">
      <c r="A48" s="1"/>
      <c r="B48" s="63" t="s">
        <v>42</v>
      </c>
      <c r="C48" s="9"/>
      <c r="D48" s="9"/>
      <c r="E48" s="9"/>
      <c r="F48" s="10"/>
      <c r="G48" s="64"/>
      <c r="H48" s="1"/>
      <c r="I48" s="1"/>
      <c r="J48" s="1"/>
      <c r="K48" s="1"/>
      <c r="L48" s="1"/>
      <c r="M48" s="5"/>
      <c r="N48" s="2"/>
      <c r="O48" s="2"/>
      <c r="P48" s="2"/>
      <c r="Q48" s="2"/>
      <c r="R48" s="2"/>
      <c r="S48" s="2"/>
      <c r="T48" s="1"/>
      <c r="U48" s="1"/>
      <c r="V48" s="1"/>
      <c r="W48" s="1"/>
      <c r="X48" s="1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ht="20.25" customHeight="1">
      <c r="A49" s="1"/>
      <c r="B49" s="13"/>
      <c r="C49" s="14"/>
      <c r="D49" s="14"/>
      <c r="E49" s="14"/>
      <c r="F49" s="15"/>
      <c r="G49" s="64"/>
      <c r="H49" s="1"/>
      <c r="I49" s="1"/>
      <c r="J49" s="1"/>
      <c r="K49" s="1"/>
      <c r="L49" s="1"/>
      <c r="M49" s="5"/>
      <c r="N49" s="2"/>
      <c r="O49" s="2"/>
      <c r="P49" s="2"/>
      <c r="Q49" s="2"/>
      <c r="R49" s="2"/>
      <c r="S49" s="2"/>
      <c r="T49" s="1"/>
      <c r="U49" s="1"/>
      <c r="V49" s="1"/>
      <c r="W49" s="1"/>
      <c r="X49" s="1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ht="20.25" customHeight="1">
      <c r="A50" s="16"/>
      <c r="B50" s="65" t="s">
        <v>43</v>
      </c>
      <c r="C50" s="9"/>
      <c r="D50" s="10"/>
      <c r="E50" s="66">
        <v>1.0</v>
      </c>
      <c r="F50" s="67" t="s">
        <v>44</v>
      </c>
      <c r="G50" s="68"/>
      <c r="H50" s="1"/>
      <c r="I50" s="1"/>
      <c r="J50" s="1"/>
      <c r="K50" s="1"/>
      <c r="L50" s="1"/>
      <c r="M50" s="5"/>
      <c r="N50" s="2"/>
      <c r="O50" s="2"/>
      <c r="P50" s="2"/>
      <c r="Q50" s="2"/>
      <c r="R50" s="2"/>
      <c r="S50" s="2"/>
      <c r="T50" s="1"/>
      <c r="U50" s="1"/>
      <c r="V50" s="1"/>
      <c r="W50" s="1"/>
      <c r="X50" s="1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ht="20.25" customHeight="1">
      <c r="A51" s="1"/>
      <c r="B51" s="13"/>
      <c r="C51" s="14"/>
      <c r="D51" s="15"/>
      <c r="E51" s="62"/>
      <c r="F51" s="62"/>
      <c r="G51" s="68"/>
      <c r="H51" s="1"/>
      <c r="I51" s="1"/>
      <c r="J51" s="1"/>
      <c r="K51" s="1"/>
      <c r="L51" s="1"/>
      <c r="M51" s="5"/>
      <c r="N51" s="2"/>
      <c r="O51" s="2"/>
      <c r="P51" s="2"/>
      <c r="Q51" s="2"/>
      <c r="R51" s="2"/>
      <c r="S51" s="2"/>
      <c r="T51" s="1"/>
      <c r="U51" s="1"/>
      <c r="V51" s="1"/>
      <c r="W51" s="1"/>
      <c r="X51" s="1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ht="20.25" customHeight="1">
      <c r="A52" s="1"/>
      <c r="B52" s="65" t="s">
        <v>45</v>
      </c>
      <c r="C52" s="9"/>
      <c r="D52" s="10"/>
      <c r="E52" s="66">
        <v>1.0</v>
      </c>
      <c r="F52" s="67" t="s">
        <v>46</v>
      </c>
      <c r="G52" s="2"/>
      <c r="H52" s="1"/>
      <c r="I52" s="1"/>
      <c r="J52" s="1"/>
      <c r="K52" s="1"/>
      <c r="L52" s="1"/>
      <c r="M52" s="5"/>
      <c r="N52" s="2"/>
      <c r="O52" s="2"/>
      <c r="P52" s="2"/>
      <c r="Q52" s="2"/>
      <c r="R52" s="2"/>
      <c r="S52" s="2"/>
      <c r="T52" s="1"/>
      <c r="U52" s="1"/>
      <c r="V52" s="1"/>
      <c r="W52" s="1"/>
      <c r="X52" s="1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ht="20.25" customHeight="1">
      <c r="A53" s="1"/>
      <c r="B53" s="13"/>
      <c r="C53" s="14"/>
      <c r="D53" s="15"/>
      <c r="E53" s="62"/>
      <c r="F53" s="62"/>
      <c r="G53" s="2"/>
      <c r="H53" s="1"/>
      <c r="I53" s="1"/>
      <c r="J53" s="1"/>
      <c r="K53" s="1"/>
      <c r="L53" s="1"/>
      <c r="M53" s="5"/>
      <c r="N53" s="2"/>
      <c r="O53" s="2"/>
      <c r="P53" s="2"/>
      <c r="Q53" s="2"/>
      <c r="R53" s="2"/>
      <c r="S53" s="2"/>
      <c r="T53" s="1"/>
      <c r="U53" s="1"/>
      <c r="V53" s="1"/>
      <c r="W53" s="1"/>
      <c r="X53" s="1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20.25" customHeight="1">
      <c r="A54" s="1"/>
      <c r="B54" s="69" t="s">
        <v>47</v>
      </c>
      <c r="C54" s="9"/>
      <c r="D54" s="10"/>
      <c r="E54" s="70">
        <v>1.0</v>
      </c>
      <c r="F54" s="71" t="s">
        <v>46</v>
      </c>
      <c r="G54" s="2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1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20.25" customHeight="1">
      <c r="A55" s="1"/>
      <c r="B55" s="13"/>
      <c r="C55" s="14"/>
      <c r="D55" s="15"/>
      <c r="E55" s="62"/>
      <c r="F55" s="62"/>
      <c r="G55" s="2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1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"/>
      <c r="B56" s="2"/>
      <c r="C56" s="2"/>
      <c r="D56" s="3"/>
      <c r="E56" s="3"/>
      <c r="F56" s="2"/>
      <c r="G56" s="2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1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"/>
      <c r="B57" s="2"/>
      <c r="C57" s="2"/>
      <c r="D57" s="3"/>
      <c r="E57" s="3"/>
      <c r="F57" s="2"/>
      <c r="G57" s="2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2"/>
      <c r="C58" s="2"/>
      <c r="D58" s="3"/>
      <c r="E58" s="3"/>
      <c r="F58" s="2"/>
      <c r="G58" s="2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72"/>
      <c r="C59" s="2"/>
      <c r="D59" s="3"/>
      <c r="E59" s="3"/>
      <c r="F59" s="2"/>
      <c r="G59" s="2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72"/>
      <c r="C60" s="2"/>
      <c r="D60" s="3"/>
      <c r="E60" s="3"/>
      <c r="F60" s="2"/>
      <c r="G60" s="2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72"/>
      <c r="C61" s="2"/>
      <c r="D61" s="3"/>
      <c r="E61" s="3"/>
      <c r="F61" s="2"/>
      <c r="G61" s="2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72"/>
      <c r="C62" s="73"/>
      <c r="D62" s="3"/>
      <c r="E62" s="3"/>
      <c r="F62" s="2"/>
      <c r="G62" s="4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72"/>
      <c r="C63" s="2"/>
      <c r="D63" s="3"/>
      <c r="E63" s="3"/>
      <c r="F63" s="2"/>
      <c r="G63" s="4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2"/>
      <c r="C64" s="2"/>
      <c r="D64" s="3"/>
      <c r="E64" s="3"/>
      <c r="F64" s="2"/>
      <c r="G64" s="4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2"/>
      <c r="C65" s="2"/>
      <c r="D65" s="3"/>
      <c r="E65" s="3"/>
      <c r="F65" s="2"/>
      <c r="G65" s="4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4"/>
      <c r="C66" s="4"/>
      <c r="D66" s="74"/>
      <c r="E66" s="74"/>
      <c r="F66" s="4"/>
      <c r="G66" s="4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4"/>
      <c r="C67" s="4"/>
      <c r="D67" s="74"/>
      <c r="E67" s="74"/>
      <c r="F67" s="4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4"/>
      <c r="C68" s="4"/>
      <c r="D68" s="74"/>
      <c r="E68" s="74"/>
      <c r="F68" s="4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4"/>
      <c r="C69" s="4"/>
      <c r="D69" s="74"/>
      <c r="E69" s="74"/>
      <c r="F69" s="4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4"/>
      <c r="C70" s="4"/>
      <c r="D70" s="74"/>
      <c r="E70" s="74"/>
      <c r="F70" s="4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2"/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2"/>
      <c r="C72" s="2"/>
      <c r="D72" s="3"/>
      <c r="E72" s="3"/>
      <c r="F72" s="2"/>
      <c r="G72" s="2"/>
      <c r="H72" s="1"/>
      <c r="I72" s="1"/>
      <c r="J72" s="1"/>
      <c r="K72" s="1"/>
      <c r="L72" s="1"/>
      <c r="M72" s="5"/>
      <c r="N72" s="1"/>
      <c r="O72" s="2"/>
      <c r="P72" s="2"/>
      <c r="Q72" s="2"/>
      <c r="R72" s="2"/>
      <c r="S72" s="2"/>
      <c r="T72" s="1"/>
      <c r="U72" s="1"/>
      <c r="V72" s="1"/>
      <c r="W72" s="1"/>
      <c r="X72" s="1"/>
      <c r="Y72" s="1"/>
      <c r="Z72" s="1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2"/>
      <c r="C73" s="2"/>
      <c r="D73" s="3"/>
      <c r="E73" s="3"/>
      <c r="F73" s="2"/>
      <c r="G73" s="2"/>
      <c r="H73" s="1"/>
      <c r="I73" s="1"/>
      <c r="J73" s="1"/>
      <c r="K73" s="1"/>
      <c r="L73" s="1"/>
      <c r="M73" s="5"/>
      <c r="N73" s="1"/>
      <c r="O73" s="2"/>
      <c r="P73" s="2"/>
      <c r="Q73" s="2"/>
      <c r="R73" s="2"/>
      <c r="S73" s="2"/>
      <c r="T73" s="1"/>
      <c r="U73" s="1"/>
      <c r="V73" s="1"/>
      <c r="W73" s="1"/>
      <c r="X73" s="1"/>
      <c r="Y73" s="1"/>
      <c r="Z73" s="1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2"/>
      <c r="C74" s="2"/>
      <c r="D74" s="3"/>
      <c r="E74" s="3"/>
      <c r="F74" s="2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2"/>
      <c r="C75" s="2"/>
      <c r="D75" s="3"/>
      <c r="E75" s="3"/>
      <c r="F75" s="2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1"/>
      <c r="C76" s="2"/>
      <c r="D76" s="3"/>
      <c r="E76" s="3"/>
      <c r="F76" s="2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2"/>
      <c r="C77" s="2"/>
      <c r="D77" s="3"/>
      <c r="E77" s="3"/>
      <c r="F77" s="2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2"/>
      <c r="C78" s="2"/>
      <c r="D78" s="3"/>
      <c r="E78" s="3"/>
      <c r="F78" s="2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2"/>
      <c r="C79" s="2"/>
      <c r="D79" s="3"/>
      <c r="E79" s="3"/>
      <c r="F79" s="2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2"/>
      <c r="C80" s="2"/>
      <c r="D80" s="3"/>
      <c r="E80" s="3"/>
      <c r="F80" s="2"/>
      <c r="G80" s="2"/>
      <c r="H80" s="1"/>
      <c r="I80" s="1"/>
      <c r="J80" s="1"/>
      <c r="K80" s="1"/>
      <c r="L80" s="1"/>
      <c r="M80" s="5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1"/>
      <c r="D85" s="40"/>
      <c r="E85" s="40"/>
      <c r="F85" s="1"/>
      <c r="G85" s="1"/>
      <c r="H85" s="1"/>
      <c r="I85" s="1"/>
      <c r="J85" s="1"/>
      <c r="K85" s="1"/>
      <c r="L85" s="1"/>
      <c r="M85" s="5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1"/>
      <c r="D86" s="40"/>
      <c r="E86" s="40"/>
      <c r="F86" s="1"/>
      <c r="G86" s="1"/>
      <c r="H86" s="1"/>
      <c r="I86" s="1"/>
      <c r="J86" s="1"/>
      <c r="K86" s="1"/>
      <c r="L86" s="1"/>
      <c r="M86" s="5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1"/>
      <c r="D87" s="40"/>
      <c r="E87" s="40"/>
      <c r="F87" s="1"/>
      <c r="G87" s="1"/>
      <c r="H87" s="1"/>
      <c r="I87" s="1"/>
      <c r="J87" s="1"/>
      <c r="K87" s="1"/>
      <c r="L87" s="1"/>
      <c r="M87" s="5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1"/>
      <c r="D88" s="40"/>
      <c r="E88" s="40"/>
      <c r="F88" s="1"/>
      <c r="G88" s="1"/>
      <c r="H88" s="1"/>
      <c r="I88" s="1"/>
      <c r="J88" s="1"/>
      <c r="K88" s="1"/>
      <c r="L88" s="1"/>
      <c r="M88" s="5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1"/>
      <c r="D89" s="40"/>
      <c r="E89" s="40"/>
      <c r="F89" s="1"/>
      <c r="G89" s="1"/>
      <c r="H89" s="1"/>
      <c r="I89" s="1"/>
      <c r="J89" s="1"/>
      <c r="K89" s="1"/>
      <c r="L89" s="1"/>
      <c r="M89" s="5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1"/>
      <c r="D90" s="40"/>
      <c r="E90" s="40"/>
      <c r="F90" s="1"/>
      <c r="G90" s="1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1"/>
      <c r="D91" s="40"/>
      <c r="E91" s="40"/>
      <c r="F91" s="1"/>
      <c r="G91" s="1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1"/>
      <c r="D92" s="40"/>
      <c r="E92" s="40"/>
      <c r="F92" s="1"/>
      <c r="G92" s="1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1"/>
      <c r="D93" s="40"/>
      <c r="E93" s="40"/>
      <c r="F93" s="1"/>
      <c r="G93" s="1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1"/>
      <c r="D94" s="40"/>
      <c r="E94" s="40"/>
      <c r="F94" s="1"/>
      <c r="G94" s="1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1"/>
      <c r="D95" s="40"/>
      <c r="E95" s="40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1"/>
      <c r="D96" s="40"/>
      <c r="E96" s="40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40"/>
      <c r="E97" s="40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2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ht="20.25" customHeight="1">
      <c r="A98" s="1"/>
      <c r="B98" s="2"/>
      <c r="C98" s="1"/>
      <c r="D98" s="40"/>
      <c r="E98" s="40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2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ht="20.25" customHeight="1">
      <c r="A99" s="1"/>
      <c r="B99" s="2"/>
      <c r="C99" s="1"/>
      <c r="D99" s="40"/>
      <c r="E99" s="40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2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ht="20.25" customHeight="1">
      <c r="A100" s="1"/>
      <c r="B100" s="2"/>
      <c r="C100" s="1"/>
      <c r="D100" s="40"/>
      <c r="E100" s="40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2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ht="20.25" customHeight="1">
      <c r="A101" s="1"/>
      <c r="B101" s="2"/>
      <c r="C101" s="1"/>
      <c r="D101" s="40"/>
      <c r="E101" s="40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2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ht="20.25" customHeight="1">
      <c r="A102" s="1"/>
      <c r="B102" s="2"/>
      <c r="C102" s="1"/>
      <c r="D102" s="40"/>
      <c r="E102" s="40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2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ht="20.25" customHeight="1">
      <c r="A103" s="1"/>
      <c r="B103" s="2"/>
      <c r="C103" s="1"/>
      <c r="D103" s="40"/>
      <c r="E103" s="40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2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ht="20.25" customHeight="1">
      <c r="A104" s="1"/>
      <c r="B104" s="2"/>
      <c r="C104" s="1"/>
      <c r="D104" s="40"/>
      <c r="E104" s="40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2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ht="20.25" customHeight="1">
      <c r="A105" s="1"/>
      <c r="B105" s="2"/>
      <c r="C105" s="1"/>
      <c r="D105" s="40"/>
      <c r="E105" s="40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2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ht="20.25" customHeight="1">
      <c r="A106" s="1"/>
      <c r="B106" s="2"/>
      <c r="C106" s="1"/>
      <c r="D106" s="40"/>
      <c r="E106" s="40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2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ht="20.25" customHeight="1">
      <c r="A107" s="1"/>
      <c r="B107" s="2"/>
      <c r="C107" s="1"/>
      <c r="D107" s="40"/>
      <c r="E107" s="40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2"/>
      <c r="C108" s="1"/>
      <c r="D108" s="40"/>
      <c r="E108" s="40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2"/>
      <c r="C109" s="1"/>
      <c r="D109" s="40"/>
      <c r="E109" s="40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40"/>
      <c r="E110" s="40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40"/>
      <c r="E111" s="40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40"/>
      <c r="E112" s="40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40"/>
      <c r="E113" s="40"/>
      <c r="F113" s="1"/>
      <c r="G113" s="1"/>
      <c r="H113" s="1"/>
      <c r="I113" s="1"/>
      <c r="J113" s="1"/>
      <c r="K113" s="1"/>
      <c r="L113" s="1"/>
      <c r="M113" s="5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40"/>
      <c r="E114" s="40"/>
      <c r="F114" s="1"/>
      <c r="G114" s="1"/>
      <c r="H114" s="1"/>
      <c r="I114" s="1"/>
      <c r="J114" s="1"/>
      <c r="K114" s="1"/>
      <c r="L114" s="1"/>
      <c r="M114" s="5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40"/>
      <c r="E115" s="40"/>
      <c r="F115" s="1"/>
      <c r="G115" s="1"/>
      <c r="H115" s="1"/>
      <c r="I115" s="1"/>
      <c r="J115" s="1"/>
      <c r="K115" s="1"/>
      <c r="L115" s="1"/>
      <c r="M115" s="5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40"/>
      <c r="E116" s="40"/>
      <c r="F116" s="1"/>
      <c r="G116" s="1"/>
      <c r="H116" s="1"/>
      <c r="I116" s="1"/>
      <c r="J116" s="1"/>
      <c r="K116" s="1"/>
      <c r="L116" s="1"/>
      <c r="M116" s="5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40"/>
      <c r="E117" s="40"/>
      <c r="F117" s="1"/>
      <c r="G117" s="1"/>
      <c r="H117" s="1"/>
      <c r="I117" s="1"/>
      <c r="J117" s="1"/>
      <c r="K117" s="1"/>
      <c r="L117" s="1"/>
      <c r="M117" s="5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40"/>
      <c r="E118" s="40"/>
      <c r="F118" s="1"/>
      <c r="G118" s="1"/>
      <c r="H118" s="1"/>
      <c r="I118" s="1"/>
      <c r="J118" s="1"/>
      <c r="K118" s="1"/>
      <c r="L118" s="1"/>
      <c r="M118" s="5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40"/>
      <c r="E119" s="40"/>
      <c r="F119" s="1"/>
      <c r="G119" s="1"/>
      <c r="H119" s="1"/>
      <c r="I119" s="1"/>
      <c r="J119" s="1"/>
      <c r="K119" s="1"/>
      <c r="L119" s="1"/>
      <c r="M119" s="5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40"/>
      <c r="E120" s="40"/>
      <c r="F120" s="1"/>
      <c r="G120" s="1"/>
      <c r="H120" s="1"/>
      <c r="I120" s="1"/>
      <c r="J120" s="1"/>
      <c r="K120" s="1"/>
      <c r="L120" s="1"/>
      <c r="M120" s="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40"/>
      <c r="E121" s="40"/>
      <c r="F121" s="1"/>
      <c r="G121" s="1"/>
      <c r="H121" s="1"/>
      <c r="I121" s="1"/>
      <c r="J121" s="1"/>
      <c r="K121" s="1"/>
      <c r="L121" s="1"/>
      <c r="M121" s="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40"/>
      <c r="E122" s="40"/>
      <c r="F122" s="1"/>
      <c r="G122" s="1"/>
      <c r="H122" s="1"/>
      <c r="I122" s="1"/>
      <c r="J122" s="1"/>
      <c r="K122" s="1"/>
      <c r="L122" s="1"/>
      <c r="M122" s="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40"/>
      <c r="E123" s="40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40"/>
      <c r="E124" s="40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40"/>
      <c r="E125" s="40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40"/>
      <c r="E126" s="40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40"/>
      <c r="E127" s="40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40"/>
      <c r="E128" s="40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40"/>
      <c r="E129" s="40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40"/>
      <c r="E130" s="40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40"/>
      <c r="E131" s="40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40"/>
      <c r="E132" s="40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40"/>
      <c r="E133" s="40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40"/>
      <c r="E134" s="40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40"/>
      <c r="E135" s="40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40"/>
      <c r="E136" s="40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40"/>
      <c r="E137" s="40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40"/>
      <c r="E138" s="40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40"/>
      <c r="E139" s="40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40"/>
      <c r="E140" s="40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40"/>
      <c r="E141" s="40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40"/>
      <c r="E142" s="40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40"/>
      <c r="E143" s="40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40"/>
      <c r="E144" s="40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40"/>
      <c r="E145" s="40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40"/>
      <c r="E146" s="40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40"/>
      <c r="E147" s="40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40"/>
      <c r="E148" s="40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40"/>
      <c r="E149" s="40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75"/>
      <c r="D150" s="40"/>
      <c r="E150" s="40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75"/>
      <c r="D151" s="40"/>
      <c r="E151" s="40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75"/>
      <c r="D152" s="40"/>
      <c r="E152" s="40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75"/>
      <c r="D153" s="40"/>
      <c r="E153" s="40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75"/>
      <c r="D154" s="40"/>
      <c r="E154" s="40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75"/>
      <c r="D155" s="40"/>
      <c r="E155" s="40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75"/>
      <c r="D156" s="40"/>
      <c r="E156" s="40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75"/>
      <c r="D157" s="40"/>
      <c r="E157" s="40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75"/>
      <c r="D158" s="40"/>
      <c r="E158" s="40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75"/>
      <c r="D159" s="40"/>
      <c r="E159" s="40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49"/>
      <c r="C160" s="51"/>
      <c r="D160" s="40"/>
      <c r="E160" s="40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49"/>
      <c r="C161" s="51"/>
      <c r="D161" s="40"/>
      <c r="E161" s="40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49"/>
      <c r="C162" s="51"/>
      <c r="D162" s="40"/>
      <c r="E162" s="40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76" t="s">
        <v>48</v>
      </c>
      <c r="C163" s="77" t="s">
        <v>49</v>
      </c>
      <c r="D163" s="40"/>
      <c r="E163" s="40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76" t="s">
        <v>50</v>
      </c>
      <c r="C164" s="77" t="s">
        <v>51</v>
      </c>
      <c r="D164" s="40"/>
      <c r="E164" s="40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76" t="s">
        <v>52</v>
      </c>
      <c r="C165" s="78">
        <v>24.0</v>
      </c>
      <c r="D165" s="40"/>
      <c r="E165" s="40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76" t="s">
        <v>53</v>
      </c>
      <c r="C166" s="78">
        <v>174.5</v>
      </c>
      <c r="D166" s="40"/>
      <c r="E166" s="40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76" t="s">
        <v>54</v>
      </c>
      <c r="C167" s="78">
        <v>78.0</v>
      </c>
      <c r="D167" s="40"/>
      <c r="E167" s="40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76" t="s">
        <v>55</v>
      </c>
      <c r="C168" s="79" t="s">
        <v>56</v>
      </c>
      <c r="D168" s="40"/>
      <c r="E168" s="40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76" t="s">
        <v>57</v>
      </c>
      <c r="C169" s="79" t="s">
        <v>58</v>
      </c>
      <c r="D169" s="40"/>
      <c r="E169" s="40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76" t="s">
        <v>59</v>
      </c>
      <c r="C170" s="79" t="s">
        <v>60</v>
      </c>
      <c r="D170" s="40"/>
      <c r="E170" s="40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76" t="s">
        <v>61</v>
      </c>
      <c r="C171" s="79" t="s">
        <v>62</v>
      </c>
      <c r="D171" s="40"/>
      <c r="E171" s="40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76" t="s">
        <v>63</v>
      </c>
      <c r="C172" s="79" t="s">
        <v>64</v>
      </c>
      <c r="D172" s="40"/>
      <c r="E172" s="40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49"/>
      <c r="B173" s="76" t="s">
        <v>65</v>
      </c>
      <c r="C173" s="78" t="s">
        <v>66</v>
      </c>
      <c r="D173" s="80"/>
      <c r="E173" s="80"/>
      <c r="F173" s="49"/>
      <c r="G173" s="49"/>
      <c r="H173" s="49"/>
      <c r="I173" s="49"/>
      <c r="J173" s="49"/>
      <c r="K173" s="49"/>
      <c r="L173" s="49"/>
      <c r="M173" s="5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</row>
    <row r="174" ht="20.25" customHeight="1">
      <c r="A174" s="49"/>
      <c r="B174" s="76" t="s">
        <v>67</v>
      </c>
      <c r="C174" s="78">
        <v>0.0</v>
      </c>
      <c r="D174" s="80"/>
      <c r="E174" s="80"/>
      <c r="F174" s="49"/>
      <c r="G174" s="49"/>
      <c r="H174" s="49"/>
      <c r="I174" s="49"/>
      <c r="J174" s="49"/>
      <c r="K174" s="49"/>
      <c r="L174" s="49"/>
      <c r="M174" s="5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</row>
    <row r="175" ht="20.25" customHeight="1">
      <c r="A175" s="49"/>
      <c r="B175" s="76" t="s">
        <v>68</v>
      </c>
      <c r="C175" s="79" t="s">
        <v>69</v>
      </c>
      <c r="D175" s="80"/>
      <c r="E175" s="80"/>
      <c r="F175" s="49"/>
      <c r="G175" s="49"/>
      <c r="H175" s="49"/>
      <c r="I175" s="49"/>
      <c r="J175" s="49"/>
      <c r="K175" s="49"/>
      <c r="L175" s="49"/>
      <c r="M175" s="5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</row>
    <row r="176" ht="20.25" customHeight="1">
      <c r="A176" s="49"/>
      <c r="B176" s="76" t="s">
        <v>70</v>
      </c>
      <c r="C176" s="77" t="s">
        <v>71</v>
      </c>
      <c r="D176" s="80"/>
      <c r="E176" s="80"/>
      <c r="F176" s="49"/>
      <c r="G176" s="49"/>
      <c r="H176" s="49"/>
      <c r="I176" s="49"/>
      <c r="J176" s="49"/>
      <c r="K176" s="49"/>
      <c r="L176" s="49"/>
      <c r="M176" s="5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</row>
    <row r="177" ht="20.25" customHeight="1">
      <c r="A177" s="49"/>
      <c r="B177" s="81"/>
      <c r="C177" s="81"/>
      <c r="D177" s="80"/>
      <c r="E177" s="80"/>
      <c r="F177" s="49"/>
      <c r="G177" s="49"/>
      <c r="H177" s="49"/>
      <c r="I177" s="49"/>
      <c r="J177" s="49"/>
      <c r="K177" s="49"/>
      <c r="L177" s="49"/>
      <c r="M177" s="5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</row>
    <row r="178" ht="20.25" customHeight="1">
      <c r="A178" s="49"/>
      <c r="B178" s="81"/>
      <c r="C178" s="81"/>
      <c r="D178" s="80"/>
      <c r="E178" s="80"/>
      <c r="F178" s="49"/>
      <c r="G178" s="49"/>
      <c r="H178" s="49"/>
      <c r="I178" s="49"/>
      <c r="J178" s="49"/>
      <c r="K178" s="49"/>
      <c r="L178" s="49"/>
      <c r="M178" s="5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</row>
    <row r="179" ht="20.25" customHeight="1">
      <c r="A179" s="49"/>
      <c r="B179" s="81"/>
      <c r="C179" s="81"/>
      <c r="D179" s="80"/>
      <c r="E179" s="80"/>
      <c r="F179" s="49"/>
      <c r="G179" s="49"/>
      <c r="H179" s="49"/>
      <c r="I179" s="49"/>
      <c r="J179" s="49"/>
      <c r="K179" s="49"/>
      <c r="L179" s="49"/>
      <c r="M179" s="5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</row>
    <row r="180" ht="20.25" customHeight="1">
      <c r="A180" s="49"/>
      <c r="B180" s="81"/>
      <c r="C180" s="82"/>
      <c r="D180" s="80"/>
      <c r="E180" s="80"/>
      <c r="F180" s="49"/>
      <c r="G180" s="49"/>
      <c r="H180" s="49"/>
      <c r="I180" s="49"/>
      <c r="J180" s="49"/>
      <c r="K180" s="49"/>
      <c r="L180" s="49"/>
      <c r="M180" s="5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</row>
    <row r="181" ht="20.25" customHeight="1">
      <c r="A181" s="49"/>
      <c r="B181" s="49"/>
      <c r="C181" s="49"/>
      <c r="D181" s="80"/>
      <c r="E181" s="80"/>
      <c r="F181" s="49"/>
      <c r="G181" s="49"/>
      <c r="H181" s="49"/>
      <c r="I181" s="49"/>
      <c r="J181" s="49"/>
      <c r="K181" s="49"/>
      <c r="L181" s="49"/>
      <c r="M181" s="5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</row>
    <row r="182" ht="20.25" customHeight="1">
      <c r="A182" s="1"/>
      <c r="B182" s="49"/>
      <c r="C182" s="49"/>
      <c r="D182" s="40"/>
      <c r="E182" s="40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ht="20.25" customHeight="1">
      <c r="A183" s="1"/>
      <c r="B183" s="49"/>
      <c r="C183" s="49"/>
      <c r="D183" s="40"/>
      <c r="E183" s="40"/>
      <c r="F183" s="1"/>
      <c r="G183" s="1"/>
      <c r="H183" s="1"/>
      <c r="I183" s="1"/>
      <c r="J183" s="1"/>
      <c r="K183" s="1"/>
      <c r="L183" s="1"/>
      <c r="M183" s="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ht="20.25" customHeight="1">
      <c r="A184" s="1"/>
      <c r="B184" s="2"/>
      <c r="C184" s="75"/>
      <c r="D184" s="40"/>
      <c r="E184" s="40"/>
      <c r="F184" s="1"/>
      <c r="G184" s="1"/>
      <c r="H184" s="1"/>
      <c r="I184" s="1"/>
      <c r="J184" s="1"/>
      <c r="K184" s="1"/>
      <c r="L184" s="1"/>
      <c r="M184" s="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ht="20.25" customHeight="1">
      <c r="A185" s="1"/>
      <c r="B185" s="2"/>
      <c r="C185" s="75"/>
      <c r="D185" s="40"/>
      <c r="E185" s="40"/>
      <c r="F185" s="1"/>
      <c r="G185" s="1"/>
      <c r="H185" s="1"/>
      <c r="I185" s="1"/>
      <c r="J185" s="1"/>
      <c r="K185" s="1"/>
      <c r="L185" s="1"/>
      <c r="M185" s="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ht="20.25" customHeight="1">
      <c r="A186" s="1"/>
      <c r="B186" s="2"/>
      <c r="C186" s="75"/>
      <c r="D186" s="40"/>
      <c r="E186" s="40"/>
      <c r="F186" s="1"/>
      <c r="G186" s="1"/>
      <c r="H186" s="1"/>
      <c r="I186" s="1"/>
      <c r="J186" s="1"/>
      <c r="K186" s="1"/>
      <c r="L186" s="1"/>
      <c r="M186" s="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ht="20.25" customHeight="1">
      <c r="A187" s="1"/>
      <c r="B187" s="2"/>
      <c r="C187" s="75"/>
      <c r="D187" s="40"/>
      <c r="E187" s="40"/>
      <c r="F187" s="1"/>
      <c r="G187" s="1"/>
      <c r="H187" s="1"/>
      <c r="I187" s="1"/>
      <c r="J187" s="1"/>
      <c r="K187" s="1"/>
      <c r="L187" s="1"/>
      <c r="M187" s="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ht="20.25" customHeight="1">
      <c r="A188" s="1"/>
      <c r="B188" s="2"/>
      <c r="C188" s="75"/>
      <c r="D188" s="40"/>
      <c r="E188" s="40"/>
      <c r="F188" s="1"/>
      <c r="G188" s="1"/>
      <c r="H188" s="1"/>
      <c r="I188" s="1"/>
      <c r="J188" s="1"/>
      <c r="K188" s="1"/>
      <c r="L188" s="1"/>
      <c r="M188" s="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ht="20.25" customHeight="1">
      <c r="A189" s="1"/>
      <c r="B189" s="2"/>
      <c r="C189" s="75"/>
      <c r="D189" s="40"/>
      <c r="E189" s="40"/>
      <c r="F189" s="1"/>
      <c r="G189" s="1"/>
      <c r="H189" s="1"/>
      <c r="I189" s="1"/>
      <c r="J189" s="1"/>
      <c r="K189" s="1"/>
      <c r="L189" s="1"/>
      <c r="M189" s="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ht="20.25" customHeight="1">
      <c r="A190" s="1"/>
      <c r="B190" s="2"/>
      <c r="C190" s="75"/>
      <c r="D190" s="40"/>
      <c r="E190" s="40"/>
      <c r="F190" s="1"/>
      <c r="G190" s="1"/>
      <c r="H190" s="1"/>
      <c r="I190" s="1"/>
      <c r="J190" s="1"/>
      <c r="K190" s="1"/>
      <c r="L190" s="1"/>
      <c r="M190" s="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ht="20.25" customHeight="1">
      <c r="A191" s="1"/>
      <c r="B191" s="2"/>
      <c r="C191" s="75"/>
      <c r="D191" s="40"/>
      <c r="E191" s="40"/>
      <c r="F191" s="1"/>
      <c r="G191" s="1"/>
      <c r="H191" s="1"/>
      <c r="I191" s="1"/>
      <c r="J191" s="1"/>
      <c r="K191" s="1"/>
      <c r="L191" s="1"/>
      <c r="M191" s="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ht="20.25" customHeight="1">
      <c r="A192" s="1"/>
      <c r="B192" s="2"/>
      <c r="C192" s="75"/>
      <c r="D192" s="40"/>
      <c r="E192" s="40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2"/>
      <c r="C193" s="75"/>
      <c r="D193" s="40"/>
      <c r="E193" s="40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2"/>
      <c r="C194" s="75"/>
      <c r="D194" s="40"/>
      <c r="E194" s="40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2"/>
      <c r="C195" s="75"/>
      <c r="D195" s="40"/>
      <c r="E195" s="40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75"/>
      <c r="D196" s="40"/>
      <c r="E196" s="40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75"/>
      <c r="D197" s="40"/>
      <c r="E197" s="40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75"/>
      <c r="D198" s="40"/>
      <c r="E198" s="40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75"/>
      <c r="D199" s="40"/>
      <c r="E199" s="40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75"/>
      <c r="D200" s="40"/>
      <c r="E200" s="40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75"/>
      <c r="D201" s="40"/>
      <c r="E201" s="40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75"/>
      <c r="D202" s="40"/>
      <c r="E202" s="40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75"/>
      <c r="D203" s="40"/>
      <c r="E203" s="40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75"/>
      <c r="D204" s="40"/>
      <c r="E204" s="40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75"/>
      <c r="D205" s="40"/>
      <c r="E205" s="40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75"/>
      <c r="D206" s="40"/>
      <c r="E206" s="40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75"/>
      <c r="D207" s="40"/>
      <c r="E207" s="40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75"/>
      <c r="D208" s="40"/>
      <c r="E208" s="40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75"/>
      <c r="D209" s="40"/>
      <c r="E209" s="40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75"/>
      <c r="D210" s="40"/>
      <c r="E210" s="40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75"/>
      <c r="D211" s="40"/>
      <c r="E211" s="40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75"/>
      <c r="D212" s="40"/>
      <c r="E212" s="40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75"/>
      <c r="D213" s="40"/>
      <c r="E213" s="40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75"/>
      <c r="D214" s="40"/>
      <c r="E214" s="40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75"/>
      <c r="D215" s="40"/>
      <c r="E215" s="40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75"/>
      <c r="D216" s="40"/>
      <c r="E216" s="40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75"/>
      <c r="D217" s="40"/>
      <c r="E217" s="40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75"/>
      <c r="D218" s="40"/>
      <c r="E218" s="40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75"/>
      <c r="D219" s="40"/>
      <c r="E219" s="40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75"/>
      <c r="D220" s="40"/>
      <c r="E220" s="40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75"/>
      <c r="D221" s="40"/>
      <c r="E221" s="40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75"/>
      <c r="D222" s="40"/>
      <c r="E222" s="40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75"/>
      <c r="D223" s="40"/>
      <c r="E223" s="40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75"/>
      <c r="D224" s="40"/>
      <c r="E224" s="40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75"/>
      <c r="D225" s="40"/>
      <c r="E225" s="40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75"/>
      <c r="D226" s="40"/>
      <c r="E226" s="40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75"/>
      <c r="D227" s="40"/>
      <c r="E227" s="40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75"/>
      <c r="D228" s="40"/>
      <c r="E228" s="40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75"/>
      <c r="D229" s="40"/>
      <c r="E229" s="40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75"/>
      <c r="D230" s="40"/>
      <c r="E230" s="40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75"/>
      <c r="D231" s="40"/>
      <c r="E231" s="40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75"/>
      <c r="D232" s="40"/>
      <c r="E232" s="40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75"/>
      <c r="D233" s="40"/>
      <c r="E233" s="40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75"/>
      <c r="D234" s="40"/>
      <c r="E234" s="40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75"/>
      <c r="D235" s="40"/>
      <c r="E235" s="40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75"/>
      <c r="D236" s="40"/>
      <c r="E236" s="40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75"/>
      <c r="D237" s="40"/>
      <c r="E237" s="40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75"/>
      <c r="D238" s="40"/>
      <c r="E238" s="40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75"/>
      <c r="D239" s="40"/>
      <c r="E239" s="40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75"/>
      <c r="D240" s="40"/>
      <c r="E240" s="40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75"/>
      <c r="D241" s="40"/>
      <c r="E241" s="40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75"/>
      <c r="D242" s="40"/>
      <c r="E242" s="40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75"/>
      <c r="D243" s="40"/>
      <c r="E243" s="40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75"/>
      <c r="D244" s="40"/>
      <c r="E244" s="40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75"/>
      <c r="D245" s="40"/>
      <c r="E245" s="40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75"/>
      <c r="D246" s="40"/>
      <c r="E246" s="40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75"/>
      <c r="D247" s="40"/>
      <c r="E247" s="40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75"/>
      <c r="D248" s="40"/>
      <c r="E248" s="40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75"/>
      <c r="D249" s="40"/>
      <c r="E249" s="40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75"/>
      <c r="D250" s="40"/>
      <c r="E250" s="40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75"/>
      <c r="D251" s="40"/>
      <c r="E251" s="40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75"/>
      <c r="D252" s="40"/>
      <c r="E252" s="40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75"/>
      <c r="D253" s="40"/>
      <c r="E253" s="40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75"/>
      <c r="D254" s="40"/>
      <c r="E254" s="40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75"/>
      <c r="D255" s="40"/>
      <c r="E255" s="40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75"/>
      <c r="D256" s="40"/>
      <c r="E256" s="40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75"/>
      <c r="D257" s="40"/>
      <c r="E257" s="40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75"/>
      <c r="D258" s="40"/>
      <c r="E258" s="40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75"/>
      <c r="D259" s="40"/>
      <c r="E259" s="40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75"/>
      <c r="D260" s="40"/>
      <c r="E260" s="40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75"/>
      <c r="D261" s="40"/>
      <c r="E261" s="40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75"/>
      <c r="D262" s="40"/>
      <c r="E262" s="40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75"/>
      <c r="D263" s="40"/>
      <c r="E263" s="40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75"/>
      <c r="D264" s="40"/>
      <c r="E264" s="40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75"/>
      <c r="D265" s="40"/>
      <c r="E265" s="40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75"/>
      <c r="D266" s="40"/>
      <c r="E266" s="40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75"/>
      <c r="D267" s="40"/>
      <c r="E267" s="40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75"/>
      <c r="D268" s="40"/>
      <c r="E268" s="40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75"/>
      <c r="D269" s="40"/>
      <c r="E269" s="40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75"/>
      <c r="D270" s="40"/>
      <c r="E270" s="40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75"/>
      <c r="D271" s="40"/>
      <c r="E271" s="40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75"/>
      <c r="D272" s="40"/>
      <c r="E272" s="40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75"/>
      <c r="D273" s="40"/>
      <c r="E273" s="40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75"/>
      <c r="D274" s="40"/>
      <c r="E274" s="40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75"/>
      <c r="D275" s="40"/>
      <c r="E275" s="40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75"/>
      <c r="D276" s="40"/>
      <c r="E276" s="40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75"/>
      <c r="D277" s="40"/>
      <c r="E277" s="40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75"/>
      <c r="D278" s="40"/>
      <c r="E278" s="40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75"/>
      <c r="D279" s="40"/>
      <c r="E279" s="40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75"/>
      <c r="D280" s="40"/>
      <c r="E280" s="40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75"/>
      <c r="D281" s="40"/>
      <c r="E281" s="40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75"/>
      <c r="D282" s="40"/>
      <c r="E282" s="40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75"/>
      <c r="D283" s="40"/>
      <c r="E283" s="40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75"/>
      <c r="D284" s="40"/>
      <c r="E284" s="40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75"/>
      <c r="D285" s="40"/>
      <c r="E285" s="40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75"/>
      <c r="D286" s="40"/>
      <c r="E286" s="40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75"/>
      <c r="D287" s="40"/>
      <c r="E287" s="40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75"/>
      <c r="D288" s="40"/>
      <c r="E288" s="40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75"/>
      <c r="D289" s="40"/>
      <c r="E289" s="40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75"/>
      <c r="D290" s="40"/>
      <c r="E290" s="40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75"/>
      <c r="D291" s="40"/>
      <c r="E291" s="40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75"/>
      <c r="D292" s="40"/>
      <c r="E292" s="40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75"/>
      <c r="D293" s="40"/>
      <c r="E293" s="40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75"/>
      <c r="D294" s="40"/>
      <c r="E294" s="40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75"/>
      <c r="D295" s="40"/>
      <c r="E295" s="40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75"/>
      <c r="D296" s="40"/>
      <c r="E296" s="40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75"/>
      <c r="D297" s="40"/>
      <c r="E297" s="40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75"/>
      <c r="D298" s="40"/>
      <c r="E298" s="40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75"/>
      <c r="D299" s="40"/>
      <c r="E299" s="40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75"/>
      <c r="D300" s="40"/>
      <c r="E300" s="40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75"/>
      <c r="D301" s="40"/>
      <c r="E301" s="40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75"/>
      <c r="D302" s="40"/>
      <c r="E302" s="40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75"/>
      <c r="D303" s="40"/>
      <c r="E303" s="40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75"/>
      <c r="D304" s="40"/>
      <c r="E304" s="40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75"/>
      <c r="D305" s="40"/>
      <c r="E305" s="40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75"/>
      <c r="D306" s="40"/>
      <c r="E306" s="40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75"/>
      <c r="D307" s="40"/>
      <c r="E307" s="40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75"/>
      <c r="D308" s="40"/>
      <c r="E308" s="40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75"/>
      <c r="D309" s="40"/>
      <c r="E309" s="40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75"/>
      <c r="D310" s="40"/>
      <c r="E310" s="40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75"/>
      <c r="D311" s="40"/>
      <c r="E311" s="40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75"/>
      <c r="D312" s="40"/>
      <c r="E312" s="40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75"/>
      <c r="D313" s="40"/>
      <c r="E313" s="40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75"/>
      <c r="D314" s="40"/>
      <c r="E314" s="40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75"/>
      <c r="D315" s="40"/>
      <c r="E315" s="40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75"/>
      <c r="D316" s="40"/>
      <c r="E316" s="40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75"/>
      <c r="D317" s="40"/>
      <c r="E317" s="40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75"/>
      <c r="D318" s="40"/>
      <c r="E318" s="40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75"/>
      <c r="D319" s="40"/>
      <c r="E319" s="40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75"/>
      <c r="D320" s="40"/>
      <c r="E320" s="40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75"/>
      <c r="D321" s="40"/>
      <c r="E321" s="40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75"/>
      <c r="D322" s="40"/>
      <c r="E322" s="40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75"/>
      <c r="D323" s="40"/>
      <c r="E323" s="40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75"/>
      <c r="D324" s="40"/>
      <c r="E324" s="40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75"/>
      <c r="D325" s="40"/>
      <c r="E325" s="40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75"/>
      <c r="D326" s="40"/>
      <c r="E326" s="40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75"/>
      <c r="D327" s="40"/>
      <c r="E327" s="40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75"/>
      <c r="D328" s="40"/>
      <c r="E328" s="40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75"/>
      <c r="D329" s="40"/>
      <c r="E329" s="40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75"/>
      <c r="D330" s="40"/>
      <c r="E330" s="40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75"/>
      <c r="D331" s="40"/>
      <c r="E331" s="40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75"/>
      <c r="D332" s="40"/>
      <c r="E332" s="40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75"/>
      <c r="D333" s="40"/>
      <c r="E333" s="40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75"/>
      <c r="D334" s="40"/>
      <c r="E334" s="40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75"/>
      <c r="D335" s="40"/>
      <c r="E335" s="40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75"/>
      <c r="D336" s="40"/>
      <c r="E336" s="40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75"/>
      <c r="D337" s="40"/>
      <c r="E337" s="40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75"/>
      <c r="D338" s="40"/>
      <c r="E338" s="40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75"/>
      <c r="D339" s="40"/>
      <c r="E339" s="40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75"/>
      <c r="D340" s="40"/>
      <c r="E340" s="40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75"/>
      <c r="D341" s="40"/>
      <c r="E341" s="40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75"/>
      <c r="D342" s="40"/>
      <c r="E342" s="40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75"/>
      <c r="D343" s="40"/>
      <c r="E343" s="40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75"/>
      <c r="D344" s="40"/>
      <c r="E344" s="40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75"/>
      <c r="D345" s="40"/>
      <c r="E345" s="40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75"/>
      <c r="D346" s="40"/>
      <c r="E346" s="40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75"/>
      <c r="D347" s="40"/>
      <c r="E347" s="40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75"/>
      <c r="D348" s="40"/>
      <c r="E348" s="40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75"/>
      <c r="D349" s="40"/>
      <c r="E349" s="40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75"/>
      <c r="D350" s="40"/>
      <c r="E350" s="40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75"/>
      <c r="D351" s="40"/>
      <c r="E351" s="40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75"/>
      <c r="D352" s="40"/>
      <c r="E352" s="40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75"/>
      <c r="D353" s="40"/>
      <c r="E353" s="40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75"/>
      <c r="D354" s="40"/>
      <c r="E354" s="40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75"/>
      <c r="D355" s="40"/>
      <c r="E355" s="40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75"/>
      <c r="D356" s="40"/>
      <c r="E356" s="40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75"/>
      <c r="D357" s="40"/>
      <c r="E357" s="40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75"/>
      <c r="D358" s="40"/>
      <c r="E358" s="40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75"/>
      <c r="D359" s="40"/>
      <c r="E359" s="40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75"/>
      <c r="D360" s="40"/>
      <c r="E360" s="40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75"/>
      <c r="D361" s="40"/>
      <c r="E361" s="40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75"/>
      <c r="D362" s="40"/>
      <c r="E362" s="40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75"/>
      <c r="D363" s="40"/>
      <c r="E363" s="40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75"/>
      <c r="D364" s="40"/>
      <c r="E364" s="40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75"/>
      <c r="D365" s="40"/>
      <c r="E365" s="40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75"/>
      <c r="D366" s="40"/>
      <c r="E366" s="40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75"/>
      <c r="D367" s="40"/>
      <c r="E367" s="40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75"/>
      <c r="D368" s="40"/>
      <c r="E368" s="40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75"/>
      <c r="D369" s="40"/>
      <c r="E369" s="40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75"/>
      <c r="D370" s="40"/>
      <c r="E370" s="40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75"/>
      <c r="D371" s="40"/>
      <c r="E371" s="40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75"/>
      <c r="D372" s="40"/>
      <c r="E372" s="40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75"/>
      <c r="D373" s="40"/>
      <c r="E373" s="40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75"/>
      <c r="D374" s="40"/>
      <c r="E374" s="40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75"/>
      <c r="D375" s="40"/>
      <c r="E375" s="40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75"/>
      <c r="D376" s="40"/>
      <c r="E376" s="40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75"/>
      <c r="D377" s="40"/>
      <c r="E377" s="40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75"/>
      <c r="D378" s="40"/>
      <c r="E378" s="40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75"/>
      <c r="D379" s="40"/>
      <c r="E379" s="40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75"/>
      <c r="D380" s="40"/>
      <c r="E380" s="40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75"/>
      <c r="D381" s="40"/>
      <c r="E381" s="40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75"/>
      <c r="D382" s="40"/>
      <c r="E382" s="40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75"/>
      <c r="D383" s="40"/>
      <c r="E383" s="40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75"/>
      <c r="D384" s="40"/>
      <c r="E384" s="40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75"/>
      <c r="D385" s="40"/>
      <c r="E385" s="40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75"/>
      <c r="D386" s="40"/>
      <c r="E386" s="40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75"/>
      <c r="D387" s="40"/>
      <c r="E387" s="40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75"/>
      <c r="D388" s="40"/>
      <c r="E388" s="40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75"/>
      <c r="D389" s="40"/>
      <c r="E389" s="40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75"/>
      <c r="D390" s="40"/>
      <c r="E390" s="40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75"/>
      <c r="D391" s="40"/>
      <c r="E391" s="40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75"/>
      <c r="D392" s="40"/>
      <c r="E392" s="40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75"/>
      <c r="D393" s="40"/>
      <c r="E393" s="40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75"/>
      <c r="D394" s="40"/>
      <c r="E394" s="40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75"/>
      <c r="D395" s="40"/>
      <c r="E395" s="40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75"/>
      <c r="D396" s="40"/>
      <c r="E396" s="40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75"/>
      <c r="D397" s="40"/>
      <c r="E397" s="40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75"/>
      <c r="D398" s="40"/>
      <c r="E398" s="40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75"/>
      <c r="D399" s="40"/>
      <c r="E399" s="40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75"/>
      <c r="D400" s="40"/>
      <c r="E400" s="40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75"/>
      <c r="D401" s="40"/>
      <c r="E401" s="40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75"/>
      <c r="D402" s="40"/>
      <c r="E402" s="40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75"/>
      <c r="D403" s="40"/>
      <c r="E403" s="40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75"/>
      <c r="D404" s="40"/>
      <c r="E404" s="40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75"/>
      <c r="D405" s="40"/>
      <c r="E405" s="40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75"/>
      <c r="D406" s="40"/>
      <c r="E406" s="40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75"/>
      <c r="D407" s="40"/>
      <c r="E407" s="40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75"/>
      <c r="D408" s="40"/>
      <c r="E408" s="40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75"/>
      <c r="D409" s="40"/>
      <c r="E409" s="40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75"/>
      <c r="D410" s="40"/>
      <c r="E410" s="40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75"/>
      <c r="D411" s="40"/>
      <c r="E411" s="40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75"/>
      <c r="D412" s="40"/>
      <c r="E412" s="40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75"/>
      <c r="D413" s="40"/>
      <c r="E413" s="40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75"/>
      <c r="D414" s="40"/>
      <c r="E414" s="40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75"/>
      <c r="D415" s="40"/>
      <c r="E415" s="40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75"/>
      <c r="D416" s="40"/>
      <c r="E416" s="40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75"/>
      <c r="D417" s="40"/>
      <c r="E417" s="40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75"/>
      <c r="D418" s="40"/>
      <c r="E418" s="40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75"/>
      <c r="D419" s="40"/>
      <c r="E419" s="40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75"/>
      <c r="D420" s="40"/>
      <c r="E420" s="40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75"/>
      <c r="D421" s="40"/>
      <c r="E421" s="40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75"/>
      <c r="D422" s="40"/>
      <c r="E422" s="40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75"/>
      <c r="D423" s="40"/>
      <c r="E423" s="40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75"/>
      <c r="D424" s="40"/>
      <c r="E424" s="40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75"/>
      <c r="D425" s="40"/>
      <c r="E425" s="40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75"/>
      <c r="D426" s="40"/>
      <c r="E426" s="40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75"/>
      <c r="D427" s="40"/>
      <c r="E427" s="40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75"/>
      <c r="D428" s="40"/>
      <c r="E428" s="40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75"/>
      <c r="D429" s="40"/>
      <c r="E429" s="40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75"/>
      <c r="D430" s="40"/>
      <c r="E430" s="40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75"/>
      <c r="D431" s="40"/>
      <c r="E431" s="40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75"/>
      <c r="D432" s="40"/>
      <c r="E432" s="40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75"/>
      <c r="D433" s="40"/>
      <c r="E433" s="40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75"/>
      <c r="D434" s="40"/>
      <c r="E434" s="40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75"/>
      <c r="D435" s="40"/>
      <c r="E435" s="40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75"/>
      <c r="D436" s="40"/>
      <c r="E436" s="40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75"/>
      <c r="D437" s="40"/>
      <c r="E437" s="40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75"/>
      <c r="D438" s="40"/>
      <c r="E438" s="40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75"/>
      <c r="D439" s="40"/>
      <c r="E439" s="40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75"/>
      <c r="D440" s="40"/>
      <c r="E440" s="40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75"/>
      <c r="D441" s="40"/>
      <c r="E441" s="40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75"/>
      <c r="D442" s="40"/>
      <c r="E442" s="40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75"/>
      <c r="D443" s="40"/>
      <c r="E443" s="40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75"/>
      <c r="D444" s="40"/>
      <c r="E444" s="40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75"/>
      <c r="D445" s="40"/>
      <c r="E445" s="40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75"/>
      <c r="D446" s="40"/>
      <c r="E446" s="40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75"/>
      <c r="D447" s="40"/>
      <c r="E447" s="40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75"/>
      <c r="D448" s="40"/>
      <c r="E448" s="40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75"/>
      <c r="D449" s="40"/>
      <c r="E449" s="40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75"/>
      <c r="D450" s="40"/>
      <c r="E450" s="40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75"/>
      <c r="D451" s="40"/>
      <c r="E451" s="40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75"/>
      <c r="D452" s="40"/>
      <c r="E452" s="40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75"/>
      <c r="D453" s="40"/>
      <c r="E453" s="40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75"/>
      <c r="D454" s="40"/>
      <c r="E454" s="40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75"/>
      <c r="D455" s="40"/>
      <c r="E455" s="40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75"/>
      <c r="D456" s="40"/>
      <c r="E456" s="40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75"/>
      <c r="D457" s="40"/>
      <c r="E457" s="40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75"/>
      <c r="D458" s="40"/>
      <c r="E458" s="40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75"/>
      <c r="D459" s="40"/>
      <c r="E459" s="40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75"/>
      <c r="D460" s="40"/>
      <c r="E460" s="40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75"/>
      <c r="D461" s="40"/>
      <c r="E461" s="40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75"/>
      <c r="D462" s="40"/>
      <c r="E462" s="40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75"/>
      <c r="D463" s="40"/>
      <c r="E463" s="40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75"/>
      <c r="D464" s="40"/>
      <c r="E464" s="40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75"/>
      <c r="D465" s="40"/>
      <c r="E465" s="40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75"/>
      <c r="D466" s="40"/>
      <c r="E466" s="40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75"/>
      <c r="D467" s="40"/>
      <c r="E467" s="40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75"/>
      <c r="D468" s="40"/>
      <c r="E468" s="40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75"/>
      <c r="D469" s="40"/>
      <c r="E469" s="40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75"/>
      <c r="D470" s="40"/>
      <c r="E470" s="40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75"/>
      <c r="D471" s="40"/>
      <c r="E471" s="40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75"/>
      <c r="D472" s="40"/>
      <c r="E472" s="40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75"/>
      <c r="D473" s="40"/>
      <c r="E473" s="40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75"/>
      <c r="D474" s="40"/>
      <c r="E474" s="40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75"/>
      <c r="D475" s="40"/>
      <c r="E475" s="40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75"/>
      <c r="D476" s="40"/>
      <c r="E476" s="40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75"/>
      <c r="D477" s="40"/>
      <c r="E477" s="40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75"/>
      <c r="D478" s="40"/>
      <c r="E478" s="40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75"/>
      <c r="D479" s="40"/>
      <c r="E479" s="40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75"/>
      <c r="D480" s="40"/>
      <c r="E480" s="40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75"/>
      <c r="D481" s="40"/>
      <c r="E481" s="40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75"/>
      <c r="D482" s="40"/>
      <c r="E482" s="40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75"/>
      <c r="D483" s="40"/>
      <c r="E483" s="40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75"/>
      <c r="D484" s="40"/>
      <c r="E484" s="40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75"/>
      <c r="D485" s="40"/>
      <c r="E485" s="40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75"/>
      <c r="D486" s="40"/>
      <c r="E486" s="40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75"/>
      <c r="D487" s="40"/>
      <c r="E487" s="40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75"/>
      <c r="D488" s="40"/>
      <c r="E488" s="40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75"/>
      <c r="D489" s="40"/>
      <c r="E489" s="40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75"/>
      <c r="D490" s="40"/>
      <c r="E490" s="40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75"/>
      <c r="D491" s="40"/>
      <c r="E491" s="40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75"/>
      <c r="D492" s="40"/>
      <c r="E492" s="40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75"/>
      <c r="D493" s="40"/>
      <c r="E493" s="40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75"/>
      <c r="D494" s="40"/>
      <c r="E494" s="40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75"/>
      <c r="D495" s="40"/>
      <c r="E495" s="40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75"/>
      <c r="D496" s="40"/>
      <c r="E496" s="40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75"/>
      <c r="D497" s="40"/>
      <c r="E497" s="40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75"/>
      <c r="D498" s="40"/>
      <c r="E498" s="40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75"/>
      <c r="D499" s="40"/>
      <c r="E499" s="40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75"/>
      <c r="D500" s="40"/>
      <c r="E500" s="40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75"/>
      <c r="D501" s="40"/>
      <c r="E501" s="40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75"/>
      <c r="D502" s="40"/>
      <c r="E502" s="40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75"/>
      <c r="D503" s="40"/>
      <c r="E503" s="40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75"/>
      <c r="D504" s="40"/>
      <c r="E504" s="40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75"/>
      <c r="D505" s="40"/>
      <c r="E505" s="40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75"/>
      <c r="D506" s="40"/>
      <c r="E506" s="40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75"/>
      <c r="D507" s="40"/>
      <c r="E507" s="40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75"/>
      <c r="D508" s="40"/>
      <c r="E508" s="40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75"/>
      <c r="D509" s="40"/>
      <c r="E509" s="40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75"/>
      <c r="D510" s="40"/>
      <c r="E510" s="40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75"/>
      <c r="D511" s="40"/>
      <c r="E511" s="40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75"/>
      <c r="D512" s="40"/>
      <c r="E512" s="40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75"/>
      <c r="D513" s="40"/>
      <c r="E513" s="40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75"/>
      <c r="D514" s="40"/>
      <c r="E514" s="40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75"/>
      <c r="D515" s="40"/>
      <c r="E515" s="40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75"/>
      <c r="D516" s="40"/>
      <c r="E516" s="40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75"/>
      <c r="D517" s="40"/>
      <c r="E517" s="40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75"/>
      <c r="D518" s="40"/>
      <c r="E518" s="40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75"/>
      <c r="D519" s="40"/>
      <c r="E519" s="40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75"/>
      <c r="D520" s="40"/>
      <c r="E520" s="40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75"/>
      <c r="D521" s="40"/>
      <c r="E521" s="40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75"/>
      <c r="D522" s="40"/>
      <c r="E522" s="40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75"/>
      <c r="D523" s="40"/>
      <c r="E523" s="40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75"/>
      <c r="D524" s="40"/>
      <c r="E524" s="40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75"/>
      <c r="D525" s="40"/>
      <c r="E525" s="40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75"/>
      <c r="D526" s="40"/>
      <c r="E526" s="40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75"/>
      <c r="D527" s="40"/>
      <c r="E527" s="40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75"/>
      <c r="D528" s="40"/>
      <c r="E528" s="40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75"/>
      <c r="D529" s="40"/>
      <c r="E529" s="40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75"/>
      <c r="D530" s="40"/>
      <c r="E530" s="40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75"/>
      <c r="D531" s="40"/>
      <c r="E531" s="40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75"/>
      <c r="D532" s="40"/>
      <c r="E532" s="40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75"/>
      <c r="D533" s="40"/>
      <c r="E533" s="40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75"/>
      <c r="D534" s="40"/>
      <c r="E534" s="40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75"/>
      <c r="D535" s="40"/>
      <c r="E535" s="40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75"/>
      <c r="D536" s="40"/>
      <c r="E536" s="40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75"/>
      <c r="D537" s="40"/>
      <c r="E537" s="40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75"/>
      <c r="D538" s="40"/>
      <c r="E538" s="40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75"/>
      <c r="D539" s="40"/>
      <c r="E539" s="40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75"/>
      <c r="D540" s="40"/>
      <c r="E540" s="40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75"/>
      <c r="D541" s="40"/>
      <c r="E541" s="40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75"/>
      <c r="D542" s="40"/>
      <c r="E542" s="40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75"/>
      <c r="D543" s="40"/>
      <c r="E543" s="40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75"/>
      <c r="D544" s="40"/>
      <c r="E544" s="40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75"/>
      <c r="D545" s="40"/>
      <c r="E545" s="40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75"/>
      <c r="D546" s="40"/>
      <c r="E546" s="40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75"/>
      <c r="D547" s="40"/>
      <c r="E547" s="40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75"/>
      <c r="D548" s="40"/>
      <c r="E548" s="40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75"/>
      <c r="D549" s="40"/>
      <c r="E549" s="40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75"/>
      <c r="D550" s="40"/>
      <c r="E550" s="40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75"/>
      <c r="D551" s="40"/>
      <c r="E551" s="40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75"/>
      <c r="D552" s="40"/>
      <c r="E552" s="40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75"/>
      <c r="D553" s="40"/>
      <c r="E553" s="40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75"/>
      <c r="D554" s="40"/>
      <c r="E554" s="40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75"/>
      <c r="D555" s="40"/>
      <c r="E555" s="40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75"/>
      <c r="D556" s="40"/>
      <c r="E556" s="40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75"/>
      <c r="D557" s="40"/>
      <c r="E557" s="40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75"/>
      <c r="D558" s="40"/>
      <c r="E558" s="40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75"/>
      <c r="D559" s="40"/>
      <c r="E559" s="40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75"/>
      <c r="D560" s="40"/>
      <c r="E560" s="40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75"/>
      <c r="D561" s="40"/>
      <c r="E561" s="40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75"/>
      <c r="D562" s="40"/>
      <c r="E562" s="40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75"/>
      <c r="D563" s="40"/>
      <c r="E563" s="40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75"/>
      <c r="D564" s="40"/>
      <c r="E564" s="40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75"/>
      <c r="D565" s="40"/>
      <c r="E565" s="40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75"/>
      <c r="D566" s="40"/>
      <c r="E566" s="40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75"/>
      <c r="D567" s="40"/>
      <c r="E567" s="40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75"/>
      <c r="D568" s="40"/>
      <c r="E568" s="40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75"/>
      <c r="D569" s="40"/>
      <c r="E569" s="40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75"/>
      <c r="D570" s="40"/>
      <c r="E570" s="40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75"/>
      <c r="D571" s="40"/>
      <c r="E571" s="40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75"/>
      <c r="D572" s="40"/>
      <c r="E572" s="40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75"/>
      <c r="D573" s="40"/>
      <c r="E573" s="40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75"/>
      <c r="D574" s="40"/>
      <c r="E574" s="40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75"/>
      <c r="D575" s="40"/>
      <c r="E575" s="40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75"/>
      <c r="D576" s="40"/>
      <c r="E576" s="40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75"/>
      <c r="D577" s="40"/>
      <c r="E577" s="40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75"/>
      <c r="D578" s="40"/>
      <c r="E578" s="40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75"/>
      <c r="D579" s="40"/>
      <c r="E579" s="40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75"/>
      <c r="D580" s="40"/>
      <c r="E580" s="40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75"/>
      <c r="D581" s="40"/>
      <c r="E581" s="40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75"/>
      <c r="D582" s="40"/>
      <c r="E582" s="40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75"/>
      <c r="D583" s="40"/>
      <c r="E583" s="40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75"/>
      <c r="D584" s="40"/>
      <c r="E584" s="40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75"/>
      <c r="D585" s="40"/>
      <c r="E585" s="40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75"/>
      <c r="D586" s="40"/>
      <c r="E586" s="40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75"/>
      <c r="D587" s="40"/>
      <c r="E587" s="40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75"/>
      <c r="D588" s="40"/>
      <c r="E588" s="40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75"/>
      <c r="D589" s="40"/>
      <c r="E589" s="40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75"/>
      <c r="D590" s="40"/>
      <c r="E590" s="40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75"/>
      <c r="D591" s="40"/>
      <c r="E591" s="40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75"/>
      <c r="D592" s="40"/>
      <c r="E592" s="40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75"/>
      <c r="D593" s="40"/>
      <c r="E593" s="40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75"/>
      <c r="D594" s="40"/>
      <c r="E594" s="40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75"/>
      <c r="D595" s="40"/>
      <c r="E595" s="40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75"/>
      <c r="D596" s="40"/>
      <c r="E596" s="40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75"/>
      <c r="D597" s="40"/>
      <c r="E597" s="40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75"/>
      <c r="D598" s="40"/>
      <c r="E598" s="40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75"/>
      <c r="D599" s="40"/>
      <c r="E599" s="40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75"/>
      <c r="D600" s="40"/>
      <c r="E600" s="40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75"/>
      <c r="D601" s="40"/>
      <c r="E601" s="40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75"/>
      <c r="D602" s="40"/>
      <c r="E602" s="40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75"/>
      <c r="D603" s="40"/>
      <c r="E603" s="40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75"/>
      <c r="D604" s="40"/>
      <c r="E604" s="40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75"/>
      <c r="D605" s="40"/>
      <c r="E605" s="40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75"/>
      <c r="D606" s="40"/>
      <c r="E606" s="40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75"/>
      <c r="D607" s="40"/>
      <c r="E607" s="40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75"/>
      <c r="D608" s="40"/>
      <c r="E608" s="40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75"/>
      <c r="D609" s="40"/>
      <c r="E609" s="40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75"/>
      <c r="D610" s="40"/>
      <c r="E610" s="40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75"/>
      <c r="D611" s="40"/>
      <c r="E611" s="40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75"/>
      <c r="D612" s="40"/>
      <c r="E612" s="40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75"/>
      <c r="D613" s="40"/>
      <c r="E613" s="40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75"/>
      <c r="D614" s="40"/>
      <c r="E614" s="40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75"/>
      <c r="D615" s="40"/>
      <c r="E615" s="40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75"/>
      <c r="D616" s="40"/>
      <c r="E616" s="40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75"/>
      <c r="D617" s="40"/>
      <c r="E617" s="40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75"/>
      <c r="D618" s="40"/>
      <c r="E618" s="40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75"/>
      <c r="D619" s="40"/>
      <c r="E619" s="40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75"/>
      <c r="D620" s="40"/>
      <c r="E620" s="40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75"/>
      <c r="D621" s="40"/>
      <c r="E621" s="40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75"/>
      <c r="D622" s="40"/>
      <c r="E622" s="40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75"/>
      <c r="D623" s="40"/>
      <c r="E623" s="40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75"/>
      <c r="D624" s="40"/>
      <c r="E624" s="40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75"/>
      <c r="D625" s="40"/>
      <c r="E625" s="40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75"/>
      <c r="D626" s="40"/>
      <c r="E626" s="40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75"/>
      <c r="D627" s="40"/>
      <c r="E627" s="40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75"/>
      <c r="D628" s="40"/>
      <c r="E628" s="40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75"/>
      <c r="D629" s="40"/>
      <c r="E629" s="40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75"/>
      <c r="D630" s="40"/>
      <c r="E630" s="40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75"/>
      <c r="D631" s="40"/>
      <c r="E631" s="40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75"/>
      <c r="D632" s="40"/>
      <c r="E632" s="40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75"/>
      <c r="D633" s="40"/>
      <c r="E633" s="40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75"/>
      <c r="D634" s="40"/>
      <c r="E634" s="40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75"/>
      <c r="D635" s="40"/>
      <c r="E635" s="40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75"/>
      <c r="D636" s="40"/>
      <c r="E636" s="40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75"/>
      <c r="D637" s="40"/>
      <c r="E637" s="40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75"/>
      <c r="D638" s="40"/>
      <c r="E638" s="40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75"/>
      <c r="D639" s="40"/>
      <c r="E639" s="40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75"/>
      <c r="D640" s="40"/>
      <c r="E640" s="40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75"/>
      <c r="D641" s="40"/>
      <c r="E641" s="40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75"/>
      <c r="D642" s="40"/>
      <c r="E642" s="40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75"/>
      <c r="D643" s="40"/>
      <c r="E643" s="40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75"/>
      <c r="D644" s="40"/>
      <c r="E644" s="40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75"/>
      <c r="D645" s="40"/>
      <c r="E645" s="40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75"/>
      <c r="D646" s="40"/>
      <c r="E646" s="40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75"/>
      <c r="D647" s="40"/>
      <c r="E647" s="40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75"/>
      <c r="D648" s="40"/>
      <c r="E648" s="40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75"/>
      <c r="D649" s="40"/>
      <c r="E649" s="40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75"/>
      <c r="D650" s="40"/>
      <c r="E650" s="40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75"/>
      <c r="D651" s="40"/>
      <c r="E651" s="40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75"/>
      <c r="D652" s="40"/>
      <c r="E652" s="40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75"/>
      <c r="D653" s="40"/>
      <c r="E653" s="40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75"/>
      <c r="D654" s="40"/>
      <c r="E654" s="40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75"/>
      <c r="D655" s="40"/>
      <c r="E655" s="40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75"/>
      <c r="D656" s="40"/>
      <c r="E656" s="40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75"/>
      <c r="D657" s="40"/>
      <c r="E657" s="40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75"/>
      <c r="D658" s="40"/>
      <c r="E658" s="40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75"/>
      <c r="D659" s="40"/>
      <c r="E659" s="40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75"/>
      <c r="D660" s="40"/>
      <c r="E660" s="40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75"/>
      <c r="D661" s="40"/>
      <c r="E661" s="40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75"/>
      <c r="D662" s="40"/>
      <c r="E662" s="40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75"/>
      <c r="D663" s="40"/>
      <c r="E663" s="40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75"/>
      <c r="D664" s="40"/>
      <c r="E664" s="40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75"/>
      <c r="D665" s="40"/>
      <c r="E665" s="40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75"/>
      <c r="D666" s="40"/>
      <c r="E666" s="40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75"/>
      <c r="D667" s="40"/>
      <c r="E667" s="40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75"/>
      <c r="D668" s="40"/>
      <c r="E668" s="40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75"/>
      <c r="D669" s="40"/>
      <c r="E669" s="40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75"/>
      <c r="D670" s="40"/>
      <c r="E670" s="40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75"/>
      <c r="D671" s="40"/>
      <c r="E671" s="40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75"/>
      <c r="D672" s="40"/>
      <c r="E672" s="40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75"/>
      <c r="D673" s="40"/>
      <c r="E673" s="40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75"/>
      <c r="D674" s="40"/>
      <c r="E674" s="40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75"/>
      <c r="D675" s="40"/>
      <c r="E675" s="40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75"/>
      <c r="D676" s="40"/>
      <c r="E676" s="40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75"/>
      <c r="D677" s="40"/>
      <c r="E677" s="40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75"/>
      <c r="D678" s="40"/>
      <c r="E678" s="40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75"/>
      <c r="D679" s="40"/>
      <c r="E679" s="40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75"/>
      <c r="D680" s="40"/>
      <c r="E680" s="40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75"/>
      <c r="D681" s="40"/>
      <c r="E681" s="40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75"/>
      <c r="D682" s="40"/>
      <c r="E682" s="40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75"/>
      <c r="D683" s="40"/>
      <c r="E683" s="40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75"/>
      <c r="D684" s="40"/>
      <c r="E684" s="40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75"/>
      <c r="D685" s="40"/>
      <c r="E685" s="40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75"/>
      <c r="D686" s="40"/>
      <c r="E686" s="40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75"/>
      <c r="D687" s="40"/>
      <c r="E687" s="40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75"/>
      <c r="D688" s="40"/>
      <c r="E688" s="40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75"/>
      <c r="D689" s="40"/>
      <c r="E689" s="40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75"/>
      <c r="D690" s="40"/>
      <c r="E690" s="40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75"/>
      <c r="D691" s="40"/>
      <c r="E691" s="40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75"/>
      <c r="D692" s="40"/>
      <c r="E692" s="40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75"/>
      <c r="D693" s="40"/>
      <c r="E693" s="40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75"/>
      <c r="D694" s="40"/>
      <c r="E694" s="40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75"/>
      <c r="D695" s="40"/>
      <c r="E695" s="40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75"/>
      <c r="D696" s="40"/>
      <c r="E696" s="40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75"/>
      <c r="D697" s="40"/>
      <c r="E697" s="40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75"/>
      <c r="D698" s="40"/>
      <c r="E698" s="40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75"/>
      <c r="D699" s="40"/>
      <c r="E699" s="40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75"/>
      <c r="D700" s="40"/>
      <c r="E700" s="40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75"/>
      <c r="D701" s="40"/>
      <c r="E701" s="40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75"/>
      <c r="D702" s="40"/>
      <c r="E702" s="40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75"/>
      <c r="D703" s="40"/>
      <c r="E703" s="40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75"/>
      <c r="D704" s="40"/>
      <c r="E704" s="40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75"/>
      <c r="D705" s="40"/>
      <c r="E705" s="40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75"/>
      <c r="D706" s="40"/>
      <c r="E706" s="40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75"/>
      <c r="D707" s="40"/>
      <c r="E707" s="40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75"/>
      <c r="D708" s="40"/>
      <c r="E708" s="40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75"/>
      <c r="D709" s="40"/>
      <c r="E709" s="40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75"/>
      <c r="D710" s="40"/>
      <c r="E710" s="40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75"/>
      <c r="D711" s="40"/>
      <c r="E711" s="40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75"/>
      <c r="D712" s="40"/>
      <c r="E712" s="40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75"/>
      <c r="D713" s="40"/>
      <c r="E713" s="40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75"/>
      <c r="D714" s="40"/>
      <c r="E714" s="40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75"/>
      <c r="D715" s="40"/>
      <c r="E715" s="40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75"/>
      <c r="D716" s="40"/>
      <c r="E716" s="40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75"/>
      <c r="D717" s="40"/>
      <c r="E717" s="40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75"/>
      <c r="D718" s="40"/>
      <c r="E718" s="40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75"/>
      <c r="D719" s="40"/>
      <c r="E719" s="40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75"/>
      <c r="D720" s="40"/>
      <c r="E720" s="40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75"/>
      <c r="D721" s="40"/>
      <c r="E721" s="40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75"/>
      <c r="D722" s="40"/>
      <c r="E722" s="40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75"/>
      <c r="D723" s="40"/>
      <c r="E723" s="40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75"/>
      <c r="D724" s="40"/>
      <c r="E724" s="40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75"/>
      <c r="D725" s="40"/>
      <c r="E725" s="40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75"/>
      <c r="D726" s="40"/>
      <c r="E726" s="40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75"/>
      <c r="D727" s="40"/>
      <c r="E727" s="40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75"/>
      <c r="D728" s="40"/>
      <c r="E728" s="40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75"/>
      <c r="D729" s="40"/>
      <c r="E729" s="40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75"/>
      <c r="D730" s="40"/>
      <c r="E730" s="40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75"/>
      <c r="D731" s="40"/>
      <c r="E731" s="40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75"/>
      <c r="D732" s="40"/>
      <c r="E732" s="40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75"/>
      <c r="D733" s="40"/>
      <c r="E733" s="40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75"/>
      <c r="D734" s="40"/>
      <c r="E734" s="40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75"/>
      <c r="D735" s="40"/>
      <c r="E735" s="40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75"/>
      <c r="D736" s="40"/>
      <c r="E736" s="40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75"/>
      <c r="D737" s="40"/>
      <c r="E737" s="40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75"/>
      <c r="D738" s="40"/>
      <c r="E738" s="40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75"/>
      <c r="D739" s="40"/>
      <c r="E739" s="40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75"/>
      <c r="D740" s="40"/>
      <c r="E740" s="40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75"/>
      <c r="D741" s="40"/>
      <c r="E741" s="40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75"/>
      <c r="D742" s="40"/>
      <c r="E742" s="40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75"/>
      <c r="D743" s="40"/>
      <c r="E743" s="40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75"/>
      <c r="D744" s="40"/>
      <c r="E744" s="40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75"/>
      <c r="D745" s="40"/>
      <c r="E745" s="40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75"/>
      <c r="D746" s="40"/>
      <c r="E746" s="40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75"/>
      <c r="D747" s="40"/>
      <c r="E747" s="40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75"/>
      <c r="D748" s="40"/>
      <c r="E748" s="40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75"/>
      <c r="D749" s="40"/>
      <c r="E749" s="40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75"/>
      <c r="D750" s="40"/>
      <c r="E750" s="40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75"/>
      <c r="D751" s="40"/>
      <c r="E751" s="40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75"/>
      <c r="D752" s="40"/>
      <c r="E752" s="40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75"/>
      <c r="D753" s="40"/>
      <c r="E753" s="40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75"/>
      <c r="D754" s="40"/>
      <c r="E754" s="40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75"/>
      <c r="D755" s="40"/>
      <c r="E755" s="40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75"/>
      <c r="D756" s="40"/>
      <c r="E756" s="40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75"/>
      <c r="D757" s="40"/>
      <c r="E757" s="40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75"/>
      <c r="D758" s="40"/>
      <c r="E758" s="40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75"/>
      <c r="D759" s="40"/>
      <c r="E759" s="40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75"/>
      <c r="D760" s="40"/>
      <c r="E760" s="40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75"/>
      <c r="D761" s="40"/>
      <c r="E761" s="40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75"/>
      <c r="D762" s="40"/>
      <c r="E762" s="40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75"/>
      <c r="D763" s="40"/>
      <c r="E763" s="40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75"/>
      <c r="D764" s="40"/>
      <c r="E764" s="40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75"/>
      <c r="D765" s="40"/>
      <c r="E765" s="40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75"/>
      <c r="D766" s="40"/>
      <c r="E766" s="40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75"/>
      <c r="D767" s="40"/>
      <c r="E767" s="40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75"/>
      <c r="D768" s="40"/>
      <c r="E768" s="40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75"/>
      <c r="D769" s="40"/>
      <c r="E769" s="40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75"/>
      <c r="D770" s="40"/>
      <c r="E770" s="40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75"/>
      <c r="D771" s="40"/>
      <c r="E771" s="40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75"/>
      <c r="D772" s="40"/>
      <c r="E772" s="40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75"/>
      <c r="D773" s="40"/>
      <c r="E773" s="40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75"/>
      <c r="D774" s="40"/>
      <c r="E774" s="40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75"/>
      <c r="D775" s="40"/>
      <c r="E775" s="40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75"/>
      <c r="D776" s="40"/>
      <c r="E776" s="40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75"/>
      <c r="D777" s="40"/>
      <c r="E777" s="40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75"/>
      <c r="D778" s="40"/>
      <c r="E778" s="40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75"/>
      <c r="D779" s="40"/>
      <c r="E779" s="40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75"/>
      <c r="D780" s="40"/>
      <c r="E780" s="40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75"/>
      <c r="D781" s="40"/>
      <c r="E781" s="40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75"/>
      <c r="D782" s="40"/>
      <c r="E782" s="40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75"/>
      <c r="D783" s="40"/>
      <c r="E783" s="40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75"/>
      <c r="D784" s="40"/>
      <c r="E784" s="40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75"/>
      <c r="D785" s="40"/>
      <c r="E785" s="40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75"/>
      <c r="D786" s="40"/>
      <c r="E786" s="40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75"/>
      <c r="D787" s="40"/>
      <c r="E787" s="40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75"/>
      <c r="D788" s="40"/>
      <c r="E788" s="40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75"/>
      <c r="D789" s="40"/>
      <c r="E789" s="40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75"/>
      <c r="D790" s="40"/>
      <c r="E790" s="40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75"/>
      <c r="D791" s="40"/>
      <c r="E791" s="40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75"/>
      <c r="D792" s="40"/>
      <c r="E792" s="40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75"/>
      <c r="D793" s="40"/>
      <c r="E793" s="40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75"/>
      <c r="D794" s="40"/>
      <c r="E794" s="40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75"/>
      <c r="D795" s="40"/>
      <c r="E795" s="40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75"/>
      <c r="D796" s="40"/>
      <c r="E796" s="40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75"/>
      <c r="D797" s="40"/>
      <c r="E797" s="40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75"/>
      <c r="D798" s="40"/>
      <c r="E798" s="40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75"/>
      <c r="D799" s="40"/>
      <c r="E799" s="40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75"/>
      <c r="D800" s="40"/>
      <c r="E800" s="40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75"/>
      <c r="D801" s="40"/>
      <c r="E801" s="40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75"/>
      <c r="D802" s="40"/>
      <c r="E802" s="40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75"/>
      <c r="D803" s="40"/>
      <c r="E803" s="40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75"/>
      <c r="D804" s="40"/>
      <c r="E804" s="40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75"/>
      <c r="D805" s="40"/>
      <c r="E805" s="40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75"/>
      <c r="D806" s="40"/>
      <c r="E806" s="40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75"/>
      <c r="D807" s="40"/>
      <c r="E807" s="40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75"/>
      <c r="D808" s="40"/>
      <c r="E808" s="40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75"/>
      <c r="D809" s="40"/>
      <c r="E809" s="40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75"/>
      <c r="D810" s="40"/>
      <c r="E810" s="40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75"/>
      <c r="D811" s="40"/>
      <c r="E811" s="40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75"/>
      <c r="D812" s="40"/>
      <c r="E812" s="40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75"/>
      <c r="D813" s="40"/>
      <c r="E813" s="40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75"/>
      <c r="D814" s="40"/>
      <c r="E814" s="40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75"/>
      <c r="D815" s="40"/>
      <c r="E815" s="40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75"/>
      <c r="D816" s="40"/>
      <c r="E816" s="40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75"/>
      <c r="D817" s="40"/>
      <c r="E817" s="40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75"/>
      <c r="D818" s="40"/>
      <c r="E818" s="40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75"/>
      <c r="D819" s="40"/>
      <c r="E819" s="40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75"/>
      <c r="D820" s="40"/>
      <c r="E820" s="40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75"/>
      <c r="D821" s="40"/>
      <c r="E821" s="40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75"/>
      <c r="D822" s="40"/>
      <c r="E822" s="40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75"/>
      <c r="D823" s="40"/>
      <c r="E823" s="40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75"/>
      <c r="D824" s="40"/>
      <c r="E824" s="40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75"/>
      <c r="D825" s="40"/>
      <c r="E825" s="40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75"/>
      <c r="D826" s="40"/>
      <c r="E826" s="40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75"/>
      <c r="D827" s="40"/>
      <c r="E827" s="40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75"/>
      <c r="D828" s="40"/>
      <c r="E828" s="40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75"/>
      <c r="D829" s="40"/>
      <c r="E829" s="40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75"/>
      <c r="D830" s="40"/>
      <c r="E830" s="40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75"/>
      <c r="D831" s="40"/>
      <c r="E831" s="40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75"/>
      <c r="D832" s="40"/>
      <c r="E832" s="40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75"/>
      <c r="D833" s="40"/>
      <c r="E833" s="40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75"/>
      <c r="D834" s="40"/>
      <c r="E834" s="40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75"/>
      <c r="D835" s="40"/>
      <c r="E835" s="40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75"/>
      <c r="D836" s="40"/>
      <c r="E836" s="40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75"/>
      <c r="D837" s="40"/>
      <c r="E837" s="40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75"/>
      <c r="D838" s="40"/>
      <c r="E838" s="40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75"/>
      <c r="D839" s="40"/>
      <c r="E839" s="40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75"/>
      <c r="D840" s="40"/>
      <c r="E840" s="40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75"/>
      <c r="D841" s="40"/>
      <c r="E841" s="40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75"/>
      <c r="D842" s="40"/>
      <c r="E842" s="40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75"/>
      <c r="D843" s="40"/>
      <c r="E843" s="40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75"/>
      <c r="D844" s="40"/>
      <c r="E844" s="40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75"/>
      <c r="D845" s="40"/>
      <c r="E845" s="40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75"/>
      <c r="D846" s="40"/>
      <c r="E846" s="40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75"/>
      <c r="D847" s="40"/>
      <c r="E847" s="40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75"/>
      <c r="D848" s="40"/>
      <c r="E848" s="40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75"/>
      <c r="D849" s="40"/>
      <c r="E849" s="40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75"/>
      <c r="D850" s="40"/>
      <c r="E850" s="40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75"/>
      <c r="D851" s="40"/>
      <c r="E851" s="40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75"/>
      <c r="D852" s="40"/>
      <c r="E852" s="40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75"/>
      <c r="D853" s="40"/>
      <c r="E853" s="40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75"/>
      <c r="D854" s="40"/>
      <c r="E854" s="40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75"/>
      <c r="D855" s="40"/>
      <c r="E855" s="40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75"/>
      <c r="D856" s="40"/>
      <c r="E856" s="40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75"/>
      <c r="D857" s="40"/>
      <c r="E857" s="40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75"/>
      <c r="D858" s="40"/>
      <c r="E858" s="40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75"/>
      <c r="D859" s="40"/>
      <c r="E859" s="40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75"/>
      <c r="D860" s="40"/>
      <c r="E860" s="40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75"/>
      <c r="D861" s="40"/>
      <c r="E861" s="40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75"/>
      <c r="D862" s="40"/>
      <c r="E862" s="40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75"/>
      <c r="D863" s="40"/>
      <c r="E863" s="40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75"/>
      <c r="D864" s="40"/>
      <c r="E864" s="40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75"/>
      <c r="D865" s="40"/>
      <c r="E865" s="40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75"/>
      <c r="D866" s="40"/>
      <c r="E866" s="40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75"/>
      <c r="D867" s="40"/>
      <c r="E867" s="40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75"/>
      <c r="D868" s="40"/>
      <c r="E868" s="40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75"/>
      <c r="D869" s="40"/>
      <c r="E869" s="40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75"/>
      <c r="D870" s="40"/>
      <c r="E870" s="40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75"/>
      <c r="D871" s="40"/>
      <c r="E871" s="40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75"/>
      <c r="D872" s="40"/>
      <c r="E872" s="40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75"/>
      <c r="D873" s="40"/>
      <c r="E873" s="40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75"/>
      <c r="D874" s="40"/>
      <c r="E874" s="40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75"/>
      <c r="D875" s="40"/>
      <c r="E875" s="40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75"/>
      <c r="D876" s="40"/>
      <c r="E876" s="40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75"/>
      <c r="D877" s="40"/>
      <c r="E877" s="40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75"/>
      <c r="D878" s="40"/>
      <c r="E878" s="40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75"/>
      <c r="D879" s="40"/>
      <c r="E879" s="40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75"/>
      <c r="D880" s="40"/>
      <c r="E880" s="40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75"/>
      <c r="D881" s="40"/>
      <c r="E881" s="40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75"/>
      <c r="D882" s="40"/>
      <c r="E882" s="40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75"/>
      <c r="D883" s="40"/>
      <c r="E883" s="40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75"/>
      <c r="D884" s="40"/>
      <c r="E884" s="40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75"/>
      <c r="D885" s="40"/>
      <c r="E885" s="40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75"/>
      <c r="D886" s="40"/>
      <c r="E886" s="40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75"/>
      <c r="D887" s="40"/>
      <c r="E887" s="40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75"/>
      <c r="D888" s="40"/>
      <c r="E888" s="40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75"/>
      <c r="D889" s="40"/>
      <c r="E889" s="40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75"/>
      <c r="D890" s="40"/>
      <c r="E890" s="40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75"/>
      <c r="D891" s="40"/>
      <c r="E891" s="40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75"/>
      <c r="D892" s="40"/>
      <c r="E892" s="40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75"/>
      <c r="D893" s="40"/>
      <c r="E893" s="40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75"/>
      <c r="D894" s="40"/>
      <c r="E894" s="40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75"/>
      <c r="D895" s="40"/>
      <c r="E895" s="40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75"/>
      <c r="D896" s="40"/>
      <c r="E896" s="40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75"/>
      <c r="D897" s="40"/>
      <c r="E897" s="40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75"/>
      <c r="D898" s="40"/>
      <c r="E898" s="40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75"/>
      <c r="D899" s="40"/>
      <c r="E899" s="40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75"/>
      <c r="D900" s="40"/>
      <c r="E900" s="40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75"/>
      <c r="D901" s="40"/>
      <c r="E901" s="40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75"/>
      <c r="D902" s="40"/>
      <c r="E902" s="40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75"/>
      <c r="D903" s="40"/>
      <c r="E903" s="40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75"/>
      <c r="D904" s="40"/>
      <c r="E904" s="40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75"/>
      <c r="D905" s="40"/>
      <c r="E905" s="40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75"/>
      <c r="D906" s="40"/>
      <c r="E906" s="40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75"/>
      <c r="D907" s="40"/>
      <c r="E907" s="40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75"/>
      <c r="D908" s="40"/>
      <c r="E908" s="40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75"/>
      <c r="D909" s="40"/>
      <c r="E909" s="40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75"/>
      <c r="D910" s="40"/>
      <c r="E910" s="40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75"/>
      <c r="D911" s="40"/>
      <c r="E911" s="40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75"/>
      <c r="D912" s="40"/>
      <c r="E912" s="40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75"/>
      <c r="D913" s="40"/>
      <c r="E913" s="40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75"/>
      <c r="D914" s="40"/>
      <c r="E914" s="40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75"/>
      <c r="D915" s="40"/>
      <c r="E915" s="40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75"/>
      <c r="D916" s="40"/>
      <c r="E916" s="40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75"/>
      <c r="D917" s="40"/>
      <c r="E917" s="40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75"/>
      <c r="D918" s="40"/>
      <c r="E918" s="40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75"/>
      <c r="D919" s="40"/>
      <c r="E919" s="40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75"/>
      <c r="D920" s="40"/>
      <c r="E920" s="40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75"/>
      <c r="D921" s="40"/>
      <c r="E921" s="40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75"/>
      <c r="D922" s="40"/>
      <c r="E922" s="40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75"/>
      <c r="D923" s="40"/>
      <c r="E923" s="40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75"/>
      <c r="D924" s="40"/>
      <c r="E924" s="40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75"/>
      <c r="D925" s="40"/>
      <c r="E925" s="40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75"/>
      <c r="D926" s="40"/>
      <c r="E926" s="40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75"/>
      <c r="D927" s="40"/>
      <c r="E927" s="40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75"/>
      <c r="D928" s="40"/>
      <c r="E928" s="40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75"/>
      <c r="D929" s="40"/>
      <c r="E929" s="40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75"/>
      <c r="D930" s="40"/>
      <c r="E930" s="40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75"/>
      <c r="D931" s="40"/>
      <c r="E931" s="40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75"/>
      <c r="D932" s="40"/>
      <c r="E932" s="40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75"/>
      <c r="D933" s="40"/>
      <c r="E933" s="40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75"/>
      <c r="D934" s="40"/>
      <c r="E934" s="40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75"/>
      <c r="D935" s="40"/>
      <c r="E935" s="40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75"/>
      <c r="D936" s="40"/>
      <c r="E936" s="40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75"/>
      <c r="D937" s="40"/>
      <c r="E937" s="40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75"/>
      <c r="D938" s="40"/>
      <c r="E938" s="40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75"/>
      <c r="D939" s="40"/>
      <c r="E939" s="40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75"/>
      <c r="D940" s="40"/>
      <c r="E940" s="40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75"/>
      <c r="D941" s="40"/>
      <c r="E941" s="40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75"/>
      <c r="D942" s="40"/>
      <c r="E942" s="40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75"/>
      <c r="D943" s="40"/>
      <c r="E943" s="40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75"/>
      <c r="D944" s="40"/>
      <c r="E944" s="40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75"/>
      <c r="D945" s="40"/>
      <c r="E945" s="40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75"/>
      <c r="D946" s="40"/>
      <c r="E946" s="40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75"/>
      <c r="D947" s="40"/>
      <c r="E947" s="40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75"/>
      <c r="D948" s="40"/>
      <c r="E948" s="40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75"/>
      <c r="D949" s="40"/>
      <c r="E949" s="40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75"/>
      <c r="D950" s="40"/>
      <c r="E950" s="40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75"/>
      <c r="D951" s="40"/>
      <c r="E951" s="40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75"/>
      <c r="D952" s="40"/>
      <c r="E952" s="40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75"/>
      <c r="D953" s="40"/>
      <c r="E953" s="40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75"/>
      <c r="D954" s="40"/>
      <c r="E954" s="40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75"/>
      <c r="D955" s="40"/>
      <c r="E955" s="40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75"/>
      <c r="D956" s="40"/>
      <c r="E956" s="40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75"/>
      <c r="D957" s="40"/>
      <c r="E957" s="40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4"/>
      <c r="C958" s="4"/>
      <c r="D958" s="40"/>
      <c r="E958" s="40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4"/>
      <c r="AS958" s="4"/>
      <c r="AT958" s="4"/>
      <c r="AU958" s="4"/>
      <c r="AV958" s="4"/>
      <c r="AW958" s="4"/>
      <c r="AX958" s="4"/>
    </row>
    <row r="959" ht="20.25" customHeight="1">
      <c r="A959" s="1"/>
      <c r="B959" s="4"/>
      <c r="C959" s="4"/>
      <c r="D959" s="40"/>
      <c r="E959" s="40"/>
      <c r="F959" s="1"/>
      <c r="G959" s="1"/>
      <c r="H959" s="1"/>
      <c r="I959" s="4"/>
      <c r="J959" s="4"/>
      <c r="K959" s="4"/>
      <c r="L959" s="4"/>
      <c r="M959" s="5"/>
      <c r="N959" s="1"/>
      <c r="O959" s="1"/>
      <c r="P959" s="1"/>
      <c r="Q959" s="1"/>
      <c r="R959" s="1"/>
      <c r="S959" s="1"/>
      <c r="T959" s="4"/>
      <c r="U959" s="4"/>
      <c r="V959" s="4"/>
      <c r="W959" s="4"/>
      <c r="X959" s="1"/>
      <c r="Y959" s="1"/>
      <c r="Z959" s="1"/>
      <c r="AA959" s="1"/>
      <c r="AB959" s="1"/>
      <c r="AC959" s="1"/>
      <c r="AD959" s="1"/>
      <c r="AE959" s="1"/>
      <c r="AF959" s="4"/>
      <c r="AG959" s="4"/>
      <c r="AH959" s="4"/>
      <c r="AI959" s="4"/>
      <c r="AJ959" s="1"/>
      <c r="AK959" s="1"/>
      <c r="AL959" s="1"/>
      <c r="AM959" s="1"/>
      <c r="AN959" s="1"/>
      <c r="AO959" s="1"/>
      <c r="AP959" s="1"/>
      <c r="AQ959" s="1"/>
      <c r="AR959" s="4"/>
      <c r="AS959" s="4"/>
      <c r="AT959" s="4"/>
      <c r="AU959" s="4"/>
      <c r="AV959" s="4"/>
      <c r="AW959" s="4"/>
      <c r="AX959" s="4"/>
    </row>
    <row r="960" ht="20.25" customHeight="1">
      <c r="A960" s="1"/>
      <c r="B960" s="4"/>
      <c r="C960" s="4"/>
      <c r="D960" s="40"/>
      <c r="E960" s="40"/>
      <c r="F960" s="1"/>
      <c r="G960" s="1"/>
      <c r="H960" s="1"/>
      <c r="I960" s="4"/>
      <c r="J960" s="4"/>
      <c r="K960" s="4"/>
      <c r="L960" s="4"/>
      <c r="M960" s="5"/>
      <c r="N960" s="1"/>
      <c r="O960" s="1"/>
      <c r="P960" s="1"/>
      <c r="Q960" s="1"/>
      <c r="R960" s="1"/>
      <c r="S960" s="1"/>
      <c r="T960" s="4"/>
      <c r="U960" s="4"/>
      <c r="V960" s="4"/>
      <c r="W960" s="4"/>
      <c r="X960" s="1"/>
      <c r="Y960" s="1"/>
      <c r="Z960" s="1"/>
      <c r="AA960" s="1"/>
      <c r="AB960" s="1"/>
      <c r="AC960" s="1"/>
      <c r="AD960" s="1"/>
      <c r="AE960" s="1"/>
      <c r="AF960" s="4"/>
      <c r="AG960" s="4"/>
      <c r="AH960" s="4"/>
      <c r="AI960" s="4"/>
      <c r="AJ960" s="1"/>
      <c r="AK960" s="1"/>
      <c r="AL960" s="1"/>
      <c r="AM960" s="1"/>
      <c r="AN960" s="1"/>
      <c r="AO960" s="1"/>
      <c r="AP960" s="1"/>
      <c r="AQ960" s="1"/>
      <c r="AR960" s="4"/>
      <c r="AS960" s="4"/>
      <c r="AT960" s="4"/>
      <c r="AU960" s="4"/>
      <c r="AV960" s="4"/>
      <c r="AW960" s="4"/>
      <c r="AX960" s="4"/>
    </row>
    <row r="961" ht="20.25" customHeight="1">
      <c r="A961" s="1"/>
      <c r="B961" s="4"/>
      <c r="C961" s="4"/>
      <c r="D961" s="40"/>
      <c r="E961" s="40"/>
      <c r="F961" s="1"/>
      <c r="G961" s="1"/>
      <c r="H961" s="1"/>
      <c r="I961" s="4"/>
      <c r="J961" s="4"/>
      <c r="K961" s="4"/>
      <c r="L961" s="4"/>
      <c r="M961" s="5"/>
      <c r="N961" s="1"/>
      <c r="O961" s="1"/>
      <c r="P961" s="1"/>
      <c r="Q961" s="1"/>
      <c r="R961" s="1"/>
      <c r="S961" s="1"/>
      <c r="T961" s="4"/>
      <c r="U961" s="4"/>
      <c r="V961" s="4"/>
      <c r="W961" s="4"/>
      <c r="X961" s="1"/>
      <c r="Y961" s="1"/>
      <c r="Z961" s="1"/>
      <c r="AA961" s="1"/>
      <c r="AB961" s="1"/>
      <c r="AC961" s="1"/>
      <c r="AD961" s="1"/>
      <c r="AE961" s="1"/>
      <c r="AF961" s="4"/>
      <c r="AG961" s="4"/>
      <c r="AH961" s="4"/>
      <c r="AI961" s="4"/>
      <c r="AJ961" s="1"/>
      <c r="AK961" s="1"/>
      <c r="AL961" s="1"/>
      <c r="AM961" s="1"/>
      <c r="AN961" s="1"/>
      <c r="AO961" s="1"/>
      <c r="AP961" s="1"/>
      <c r="AQ961" s="1"/>
      <c r="AR961" s="4"/>
      <c r="AS961" s="4"/>
      <c r="AT961" s="4"/>
      <c r="AU961" s="4"/>
      <c r="AV961" s="4"/>
      <c r="AW961" s="4"/>
      <c r="AX961" s="4"/>
    </row>
    <row r="962" ht="20.25" customHeight="1">
      <c r="A962" s="1"/>
      <c r="B962" s="4"/>
      <c r="C962" s="4"/>
      <c r="D962" s="40"/>
      <c r="E962" s="40"/>
      <c r="F962" s="1"/>
      <c r="G962" s="1"/>
      <c r="H962" s="1"/>
      <c r="I962" s="4"/>
      <c r="J962" s="4"/>
      <c r="K962" s="4"/>
      <c r="L962" s="4"/>
      <c r="M962" s="5"/>
      <c r="N962" s="1"/>
      <c r="O962" s="1"/>
      <c r="P962" s="1"/>
      <c r="Q962" s="1"/>
      <c r="R962" s="1"/>
      <c r="S962" s="1"/>
      <c r="T962" s="4"/>
      <c r="U962" s="4"/>
      <c r="V962" s="4"/>
      <c r="W962" s="4"/>
      <c r="X962" s="1"/>
      <c r="Y962" s="1"/>
      <c r="Z962" s="1"/>
      <c r="AA962" s="1"/>
      <c r="AB962" s="1"/>
      <c r="AC962" s="1"/>
      <c r="AD962" s="1"/>
      <c r="AE962" s="1"/>
      <c r="AF962" s="4"/>
      <c r="AG962" s="4"/>
      <c r="AH962" s="4"/>
      <c r="AI962" s="4"/>
      <c r="AJ962" s="1"/>
      <c r="AK962" s="1"/>
      <c r="AL962" s="1"/>
      <c r="AM962" s="1"/>
      <c r="AN962" s="1"/>
      <c r="AO962" s="1"/>
      <c r="AP962" s="1"/>
      <c r="AQ962" s="1"/>
      <c r="AR962" s="4"/>
      <c r="AS962" s="4"/>
      <c r="AT962" s="4"/>
      <c r="AU962" s="4"/>
      <c r="AV962" s="4"/>
      <c r="AW962" s="4"/>
      <c r="AX962" s="4"/>
    </row>
    <row r="963" ht="20.25" customHeight="1">
      <c r="A963" s="1"/>
      <c r="B963" s="4"/>
      <c r="C963" s="4"/>
      <c r="D963" s="40"/>
      <c r="E963" s="40"/>
      <c r="F963" s="1"/>
      <c r="G963" s="1"/>
      <c r="H963" s="1"/>
      <c r="I963" s="4"/>
      <c r="J963" s="4"/>
      <c r="K963" s="4"/>
      <c r="L963" s="4"/>
      <c r="M963" s="5"/>
      <c r="N963" s="1"/>
      <c r="O963" s="1"/>
      <c r="P963" s="1"/>
      <c r="Q963" s="1"/>
      <c r="R963" s="1"/>
      <c r="S963" s="1"/>
      <c r="T963" s="4"/>
      <c r="U963" s="4"/>
      <c r="V963" s="4"/>
      <c r="W963" s="4"/>
      <c r="X963" s="1"/>
      <c r="Y963" s="1"/>
      <c r="Z963" s="1"/>
      <c r="AA963" s="1"/>
      <c r="AB963" s="1"/>
      <c r="AC963" s="1"/>
      <c r="AD963" s="1"/>
      <c r="AE963" s="1"/>
      <c r="AF963" s="4"/>
      <c r="AG963" s="4"/>
      <c r="AH963" s="4"/>
      <c r="AI963" s="4"/>
      <c r="AJ963" s="1"/>
      <c r="AK963" s="1"/>
      <c r="AL963" s="1"/>
      <c r="AM963" s="1"/>
      <c r="AN963" s="1"/>
      <c r="AO963" s="1"/>
      <c r="AP963" s="1"/>
      <c r="AQ963" s="1"/>
      <c r="AR963" s="4"/>
      <c r="AS963" s="4"/>
      <c r="AT963" s="4"/>
      <c r="AU963" s="4"/>
      <c r="AV963" s="4"/>
      <c r="AW963" s="4"/>
      <c r="AX963" s="4"/>
    </row>
    <row r="964" ht="20.25" customHeight="1">
      <c r="A964" s="1"/>
      <c r="B964" s="4"/>
      <c r="C964" s="4"/>
      <c r="D964" s="40"/>
      <c r="E964" s="40"/>
      <c r="F964" s="1"/>
      <c r="G964" s="1"/>
      <c r="H964" s="1"/>
      <c r="I964" s="4"/>
      <c r="J964" s="4"/>
      <c r="K964" s="4"/>
      <c r="L964" s="4"/>
      <c r="M964" s="5"/>
      <c r="N964" s="1"/>
      <c r="O964" s="1"/>
      <c r="P964" s="1"/>
      <c r="Q964" s="1"/>
      <c r="R964" s="1"/>
      <c r="S964" s="1"/>
      <c r="T964" s="4"/>
      <c r="U964" s="4"/>
      <c r="V964" s="4"/>
      <c r="W964" s="4"/>
      <c r="X964" s="1"/>
      <c r="Y964" s="1"/>
      <c r="Z964" s="1"/>
      <c r="AA964" s="1"/>
      <c r="AB964" s="1"/>
      <c r="AC964" s="1"/>
      <c r="AD964" s="1"/>
      <c r="AE964" s="1"/>
      <c r="AF964" s="4"/>
      <c r="AG964" s="4"/>
      <c r="AH964" s="4"/>
      <c r="AI964" s="4"/>
      <c r="AJ964" s="1"/>
      <c r="AK964" s="1"/>
      <c r="AL964" s="1"/>
      <c r="AM964" s="1"/>
      <c r="AN964" s="1"/>
      <c r="AO964" s="1"/>
      <c r="AP964" s="1"/>
      <c r="AQ964" s="1"/>
      <c r="AR964" s="4"/>
      <c r="AS964" s="4"/>
      <c r="AT964" s="4"/>
      <c r="AU964" s="4"/>
      <c r="AV964" s="4"/>
      <c r="AW964" s="4"/>
      <c r="AX964" s="4"/>
    </row>
    <row r="965" ht="20.25" customHeight="1">
      <c r="A965" s="1"/>
      <c r="B965" s="4"/>
      <c r="C965" s="4"/>
      <c r="D965" s="40"/>
      <c r="E965" s="40"/>
      <c r="F965" s="1"/>
      <c r="G965" s="1"/>
      <c r="H965" s="1"/>
      <c r="I965" s="4"/>
      <c r="J965" s="4"/>
      <c r="K965" s="4"/>
      <c r="L965" s="4"/>
      <c r="M965" s="5"/>
      <c r="N965" s="1"/>
      <c r="O965" s="1"/>
      <c r="P965" s="1"/>
      <c r="Q965" s="1"/>
      <c r="R965" s="1"/>
      <c r="S965" s="1"/>
      <c r="T965" s="4"/>
      <c r="U965" s="4"/>
      <c r="V965" s="4"/>
      <c r="W965" s="4"/>
      <c r="X965" s="1"/>
      <c r="Y965" s="1"/>
      <c r="Z965" s="1"/>
      <c r="AA965" s="1"/>
      <c r="AB965" s="1"/>
      <c r="AC965" s="1"/>
      <c r="AD965" s="1"/>
      <c r="AE965" s="1"/>
      <c r="AF965" s="4"/>
      <c r="AG965" s="4"/>
      <c r="AH965" s="4"/>
      <c r="AI965" s="4"/>
      <c r="AJ965" s="1"/>
      <c r="AK965" s="1"/>
      <c r="AL965" s="1"/>
      <c r="AM965" s="1"/>
      <c r="AN965" s="1"/>
      <c r="AO965" s="1"/>
      <c r="AP965" s="1"/>
      <c r="AQ965" s="1"/>
      <c r="AR965" s="4"/>
      <c r="AS965" s="4"/>
      <c r="AT965" s="4"/>
      <c r="AU965" s="4"/>
      <c r="AV965" s="4"/>
      <c r="AW965" s="4"/>
      <c r="AX965" s="4"/>
    </row>
    <row r="966" ht="20.25" customHeight="1">
      <c r="A966" s="1"/>
      <c r="B966" s="4"/>
      <c r="C966" s="4"/>
      <c r="D966" s="40"/>
      <c r="E966" s="40"/>
      <c r="F966" s="1"/>
      <c r="G966" s="1"/>
      <c r="H966" s="1"/>
      <c r="I966" s="4"/>
      <c r="J966" s="4"/>
      <c r="K966" s="4"/>
      <c r="L966" s="4"/>
      <c r="M966" s="5"/>
      <c r="N966" s="1"/>
      <c r="O966" s="1"/>
      <c r="P966" s="1"/>
      <c r="Q966" s="1"/>
      <c r="R966" s="1"/>
      <c r="S966" s="1"/>
      <c r="T966" s="4"/>
      <c r="U966" s="4"/>
      <c r="V966" s="4"/>
      <c r="W966" s="4"/>
      <c r="X966" s="1"/>
      <c r="Y966" s="1"/>
      <c r="Z966" s="1"/>
      <c r="AA966" s="1"/>
      <c r="AB966" s="1"/>
      <c r="AC966" s="1"/>
      <c r="AD966" s="1"/>
      <c r="AE966" s="1"/>
      <c r="AF966" s="4"/>
      <c r="AG966" s="4"/>
      <c r="AH966" s="4"/>
      <c r="AI966" s="4"/>
      <c r="AJ966" s="1"/>
      <c r="AK966" s="1"/>
      <c r="AL966" s="1"/>
      <c r="AM966" s="1"/>
      <c r="AN966" s="1"/>
      <c r="AO966" s="1"/>
      <c r="AP966" s="1"/>
      <c r="AQ966" s="1"/>
      <c r="AR966" s="4"/>
      <c r="AS966" s="4"/>
      <c r="AT966" s="4"/>
      <c r="AU966" s="4"/>
      <c r="AV966" s="4"/>
      <c r="AW966" s="4"/>
      <c r="AX966" s="4"/>
    </row>
    <row r="967" ht="20.25" customHeight="1">
      <c r="A967" s="1"/>
      <c r="B967" s="4"/>
      <c r="C967" s="4"/>
      <c r="D967" s="40"/>
      <c r="E967" s="40"/>
      <c r="F967" s="1"/>
      <c r="G967" s="1"/>
      <c r="H967" s="1"/>
      <c r="I967" s="4"/>
      <c r="J967" s="4"/>
      <c r="K967" s="4"/>
      <c r="L967" s="4"/>
      <c r="M967" s="5"/>
      <c r="N967" s="1"/>
      <c r="O967" s="1"/>
      <c r="P967" s="1"/>
      <c r="Q967" s="1"/>
      <c r="R967" s="1"/>
      <c r="S967" s="1"/>
      <c r="T967" s="4"/>
      <c r="U967" s="4"/>
      <c r="V967" s="4"/>
      <c r="W967" s="4"/>
      <c r="X967" s="1"/>
      <c r="Y967" s="1"/>
      <c r="Z967" s="1"/>
      <c r="AA967" s="1"/>
      <c r="AB967" s="1"/>
      <c r="AC967" s="1"/>
      <c r="AD967" s="1"/>
      <c r="AE967" s="1"/>
      <c r="AF967" s="4"/>
      <c r="AG967" s="4"/>
      <c r="AH967" s="4"/>
      <c r="AI967" s="4"/>
      <c r="AJ967" s="1"/>
      <c r="AK967" s="1"/>
      <c r="AL967" s="1"/>
      <c r="AM967" s="1"/>
      <c r="AN967" s="1"/>
      <c r="AO967" s="1"/>
      <c r="AP967" s="1"/>
      <c r="AQ967" s="1"/>
      <c r="AR967" s="4"/>
      <c r="AS967" s="4"/>
      <c r="AT967" s="4"/>
      <c r="AU967" s="4"/>
      <c r="AV967" s="4"/>
      <c r="AW967" s="4"/>
      <c r="AX967" s="4"/>
    </row>
    <row r="968" ht="20.25" customHeight="1">
      <c r="A968" s="1"/>
      <c r="B968" s="4"/>
      <c r="C968" s="4"/>
      <c r="D968" s="40"/>
      <c r="E968" s="40"/>
      <c r="F968" s="1"/>
      <c r="G968" s="1"/>
      <c r="H968" s="1"/>
      <c r="I968" s="4"/>
      <c r="J968" s="4"/>
      <c r="K968" s="4"/>
      <c r="L968" s="4"/>
      <c r="M968" s="5"/>
      <c r="N968" s="1"/>
      <c r="O968" s="1"/>
      <c r="P968" s="1"/>
      <c r="Q968" s="1"/>
      <c r="R968" s="1"/>
      <c r="S968" s="1"/>
      <c r="T968" s="4"/>
      <c r="U968" s="4"/>
      <c r="V968" s="4"/>
      <c r="W968" s="4"/>
      <c r="X968" s="1"/>
      <c r="Y968" s="1"/>
      <c r="Z968" s="1"/>
      <c r="AA968" s="1"/>
      <c r="AB968" s="1"/>
      <c r="AC968" s="1"/>
      <c r="AD968" s="1"/>
      <c r="AE968" s="1"/>
      <c r="AF968" s="4"/>
      <c r="AG968" s="4"/>
      <c r="AH968" s="4"/>
      <c r="AI968" s="4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  <c r="AW968" s="4"/>
      <c r="AX968" s="4"/>
    </row>
  </sheetData>
  <mergeCells count="199"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17:J17"/>
    <mergeCell ref="K17:L17"/>
    <mergeCell ref="C19:L19"/>
    <mergeCell ref="O19:X19"/>
    <mergeCell ref="AA19:AJ19"/>
    <mergeCell ref="AM19:AV19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I25:J25"/>
    <mergeCell ref="K25:L25"/>
    <mergeCell ref="U25:V25"/>
    <mergeCell ref="W25:X25"/>
    <mergeCell ref="AG25:AH25"/>
    <mergeCell ref="AI25:AJ25"/>
    <mergeCell ref="AS25:AT25"/>
    <mergeCell ref="AU25:AV25"/>
    <mergeCell ref="I13:J13"/>
    <mergeCell ref="I14:J14"/>
    <mergeCell ref="K14:L14"/>
    <mergeCell ref="I15:J15"/>
    <mergeCell ref="K15:L15"/>
    <mergeCell ref="I16:J16"/>
    <mergeCell ref="K16:L16"/>
    <mergeCell ref="AS27:AT27"/>
    <mergeCell ref="AU27:AV27"/>
    <mergeCell ref="U33:V33"/>
    <mergeCell ref="W33:X33"/>
    <mergeCell ref="I34:J34"/>
    <mergeCell ref="K34:L34"/>
    <mergeCell ref="W34:X34"/>
    <mergeCell ref="K35:L35"/>
    <mergeCell ref="W35:X35"/>
    <mergeCell ref="W39:X39"/>
    <mergeCell ref="O41:X41"/>
    <mergeCell ref="U34:V34"/>
    <mergeCell ref="U35:V35"/>
    <mergeCell ref="U37:V37"/>
    <mergeCell ref="W37:X37"/>
    <mergeCell ref="U38:V38"/>
    <mergeCell ref="W38:X38"/>
    <mergeCell ref="U39:V39"/>
    <mergeCell ref="I37:J37"/>
    <mergeCell ref="K37:L37"/>
    <mergeCell ref="I38:J38"/>
    <mergeCell ref="K38:L38"/>
    <mergeCell ref="I39:J39"/>
    <mergeCell ref="K39:L39"/>
    <mergeCell ref="C41:L41"/>
    <mergeCell ref="B50:D51"/>
    <mergeCell ref="B52:D53"/>
    <mergeCell ref="E52:E53"/>
    <mergeCell ref="F52:F53"/>
    <mergeCell ref="B54:D55"/>
    <mergeCell ref="E54:E55"/>
    <mergeCell ref="F54:F55"/>
    <mergeCell ref="B44:F45"/>
    <mergeCell ref="B46:D47"/>
    <mergeCell ref="E46:E47"/>
    <mergeCell ref="F46:F47"/>
    <mergeCell ref="B48:F49"/>
    <mergeCell ref="E50:E51"/>
    <mergeCell ref="F50:F51"/>
    <mergeCell ref="AS36:AT36"/>
    <mergeCell ref="AS37:AT37"/>
    <mergeCell ref="AS33:AT33"/>
    <mergeCell ref="AU33:AV33"/>
    <mergeCell ref="AS34:AT34"/>
    <mergeCell ref="AU34:AV34"/>
    <mergeCell ref="AS35:AT35"/>
    <mergeCell ref="AU35:AV35"/>
    <mergeCell ref="AU36:AV36"/>
    <mergeCell ref="AU37:AV37"/>
    <mergeCell ref="K26:L26"/>
    <mergeCell ref="U26:V26"/>
    <mergeCell ref="W26:X26"/>
    <mergeCell ref="AG26:AH26"/>
    <mergeCell ref="AI26:AJ26"/>
    <mergeCell ref="AS26:AT26"/>
    <mergeCell ref="AU26:AV26"/>
    <mergeCell ref="I26:J26"/>
    <mergeCell ref="I27:J27"/>
    <mergeCell ref="K27:L27"/>
    <mergeCell ref="U27:V27"/>
    <mergeCell ref="W27:X27"/>
    <mergeCell ref="AG27:AH27"/>
    <mergeCell ref="AI27:AJ27"/>
    <mergeCell ref="I28:J28"/>
    <mergeCell ref="U28:V28"/>
    <mergeCell ref="W28:X28"/>
    <mergeCell ref="AG28:AH28"/>
    <mergeCell ref="AI28:AJ28"/>
    <mergeCell ref="AS28:AT28"/>
    <mergeCell ref="AU28:AV28"/>
    <mergeCell ref="K28:L28"/>
    <mergeCell ref="C30:L30"/>
    <mergeCell ref="O30:X30"/>
    <mergeCell ref="AA30:AJ30"/>
    <mergeCell ref="AM30:AV30"/>
    <mergeCell ref="I33:J33"/>
    <mergeCell ref="K33:L33"/>
    <mergeCell ref="I35:J35"/>
    <mergeCell ref="I36:J36"/>
    <mergeCell ref="K36:L36"/>
    <mergeCell ref="U36:V36"/>
    <mergeCell ref="W36:X36"/>
    <mergeCell ref="AG36:AH36"/>
    <mergeCell ref="AG37:AH37"/>
    <mergeCell ref="AG38:AH38"/>
    <mergeCell ref="AG39:AH39"/>
    <mergeCell ref="AI39:AJ39"/>
    <mergeCell ref="AA41:AJ41"/>
    <mergeCell ref="AI37:AJ37"/>
    <mergeCell ref="AI38:AJ38"/>
    <mergeCell ref="AS38:AT38"/>
    <mergeCell ref="AU38:AV38"/>
    <mergeCell ref="AS39:AT39"/>
    <mergeCell ref="AU39:AV39"/>
    <mergeCell ref="AM41:AV41"/>
    <mergeCell ref="AG33:AH33"/>
    <mergeCell ref="AI33:AJ33"/>
    <mergeCell ref="AG34:AH34"/>
    <mergeCell ref="AI34:AJ34"/>
    <mergeCell ref="AG35:AH35"/>
    <mergeCell ref="AI35:AJ35"/>
    <mergeCell ref="AI36:AJ36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3"/>
    <hyperlink r:id="rId26" ref="O23"/>
    <hyperlink r:id="rId27" ref="AA23"/>
    <hyperlink r:id="rId28" ref="AM23"/>
    <hyperlink r:id="rId29" ref="C24"/>
    <hyperlink r:id="rId30" ref="O24"/>
    <hyperlink r:id="rId31" ref="AA24"/>
    <hyperlink r:id="rId32" ref="AM24"/>
    <hyperlink r:id="rId33" ref="C25"/>
    <hyperlink r:id="rId34" ref="O25"/>
    <hyperlink r:id="rId35" ref="AA25"/>
    <hyperlink r:id="rId36" ref="AM25"/>
    <hyperlink r:id="rId37" ref="C26"/>
    <hyperlink r:id="rId38" ref="O26"/>
    <hyperlink r:id="rId39" ref="AA26"/>
    <hyperlink r:id="rId40" ref="AM26"/>
    <hyperlink r:id="rId41" ref="C27"/>
    <hyperlink r:id="rId42" ref="O27"/>
    <hyperlink r:id="rId43" ref="AA27"/>
    <hyperlink r:id="rId44" ref="AM27"/>
    <hyperlink r:id="rId45" ref="C28"/>
    <hyperlink r:id="rId46" ref="O28"/>
    <hyperlink r:id="rId47" ref="AA28"/>
    <hyperlink r:id="rId48" ref="AM28"/>
    <hyperlink r:id="rId49" ref="C34"/>
    <hyperlink r:id="rId50" ref="O34"/>
    <hyperlink r:id="rId51" ref="AA34"/>
    <hyperlink r:id="rId52" ref="AM34"/>
    <hyperlink r:id="rId53" ref="C35"/>
    <hyperlink r:id="rId54" ref="O35"/>
    <hyperlink r:id="rId55" ref="AA35"/>
    <hyperlink r:id="rId56" ref="AM35"/>
    <hyperlink r:id="rId57" ref="C36"/>
    <hyperlink r:id="rId58" ref="O36"/>
    <hyperlink r:id="rId59" ref="AA36"/>
    <hyperlink r:id="rId60" ref="AM36"/>
    <hyperlink r:id="rId61" ref="C37"/>
    <hyperlink r:id="rId62" ref="O37"/>
    <hyperlink r:id="rId63" ref="AA37"/>
    <hyperlink r:id="rId64" ref="AM37"/>
    <hyperlink r:id="rId65" ref="C38"/>
    <hyperlink r:id="rId66" ref="O38"/>
    <hyperlink r:id="rId67" ref="AA38"/>
    <hyperlink r:id="rId68" ref="AM38"/>
    <hyperlink r:id="rId69" ref="C39"/>
    <hyperlink r:id="rId70" ref="O39"/>
    <hyperlink r:id="rId71" ref="AA39"/>
    <hyperlink r:id="rId72" ref="AM39"/>
    <hyperlink r:id="rId73" ref="B50"/>
    <hyperlink r:id="rId74" ref="B52"/>
    <hyperlink r:id="rId75" ref="B54"/>
  </hyperlinks>
  <printOptions/>
  <pageMargins bottom="0.75" footer="0.0" header="0.0" left="0.7" right="0.7" top="0.75"/>
  <pageSetup orientation="portrait"/>
  <drawing r:id="rId7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83"/>
      <c r="B1" s="83"/>
      <c r="C1" s="83"/>
      <c r="D1" s="83"/>
      <c r="E1" s="83"/>
      <c r="F1" s="84"/>
      <c r="G1" s="84"/>
      <c r="H1" s="84"/>
      <c r="I1" s="84"/>
      <c r="J1" s="84"/>
      <c r="K1" s="84"/>
      <c r="L1" s="16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</row>
    <row r="2">
      <c r="A2" s="83"/>
      <c r="B2" s="83"/>
      <c r="C2" s="83"/>
      <c r="D2" s="83"/>
      <c r="E2" s="83"/>
      <c r="F2" s="84"/>
      <c r="G2" s="84"/>
      <c r="H2" s="84"/>
      <c r="I2" s="84"/>
      <c r="J2" s="84"/>
      <c r="K2" s="84"/>
      <c r="L2" s="16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</row>
    <row r="3" ht="217.5" customHeight="1">
      <c r="A3" s="36"/>
      <c r="B3" s="36"/>
      <c r="C3" s="16"/>
      <c r="D3" s="16"/>
      <c r="E3" s="16"/>
      <c r="F3" s="16"/>
      <c r="G3" s="16"/>
      <c r="H3" s="36"/>
      <c r="I3" s="16"/>
      <c r="J3" s="16"/>
      <c r="K3" s="16"/>
      <c r="L3" s="16"/>
      <c r="M3" s="84"/>
      <c r="N3" s="85"/>
      <c r="O3" s="84"/>
      <c r="P3" s="36"/>
      <c r="Q3" s="36"/>
      <c r="R3" s="36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</row>
    <row r="4" ht="75.0" customHeight="1">
      <c r="A4" s="36"/>
      <c r="B4" s="36"/>
      <c r="C4" s="16"/>
      <c r="D4" s="16"/>
      <c r="E4" s="16"/>
      <c r="F4" s="16"/>
      <c r="G4" s="16"/>
      <c r="H4" s="36"/>
      <c r="I4" s="16"/>
      <c r="J4" s="16"/>
      <c r="K4" s="16"/>
      <c r="L4" s="16"/>
      <c r="M4" s="84"/>
      <c r="N4" s="84"/>
      <c r="O4" s="84"/>
      <c r="P4" s="36"/>
      <c r="Q4" s="16"/>
      <c r="R4" s="16"/>
      <c r="S4" s="16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</row>
    <row r="5">
      <c r="A5" s="73"/>
      <c r="B5" s="73"/>
      <c r="C5" s="86" t="s">
        <v>72</v>
      </c>
      <c r="D5" s="38"/>
      <c r="E5" s="23"/>
      <c r="F5" s="16"/>
      <c r="G5" s="73"/>
      <c r="H5" s="73"/>
      <c r="I5" s="73"/>
      <c r="J5" s="73"/>
      <c r="K5" s="73"/>
      <c r="L5" s="16"/>
      <c r="M5" s="87"/>
      <c r="N5" s="87"/>
      <c r="O5" s="87"/>
      <c r="P5" s="74"/>
      <c r="Q5" s="88"/>
      <c r="R5" s="88"/>
      <c r="S5" s="88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</row>
    <row r="6">
      <c r="A6" s="73"/>
      <c r="B6" s="73"/>
      <c r="C6" s="86" t="s">
        <v>73</v>
      </c>
      <c r="D6" s="38"/>
      <c r="E6" s="23"/>
      <c r="F6" s="16"/>
      <c r="G6" s="73"/>
      <c r="H6" s="73"/>
      <c r="I6" s="73"/>
      <c r="J6" s="73"/>
      <c r="K6" s="16"/>
      <c r="L6" s="16"/>
      <c r="M6" s="87"/>
      <c r="N6" s="87"/>
      <c r="O6" s="87"/>
      <c r="P6" s="74"/>
      <c r="Q6" s="88"/>
      <c r="R6" s="88"/>
      <c r="S6" s="88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</row>
    <row r="7">
      <c r="A7" s="73"/>
      <c r="B7" s="73"/>
      <c r="C7" s="86" t="s">
        <v>74</v>
      </c>
      <c r="D7" s="38"/>
      <c r="E7" s="23"/>
      <c r="F7" s="16"/>
      <c r="G7" s="73"/>
      <c r="H7" s="73"/>
      <c r="I7" s="73"/>
      <c r="J7" s="73"/>
      <c r="K7" s="16"/>
      <c r="L7" s="16"/>
      <c r="M7" s="16"/>
      <c r="N7" s="16"/>
      <c r="O7" s="16"/>
      <c r="P7" s="16"/>
      <c r="Q7" s="16"/>
      <c r="R7" s="16"/>
      <c r="S7" s="16"/>
      <c r="T7" s="89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</row>
    <row r="8">
      <c r="A8" s="73"/>
      <c r="B8" s="73"/>
      <c r="C8" s="90"/>
      <c r="D8" s="90"/>
      <c r="E8" s="90"/>
      <c r="F8" s="16"/>
      <c r="G8" s="73"/>
      <c r="H8" s="73"/>
      <c r="I8" s="73"/>
      <c r="J8" s="73"/>
      <c r="K8" s="16"/>
      <c r="L8" s="16"/>
      <c r="M8" s="16"/>
      <c r="N8" s="16"/>
      <c r="O8" s="16"/>
      <c r="P8" s="16"/>
      <c r="Q8" s="16"/>
      <c r="R8" s="16"/>
      <c r="S8" s="16"/>
      <c r="T8" s="89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</row>
    <row r="9">
      <c r="A9" s="36"/>
      <c r="B9" s="36"/>
      <c r="C9" s="16"/>
      <c r="D9" s="16"/>
      <c r="E9" s="16"/>
      <c r="F9" s="16"/>
      <c r="G9" s="73"/>
      <c r="H9" s="73"/>
      <c r="I9" s="73"/>
      <c r="J9" s="73"/>
      <c r="K9" s="16"/>
      <c r="L9" s="16"/>
      <c r="M9" s="16"/>
      <c r="N9" s="16"/>
      <c r="O9" s="16"/>
      <c r="P9" s="16"/>
      <c r="Q9" s="16"/>
      <c r="R9" s="16"/>
      <c r="S9" s="16"/>
      <c r="T9" s="89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</row>
    <row r="10">
      <c r="A10" s="36"/>
      <c r="B10" s="36"/>
      <c r="C10" s="16"/>
      <c r="D10" s="16"/>
      <c r="E10" s="16"/>
      <c r="F10" s="16"/>
      <c r="G10" s="91"/>
      <c r="H10" s="91"/>
      <c r="I10" s="91"/>
      <c r="J10" s="91"/>
      <c r="K10" s="91"/>
      <c r="L10" s="16"/>
      <c r="M10" s="16"/>
      <c r="N10" s="16"/>
      <c r="O10" s="16"/>
      <c r="P10" s="16"/>
      <c r="Q10" s="16"/>
      <c r="R10" s="16"/>
      <c r="S10" s="16"/>
      <c r="T10" s="89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</row>
    <row r="11" ht="18.0" customHeight="1">
      <c r="A11" s="36"/>
      <c r="B11" s="36"/>
      <c r="C11" s="16"/>
      <c r="D11" s="16"/>
      <c r="E11" s="16"/>
      <c r="F11" s="16"/>
      <c r="G11" s="91"/>
      <c r="H11" s="91"/>
      <c r="I11" s="91"/>
      <c r="J11" s="91"/>
      <c r="K11" s="91"/>
      <c r="L11" s="16"/>
      <c r="M11" s="16"/>
      <c r="N11" s="16"/>
      <c r="O11" s="16"/>
      <c r="P11" s="16"/>
      <c r="Q11" s="16"/>
      <c r="R11" s="16"/>
      <c r="S11" s="16"/>
      <c r="T11" s="92"/>
      <c r="U11" s="16"/>
      <c r="V11" s="16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</row>
    <row r="12" ht="25.5" customHeight="1">
      <c r="A12" s="36"/>
      <c r="B12" s="36"/>
      <c r="C12" s="93" t="s">
        <v>75</v>
      </c>
      <c r="D12" s="38"/>
      <c r="E12" s="23"/>
      <c r="F12" s="16"/>
      <c r="G12" s="91"/>
      <c r="H12" s="36"/>
      <c r="I12" s="16"/>
      <c r="J12" s="16"/>
      <c r="K12" s="91"/>
      <c r="L12" s="16"/>
      <c r="M12" s="16"/>
      <c r="N12" s="16"/>
      <c r="O12" s="16"/>
      <c r="P12" s="16"/>
      <c r="Q12" s="16"/>
      <c r="R12" s="16"/>
      <c r="S12" s="16"/>
      <c r="T12" s="92"/>
      <c r="U12" s="16"/>
      <c r="V12" s="16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</row>
    <row r="13">
      <c r="A13" s="36"/>
      <c r="B13" s="36"/>
      <c r="C13" s="94" t="s">
        <v>76</v>
      </c>
      <c r="D13" s="95"/>
      <c r="E13" s="23"/>
      <c r="F13" s="16"/>
      <c r="G13" s="91"/>
      <c r="H13" s="36"/>
      <c r="I13" s="16"/>
      <c r="J13" s="16"/>
      <c r="K13" s="91"/>
      <c r="L13" s="16"/>
      <c r="M13" s="16"/>
      <c r="N13" s="16"/>
      <c r="O13" s="16"/>
      <c r="P13" s="16"/>
      <c r="Q13" s="16"/>
      <c r="R13" s="16"/>
      <c r="S13" s="16"/>
      <c r="T13" s="92"/>
      <c r="U13" s="16"/>
      <c r="V13" s="16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</row>
    <row r="14">
      <c r="A14" s="36"/>
      <c r="B14" s="36"/>
      <c r="C14" s="94" t="s">
        <v>52</v>
      </c>
      <c r="D14" s="95"/>
      <c r="E14" s="23"/>
      <c r="F14" s="16"/>
      <c r="G14" s="91"/>
      <c r="H14" s="36"/>
      <c r="I14" s="16"/>
      <c r="J14" s="16"/>
      <c r="K14" s="91"/>
      <c r="L14" s="16"/>
      <c r="M14" s="16"/>
      <c r="N14" s="16"/>
      <c r="O14" s="16"/>
      <c r="P14" s="16"/>
      <c r="Q14" s="16"/>
      <c r="R14" s="16"/>
      <c r="S14" s="16"/>
      <c r="T14" s="92"/>
      <c r="U14" s="16"/>
      <c r="V14" s="16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</row>
    <row r="15">
      <c r="A15" s="96"/>
      <c r="B15" s="96"/>
      <c r="C15" s="94" t="s">
        <v>53</v>
      </c>
      <c r="D15" s="95"/>
      <c r="E15" s="23"/>
      <c r="F15" s="88"/>
      <c r="G15" s="91"/>
      <c r="H15" s="36"/>
      <c r="I15" s="16"/>
      <c r="J15" s="16"/>
      <c r="K15" s="91"/>
      <c r="L15" s="16"/>
      <c r="M15" s="16"/>
      <c r="N15" s="16"/>
      <c r="O15" s="16"/>
      <c r="P15" s="16"/>
      <c r="Q15" s="16"/>
      <c r="R15" s="16"/>
      <c r="S15" s="16"/>
      <c r="T15" s="92"/>
      <c r="U15" s="16"/>
      <c r="V15" s="16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</row>
    <row r="16">
      <c r="A16" s="97"/>
      <c r="B16" s="97"/>
      <c r="C16" s="94" t="s">
        <v>77</v>
      </c>
      <c r="D16" s="98"/>
      <c r="E16" s="23"/>
      <c r="F16" s="88"/>
      <c r="G16" s="91"/>
      <c r="H16" s="36"/>
      <c r="I16" s="16"/>
      <c r="J16" s="16"/>
      <c r="K16" s="91"/>
      <c r="L16" s="16"/>
      <c r="M16" s="16"/>
      <c r="N16" s="16"/>
      <c r="O16" s="16"/>
      <c r="P16" s="16"/>
      <c r="Q16" s="16"/>
      <c r="R16" s="16"/>
      <c r="S16" s="16"/>
      <c r="T16" s="92"/>
      <c r="U16" s="16"/>
      <c r="V16" s="16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</row>
    <row r="17">
      <c r="A17" s="97"/>
      <c r="B17" s="97"/>
      <c r="C17" s="16"/>
      <c r="D17" s="16"/>
      <c r="E17" s="16"/>
      <c r="F17" s="88"/>
      <c r="G17" s="87"/>
      <c r="H17" s="87"/>
      <c r="I17" s="87"/>
      <c r="J17" s="87"/>
      <c r="K17" s="87"/>
      <c r="L17" s="16"/>
      <c r="M17" s="16"/>
      <c r="N17" s="16"/>
      <c r="O17" s="16"/>
      <c r="P17" s="16"/>
      <c r="Q17" s="16"/>
      <c r="R17" s="16"/>
      <c r="S17" s="16"/>
      <c r="T17" s="92"/>
      <c r="U17" s="16"/>
      <c r="V17" s="16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</row>
    <row r="18" ht="22.5" customHeight="1">
      <c r="A18" s="97"/>
      <c r="B18" s="97"/>
      <c r="C18" s="16"/>
      <c r="D18" s="16"/>
      <c r="E18" s="16"/>
      <c r="F18" s="87"/>
      <c r="G18" s="87"/>
      <c r="H18" s="87"/>
      <c r="I18" s="87"/>
      <c r="J18" s="87"/>
      <c r="K18" s="87"/>
      <c r="L18" s="16"/>
      <c r="M18" s="16"/>
      <c r="N18" s="16"/>
      <c r="O18" s="16"/>
      <c r="P18" s="16"/>
      <c r="Q18" s="16"/>
      <c r="R18" s="16"/>
      <c r="S18" s="16"/>
      <c r="T18" s="92"/>
      <c r="U18" s="16"/>
      <c r="V18" s="16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</row>
    <row r="19" ht="30.0" customHeight="1">
      <c r="A19" s="97"/>
      <c r="B19" s="97"/>
      <c r="C19" s="88"/>
      <c r="D19" s="99" t="s">
        <v>0</v>
      </c>
      <c r="E19" s="23"/>
      <c r="F19" s="88"/>
      <c r="G19" s="87"/>
      <c r="H19" s="87"/>
      <c r="I19" s="87"/>
      <c r="J19" s="87"/>
      <c r="K19" s="87"/>
      <c r="L19" s="100" t="s">
        <v>78</v>
      </c>
      <c r="M19" s="100" t="s">
        <v>79</v>
      </c>
      <c r="N19" s="100" t="s">
        <v>54</v>
      </c>
      <c r="O19" s="100" t="s">
        <v>80</v>
      </c>
      <c r="P19" s="101" t="s">
        <v>81</v>
      </c>
      <c r="Q19" s="101" t="s">
        <v>82</v>
      </c>
      <c r="R19" s="100" t="s">
        <v>83</v>
      </c>
      <c r="S19" s="100" t="s">
        <v>84</v>
      </c>
      <c r="T19" s="92"/>
      <c r="U19" s="16"/>
      <c r="V19" s="16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</row>
    <row r="20">
      <c r="A20" s="102"/>
      <c r="B20" s="102"/>
      <c r="C20" s="103" t="s">
        <v>85</v>
      </c>
      <c r="D20" s="100" t="s">
        <v>86</v>
      </c>
      <c r="E20" s="100" t="s">
        <v>87</v>
      </c>
      <c r="F20" s="100" t="s">
        <v>88</v>
      </c>
      <c r="G20" s="87"/>
      <c r="H20" s="104"/>
      <c r="I20" s="105" t="s">
        <v>89</v>
      </c>
      <c r="J20" s="23"/>
      <c r="K20" s="87"/>
      <c r="L20" s="106" t="s">
        <v>90</v>
      </c>
      <c r="M20" s="107">
        <v>45843.0</v>
      </c>
      <c r="N20" s="108"/>
      <c r="O20" s="108"/>
      <c r="P20" s="108"/>
      <c r="Q20" s="108"/>
      <c r="R20" s="108"/>
      <c r="S20" s="108"/>
      <c r="T20" s="92"/>
      <c r="U20" s="16"/>
      <c r="V20" s="16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</row>
    <row r="21">
      <c r="A21" s="74"/>
      <c r="B21" s="74"/>
      <c r="C21" s="109" t="s">
        <v>91</v>
      </c>
      <c r="D21" s="110"/>
      <c r="E21" s="110"/>
      <c r="F21" s="110"/>
      <c r="G21" s="87"/>
      <c r="H21" s="111"/>
      <c r="I21" s="112" t="s">
        <v>92</v>
      </c>
      <c r="J21" s="113">
        <v>1530.0</v>
      </c>
      <c r="K21" s="87"/>
      <c r="L21" s="106">
        <v>1.0</v>
      </c>
      <c r="M21" s="114">
        <f t="shared" ref="M21:M32" si="2">M20+7</f>
        <v>45850</v>
      </c>
      <c r="N21" s="115" t="str">
        <f>D28</f>
        <v>#DIV/0!</v>
      </c>
      <c r="O21" s="116" t="str">
        <f t="shared" ref="O21:S21" si="1">C32</f>
        <v/>
      </c>
      <c r="P21" s="116" t="str">
        <f t="shared" si="1"/>
        <v/>
      </c>
      <c r="Q21" s="116" t="str">
        <f t="shared" si="1"/>
        <v/>
      </c>
      <c r="R21" s="116" t="str">
        <f t="shared" si="1"/>
        <v/>
      </c>
      <c r="S21" s="116" t="str">
        <f t="shared" si="1"/>
        <v/>
      </c>
      <c r="T21" s="92"/>
      <c r="U21" s="16"/>
      <c r="V21" s="16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</row>
    <row r="22">
      <c r="A22" s="104"/>
      <c r="B22" s="104"/>
      <c r="C22" s="109" t="s">
        <v>93</v>
      </c>
      <c r="D22" s="110"/>
      <c r="E22" s="110"/>
      <c r="F22" s="110"/>
      <c r="G22" s="87"/>
      <c r="H22" s="111"/>
      <c r="I22" s="112" t="s">
        <v>94</v>
      </c>
      <c r="J22" s="113">
        <v>120.0</v>
      </c>
      <c r="K22" s="87"/>
      <c r="L22" s="106">
        <v>2.0</v>
      </c>
      <c r="M22" s="114">
        <f t="shared" si="2"/>
        <v>45857</v>
      </c>
      <c r="N22" s="117" t="str">
        <f>AVERAGE(D38:D44)</f>
        <v>#DIV/0!</v>
      </c>
      <c r="O22" s="118" t="str">
        <f t="shared" ref="O22:S22" si="3">C49</f>
        <v/>
      </c>
      <c r="P22" s="118" t="str">
        <f t="shared" si="3"/>
        <v/>
      </c>
      <c r="Q22" s="118" t="str">
        <f t="shared" si="3"/>
        <v/>
      </c>
      <c r="R22" s="118" t="str">
        <f t="shared" si="3"/>
        <v/>
      </c>
      <c r="S22" s="118" t="str">
        <f t="shared" si="3"/>
        <v/>
      </c>
      <c r="T22" s="92"/>
      <c r="U22" s="16"/>
      <c r="V22" s="16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</row>
    <row r="23">
      <c r="A23" s="119"/>
      <c r="B23" s="119"/>
      <c r="C23" s="109" t="s">
        <v>95</v>
      </c>
      <c r="D23" s="110"/>
      <c r="E23" s="110"/>
      <c r="F23" s="110"/>
      <c r="G23" s="87"/>
      <c r="H23" s="111"/>
      <c r="I23" s="112" t="s">
        <v>96</v>
      </c>
      <c r="J23" s="113">
        <v>150.0</v>
      </c>
      <c r="K23" s="87"/>
      <c r="L23" s="106">
        <v>3.0</v>
      </c>
      <c r="M23" s="114">
        <f t="shared" si="2"/>
        <v>45864</v>
      </c>
      <c r="N23" s="110" t="str">
        <f>AVERAGE(D55:D61)</f>
        <v>#DIV/0!</v>
      </c>
      <c r="O23" s="120" t="str">
        <f t="shared" ref="O23:S23" si="4">C66</f>
        <v/>
      </c>
      <c r="P23" s="120" t="str">
        <f t="shared" si="4"/>
        <v/>
      </c>
      <c r="Q23" s="120" t="str">
        <f t="shared" si="4"/>
        <v/>
      </c>
      <c r="R23" s="120" t="str">
        <f t="shared" si="4"/>
        <v/>
      </c>
      <c r="S23" s="120" t="str">
        <f t="shared" si="4"/>
        <v/>
      </c>
      <c r="T23" s="92"/>
      <c r="U23" s="16"/>
      <c r="V23" s="16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</row>
    <row r="24">
      <c r="A24" s="87"/>
      <c r="B24" s="87"/>
      <c r="C24" s="109" t="s">
        <v>97</v>
      </c>
      <c r="D24" s="110"/>
      <c r="E24" s="110"/>
      <c r="F24" s="110"/>
      <c r="G24" s="87"/>
      <c r="H24" s="111"/>
      <c r="I24" s="112" t="s">
        <v>98</v>
      </c>
      <c r="J24" s="113">
        <v>50.0</v>
      </c>
      <c r="K24" s="87"/>
      <c r="L24" s="106">
        <v>4.0</v>
      </c>
      <c r="M24" s="114">
        <f t="shared" si="2"/>
        <v>45871</v>
      </c>
      <c r="N24" s="121" t="str">
        <f>AVERAGE(D71:D77)</f>
        <v>#DIV/0!</v>
      </c>
      <c r="O24" s="118" t="str">
        <f t="shared" ref="O24:S24" si="5">C82</f>
        <v/>
      </c>
      <c r="P24" s="118" t="str">
        <f t="shared" si="5"/>
        <v/>
      </c>
      <c r="Q24" s="118" t="str">
        <f t="shared" si="5"/>
        <v/>
      </c>
      <c r="R24" s="118" t="str">
        <f t="shared" si="5"/>
        <v/>
      </c>
      <c r="S24" s="118" t="str">
        <f t="shared" si="5"/>
        <v/>
      </c>
      <c r="T24" s="92"/>
      <c r="U24" s="16"/>
      <c r="V24" s="16"/>
      <c r="W24" s="16"/>
      <c r="X24" s="87"/>
      <c r="Y24" s="87"/>
      <c r="Z24" s="87"/>
      <c r="AA24" s="87"/>
      <c r="AB24" s="87"/>
      <c r="AC24" s="87"/>
      <c r="AD24" s="87"/>
      <c r="AE24" s="87"/>
      <c r="AF24" s="87"/>
      <c r="AG24" s="87"/>
    </row>
    <row r="25">
      <c r="A25" s="119"/>
      <c r="B25" s="119"/>
      <c r="C25" s="109" t="s">
        <v>99</v>
      </c>
      <c r="D25" s="110"/>
      <c r="E25" s="110"/>
      <c r="F25" s="110"/>
      <c r="G25" s="87"/>
      <c r="H25" s="87"/>
      <c r="I25" s="87"/>
      <c r="J25" s="87"/>
      <c r="K25" s="87"/>
      <c r="L25" s="106">
        <v>5.0</v>
      </c>
      <c r="M25" s="114">
        <f t="shared" si="2"/>
        <v>45878</v>
      </c>
      <c r="N25" s="110" t="str">
        <f>AVERAGE(D87:D93)</f>
        <v>#DIV/0!</v>
      </c>
      <c r="O25" s="120" t="str">
        <f t="shared" ref="O25:S25" si="6">C98</f>
        <v/>
      </c>
      <c r="P25" s="120" t="str">
        <f t="shared" si="6"/>
        <v/>
      </c>
      <c r="Q25" s="120" t="str">
        <f t="shared" si="6"/>
        <v/>
      </c>
      <c r="R25" s="120" t="str">
        <f t="shared" si="6"/>
        <v/>
      </c>
      <c r="S25" s="120" t="str">
        <f t="shared" si="6"/>
        <v/>
      </c>
      <c r="T25" s="92"/>
      <c r="U25" s="16"/>
      <c r="V25" s="16"/>
      <c r="W25" s="16"/>
      <c r="X25" s="87"/>
      <c r="Y25" s="87"/>
      <c r="Z25" s="87"/>
      <c r="AA25" s="87"/>
      <c r="AB25" s="87"/>
      <c r="AC25" s="87"/>
      <c r="AD25" s="87"/>
      <c r="AE25" s="87"/>
      <c r="AF25" s="87"/>
      <c r="AG25" s="87"/>
    </row>
    <row r="26">
      <c r="A26" s="119"/>
      <c r="B26" s="119"/>
      <c r="C26" s="109" t="s">
        <v>100</v>
      </c>
      <c r="D26" s="122"/>
      <c r="E26" s="110"/>
      <c r="F26" s="110"/>
      <c r="G26" s="87"/>
      <c r="H26" s="87"/>
      <c r="I26" s="87"/>
      <c r="J26" s="87"/>
      <c r="K26" s="87"/>
      <c r="L26" s="106">
        <v>6.0</v>
      </c>
      <c r="M26" s="114">
        <f t="shared" si="2"/>
        <v>45885</v>
      </c>
      <c r="N26" s="121" t="str">
        <f>AVERAGE(D103:D109)</f>
        <v>#DIV/0!</v>
      </c>
      <c r="O26" s="118" t="str">
        <f t="shared" ref="O26:S26" si="7">C114</f>
        <v/>
      </c>
      <c r="P26" s="118" t="str">
        <f t="shared" si="7"/>
        <v/>
      </c>
      <c r="Q26" s="118" t="str">
        <f t="shared" si="7"/>
        <v/>
      </c>
      <c r="R26" s="118" t="str">
        <f t="shared" si="7"/>
        <v/>
      </c>
      <c r="S26" s="118" t="str">
        <f t="shared" si="7"/>
        <v/>
      </c>
      <c r="T26" s="92"/>
      <c r="U26" s="16"/>
      <c r="V26" s="16"/>
      <c r="W26" s="16"/>
      <c r="X26" s="87"/>
      <c r="Y26" s="87"/>
      <c r="Z26" s="87"/>
      <c r="AA26" s="87"/>
      <c r="AB26" s="87"/>
      <c r="AC26" s="87"/>
      <c r="AD26" s="87"/>
      <c r="AE26" s="87"/>
      <c r="AF26" s="87"/>
      <c r="AG26" s="87"/>
    </row>
    <row r="27">
      <c r="A27" s="87"/>
      <c r="B27" s="87"/>
      <c r="C27" s="109" t="s">
        <v>101</v>
      </c>
      <c r="D27" s="122"/>
      <c r="E27" s="110"/>
      <c r="F27" s="122"/>
      <c r="G27" s="87"/>
      <c r="H27" s="87"/>
      <c r="I27" s="87"/>
      <c r="J27" s="87"/>
      <c r="K27" s="87"/>
      <c r="L27" s="106">
        <v>7.0</v>
      </c>
      <c r="M27" s="114">
        <f t="shared" si="2"/>
        <v>45892</v>
      </c>
      <c r="N27" s="110" t="str">
        <f>AVERAGE(D120:D126)</f>
        <v>#DIV/0!</v>
      </c>
      <c r="O27" s="120" t="str">
        <f t="shared" ref="O27:S27" si="8">C131</f>
        <v/>
      </c>
      <c r="P27" s="120" t="str">
        <f t="shared" si="8"/>
        <v/>
      </c>
      <c r="Q27" s="120" t="str">
        <f t="shared" si="8"/>
        <v/>
      </c>
      <c r="R27" s="120" t="str">
        <f t="shared" si="8"/>
        <v/>
      </c>
      <c r="S27" s="120" t="str">
        <f t="shared" si="8"/>
        <v/>
      </c>
      <c r="T27" s="92"/>
      <c r="U27" s="16"/>
      <c r="V27" s="16"/>
      <c r="W27" s="16"/>
      <c r="X27" s="87"/>
      <c r="Y27" s="87"/>
      <c r="Z27" s="87"/>
      <c r="AA27" s="87"/>
      <c r="AB27" s="87"/>
      <c r="AC27" s="87"/>
      <c r="AD27" s="87"/>
      <c r="AE27" s="87"/>
      <c r="AF27" s="87"/>
      <c r="AG27" s="87"/>
    </row>
    <row r="28">
      <c r="A28" s="119"/>
      <c r="B28" s="119"/>
      <c r="C28" s="123" t="s">
        <v>102</v>
      </c>
      <c r="D28" s="124" t="str">
        <f t="shared" ref="D28:F28" si="9">AVERAGE(D21:D27)</f>
        <v>#DIV/0!</v>
      </c>
      <c r="E28" s="124" t="str">
        <f t="shared" si="9"/>
        <v>#DIV/0!</v>
      </c>
      <c r="F28" s="124" t="str">
        <f t="shared" si="9"/>
        <v>#DIV/0!</v>
      </c>
      <c r="G28" s="87"/>
      <c r="H28" s="87"/>
      <c r="I28" s="87"/>
      <c r="J28" s="87"/>
      <c r="K28" s="87"/>
      <c r="L28" s="106">
        <v>8.0</v>
      </c>
      <c r="M28" s="114">
        <f t="shared" si="2"/>
        <v>45899</v>
      </c>
      <c r="N28" s="121" t="str">
        <f>AVERAGE(D137:D143)</f>
        <v>#DIV/0!</v>
      </c>
      <c r="O28" s="118" t="str">
        <f t="shared" ref="O28:S28" si="10">C148</f>
        <v/>
      </c>
      <c r="P28" s="118" t="str">
        <f t="shared" si="10"/>
        <v/>
      </c>
      <c r="Q28" s="118" t="str">
        <f t="shared" si="10"/>
        <v/>
      </c>
      <c r="R28" s="118" t="str">
        <f t="shared" si="10"/>
        <v/>
      </c>
      <c r="S28" s="118" t="str">
        <f t="shared" si="10"/>
        <v/>
      </c>
      <c r="T28" s="92"/>
      <c r="U28" s="16"/>
      <c r="V28" s="16"/>
      <c r="W28" s="16"/>
      <c r="X28" s="87"/>
      <c r="Y28" s="87"/>
      <c r="Z28" s="87"/>
      <c r="AA28" s="87"/>
      <c r="AB28" s="87"/>
      <c r="AC28" s="87"/>
      <c r="AD28" s="87"/>
      <c r="AE28" s="87"/>
      <c r="AF28" s="87"/>
      <c r="AG28" s="87"/>
    </row>
    <row r="29">
      <c r="A29" s="119"/>
      <c r="B29" s="119"/>
      <c r="C29" s="88"/>
      <c r="D29" s="88"/>
      <c r="E29" s="88"/>
      <c r="F29" s="88"/>
      <c r="G29" s="87"/>
      <c r="H29" s="87"/>
      <c r="I29" s="87"/>
      <c r="J29" s="87"/>
      <c r="K29" s="87"/>
      <c r="L29" s="106">
        <v>9.0</v>
      </c>
      <c r="M29" s="114">
        <f t="shared" si="2"/>
        <v>45906</v>
      </c>
      <c r="N29" s="110" t="str">
        <f>AVERAGE(D153:D159)</f>
        <v>#DIV/0!</v>
      </c>
      <c r="O29" s="120" t="str">
        <f t="shared" ref="O29:S29" si="11">C164</f>
        <v/>
      </c>
      <c r="P29" s="120" t="str">
        <f t="shared" si="11"/>
        <v/>
      </c>
      <c r="Q29" s="120" t="str">
        <f t="shared" si="11"/>
        <v/>
      </c>
      <c r="R29" s="120" t="str">
        <f t="shared" si="11"/>
        <v/>
      </c>
      <c r="S29" s="120" t="str">
        <f t="shared" si="11"/>
        <v/>
      </c>
      <c r="T29" s="92"/>
      <c r="U29" s="16"/>
      <c r="V29" s="16"/>
      <c r="W29" s="16"/>
      <c r="X29" s="87"/>
      <c r="Y29" s="87"/>
      <c r="Z29" s="87"/>
      <c r="AA29" s="87"/>
      <c r="AB29" s="87"/>
      <c r="AC29" s="87"/>
      <c r="AD29" s="87"/>
      <c r="AE29" s="87"/>
      <c r="AF29" s="87"/>
      <c r="AG29" s="87"/>
    </row>
    <row r="30">
      <c r="A30" s="125"/>
      <c r="B30" s="125"/>
      <c r="C30" s="105" t="s">
        <v>103</v>
      </c>
      <c r="D30" s="38"/>
      <c r="E30" s="38"/>
      <c r="F30" s="38"/>
      <c r="G30" s="23"/>
      <c r="H30" s="126"/>
      <c r="I30" s="126"/>
      <c r="J30" s="126"/>
      <c r="K30" s="126"/>
      <c r="L30" s="106">
        <v>10.0</v>
      </c>
      <c r="M30" s="114">
        <f t="shared" si="2"/>
        <v>45913</v>
      </c>
      <c r="N30" s="121" t="str">
        <f>AVERAGE(D169:D175)</f>
        <v>#DIV/0!</v>
      </c>
      <c r="O30" s="118" t="str">
        <f>C164</f>
        <v/>
      </c>
      <c r="P30" s="118" t="str">
        <f t="shared" ref="P30:S30" si="12">D180</f>
        <v/>
      </c>
      <c r="Q30" s="118" t="str">
        <f t="shared" si="12"/>
        <v/>
      </c>
      <c r="R30" s="118" t="str">
        <f t="shared" si="12"/>
        <v/>
      </c>
      <c r="S30" s="118" t="str">
        <f t="shared" si="12"/>
        <v/>
      </c>
      <c r="T30" s="92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</row>
    <row r="31">
      <c r="A31" s="74"/>
      <c r="B31" s="74"/>
      <c r="C31" s="112" t="s">
        <v>80</v>
      </c>
      <c r="D31" s="112" t="s">
        <v>104</v>
      </c>
      <c r="E31" s="112" t="s">
        <v>82</v>
      </c>
      <c r="F31" s="112" t="s">
        <v>83</v>
      </c>
      <c r="G31" s="112" t="s">
        <v>84</v>
      </c>
      <c r="H31" s="126"/>
      <c r="I31" s="126"/>
      <c r="J31" s="126"/>
      <c r="K31" s="126"/>
      <c r="L31" s="106">
        <v>11.0</v>
      </c>
      <c r="M31" s="114">
        <f t="shared" si="2"/>
        <v>45920</v>
      </c>
      <c r="N31" s="110" t="str">
        <f>AVERAGE(D185:D191)</f>
        <v>#DIV/0!</v>
      </c>
      <c r="O31" s="120" t="str">
        <f t="shared" ref="O31:S31" si="13">C196</f>
        <v/>
      </c>
      <c r="P31" s="120" t="str">
        <f t="shared" si="13"/>
        <v/>
      </c>
      <c r="Q31" s="120" t="str">
        <f t="shared" si="13"/>
        <v/>
      </c>
      <c r="R31" s="120" t="str">
        <f t="shared" si="13"/>
        <v/>
      </c>
      <c r="S31" s="120" t="str">
        <f t="shared" si="13"/>
        <v/>
      </c>
      <c r="T31" s="92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</row>
    <row r="32">
      <c r="A32" s="104"/>
      <c r="B32" s="104"/>
      <c r="C32" s="127"/>
      <c r="D32" s="127"/>
      <c r="E32" s="127"/>
      <c r="F32" s="127"/>
      <c r="G32" s="127"/>
      <c r="H32" s="126"/>
      <c r="I32" s="126"/>
      <c r="J32" s="126"/>
      <c r="K32" s="126"/>
      <c r="L32" s="106">
        <v>12.0</v>
      </c>
      <c r="M32" s="114">
        <f t="shared" si="2"/>
        <v>45927</v>
      </c>
      <c r="N32" s="121" t="str">
        <f>AVERAGE(D201:D207)</f>
        <v>#DIV/0!</v>
      </c>
      <c r="O32" s="118" t="str">
        <f t="shared" ref="O32:S32" si="14">C212</f>
        <v/>
      </c>
      <c r="P32" s="118" t="str">
        <f t="shared" si="14"/>
        <v/>
      </c>
      <c r="Q32" s="118" t="str">
        <f t="shared" si="14"/>
        <v/>
      </c>
      <c r="R32" s="118" t="str">
        <f t="shared" si="14"/>
        <v/>
      </c>
      <c r="S32" s="118" t="str">
        <f t="shared" si="14"/>
        <v/>
      </c>
      <c r="T32" s="92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</row>
    <row r="33">
      <c r="A33" s="111"/>
      <c r="B33" s="111"/>
      <c r="C33" s="87"/>
      <c r="D33" s="87"/>
      <c r="E33" s="87"/>
      <c r="F33" s="87"/>
      <c r="G33" s="126"/>
      <c r="H33" s="126"/>
      <c r="I33" s="126"/>
      <c r="J33" s="126"/>
      <c r="K33" s="126"/>
      <c r="L33" s="87"/>
      <c r="M33" s="87"/>
      <c r="N33" s="87"/>
      <c r="O33" s="87"/>
      <c r="P33" s="87"/>
      <c r="Q33" s="87"/>
      <c r="R33" s="87"/>
      <c r="S33" s="87"/>
      <c r="T33" s="92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</row>
    <row r="34">
      <c r="A34" s="87"/>
      <c r="B34" s="87"/>
      <c r="C34" s="16"/>
      <c r="D34" s="16"/>
      <c r="E34" s="16"/>
      <c r="F34" s="16"/>
      <c r="G34" s="126"/>
      <c r="H34" s="126"/>
      <c r="I34" s="126"/>
      <c r="J34" s="126"/>
      <c r="K34" s="126"/>
      <c r="L34" s="16"/>
      <c r="M34" s="87"/>
      <c r="N34" s="73" t="s">
        <v>105</v>
      </c>
      <c r="O34" s="87"/>
      <c r="P34" s="87"/>
      <c r="Q34" s="87"/>
      <c r="R34" s="87"/>
      <c r="S34" s="87"/>
      <c r="T34" s="92"/>
      <c r="U34" s="128" t="s">
        <v>106</v>
      </c>
      <c r="V34" s="23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</row>
    <row r="35">
      <c r="A35" s="87"/>
      <c r="B35" s="87"/>
      <c r="C35" s="16"/>
      <c r="D35" s="16"/>
      <c r="E35" s="16"/>
      <c r="F35" s="16"/>
      <c r="G35" s="126"/>
      <c r="H35" s="126"/>
      <c r="I35" s="126"/>
      <c r="J35" s="126"/>
      <c r="K35" s="126"/>
      <c r="L35" s="87"/>
      <c r="M35" s="87"/>
      <c r="N35" s="87"/>
      <c r="O35" s="87"/>
      <c r="P35" s="87"/>
      <c r="Q35" s="87"/>
      <c r="R35" s="87"/>
      <c r="S35" s="87"/>
      <c r="T35" s="92"/>
      <c r="U35" s="129" t="s">
        <v>107</v>
      </c>
      <c r="V35" s="130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</row>
    <row r="36" ht="31.5" customHeight="1">
      <c r="A36" s="87"/>
      <c r="B36" s="87"/>
      <c r="C36" s="88"/>
      <c r="D36" s="131" t="s">
        <v>1</v>
      </c>
      <c r="E36" s="23"/>
      <c r="F36" s="88"/>
      <c r="G36" s="87"/>
      <c r="H36" s="87"/>
      <c r="I36" s="87"/>
      <c r="J36" s="87"/>
      <c r="K36" s="126"/>
      <c r="L36" s="87"/>
      <c r="M36" s="87"/>
      <c r="N36" s="87"/>
      <c r="O36" s="87"/>
      <c r="P36" s="87"/>
      <c r="Q36" s="87"/>
      <c r="R36" s="87"/>
      <c r="S36" s="87"/>
      <c r="T36" s="92"/>
      <c r="U36" s="129" t="s">
        <v>108</v>
      </c>
      <c r="V36" s="132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</row>
    <row r="37">
      <c r="A37" s="119"/>
      <c r="B37" s="119"/>
      <c r="C37" s="103" t="s">
        <v>85</v>
      </c>
      <c r="D37" s="100" t="s">
        <v>86</v>
      </c>
      <c r="E37" s="100" t="s">
        <v>87</v>
      </c>
      <c r="F37" s="100" t="s">
        <v>88</v>
      </c>
      <c r="G37" s="87"/>
      <c r="H37" s="104"/>
      <c r="I37" s="105" t="s">
        <v>89</v>
      </c>
      <c r="J37" s="23"/>
      <c r="K37" s="126"/>
      <c r="L37" s="87"/>
      <c r="M37" s="87"/>
      <c r="N37" s="87"/>
      <c r="O37" s="87"/>
      <c r="P37" s="87"/>
      <c r="Q37" s="87"/>
      <c r="R37" s="87"/>
      <c r="S37" s="87"/>
      <c r="T37" s="92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</row>
    <row r="38">
      <c r="A38" s="36"/>
      <c r="B38" s="36"/>
      <c r="C38" s="109" t="s">
        <v>91</v>
      </c>
      <c r="D38" s="110"/>
      <c r="E38" s="110"/>
      <c r="F38" s="110"/>
      <c r="G38" s="87"/>
      <c r="H38" s="111"/>
      <c r="I38" s="112" t="s">
        <v>92</v>
      </c>
      <c r="J38" s="113">
        <v>1530.0</v>
      </c>
      <c r="K38" s="126"/>
      <c r="L38" s="87"/>
      <c r="M38" s="87"/>
      <c r="N38" s="87"/>
      <c r="O38" s="87"/>
      <c r="P38" s="87"/>
      <c r="Q38" s="87"/>
      <c r="R38" s="87"/>
      <c r="S38" s="87"/>
      <c r="T38" s="92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</row>
    <row r="39">
      <c r="A39" s="126"/>
      <c r="B39" s="126"/>
      <c r="C39" s="109" t="s">
        <v>93</v>
      </c>
      <c r="D39" s="110"/>
      <c r="E39" s="110"/>
      <c r="F39" s="110"/>
      <c r="G39" s="87"/>
      <c r="H39" s="111"/>
      <c r="I39" s="112" t="s">
        <v>94</v>
      </c>
      <c r="J39" s="113">
        <v>120.0</v>
      </c>
      <c r="K39" s="126"/>
      <c r="L39" s="87"/>
      <c r="M39" s="87"/>
      <c r="N39" s="87"/>
      <c r="O39" s="87"/>
      <c r="P39" s="87"/>
      <c r="Q39" s="87"/>
      <c r="R39" s="87"/>
      <c r="S39" s="87"/>
      <c r="T39" s="92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</row>
    <row r="40">
      <c r="A40" s="126"/>
      <c r="B40" s="126"/>
      <c r="C40" s="109" t="s">
        <v>95</v>
      </c>
      <c r="D40" s="110"/>
      <c r="E40" s="110"/>
      <c r="F40" s="110"/>
      <c r="G40" s="87"/>
      <c r="H40" s="111"/>
      <c r="I40" s="112" t="s">
        <v>96</v>
      </c>
      <c r="J40" s="113">
        <v>150.0</v>
      </c>
      <c r="K40" s="126"/>
      <c r="L40" s="87"/>
      <c r="M40" s="87"/>
      <c r="N40" s="87"/>
      <c r="O40" s="87"/>
      <c r="P40" s="87"/>
      <c r="Q40" s="87"/>
      <c r="R40" s="87"/>
      <c r="S40" s="87"/>
      <c r="T40" s="92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</row>
    <row r="41">
      <c r="A41" s="126"/>
      <c r="B41" s="126"/>
      <c r="C41" s="109" t="s">
        <v>97</v>
      </c>
      <c r="D41" s="110"/>
      <c r="E41" s="110"/>
      <c r="F41" s="110"/>
      <c r="G41" s="87"/>
      <c r="H41" s="111"/>
      <c r="I41" s="112" t="s">
        <v>98</v>
      </c>
      <c r="J41" s="113">
        <v>50.0</v>
      </c>
      <c r="K41" s="126"/>
      <c r="L41" s="87"/>
      <c r="M41" s="87"/>
      <c r="N41" s="87"/>
      <c r="O41" s="87"/>
      <c r="P41" s="87"/>
      <c r="Q41" s="87"/>
      <c r="R41" s="87"/>
      <c r="S41" s="87"/>
      <c r="T41" s="92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</row>
    <row r="42">
      <c r="A42" s="126"/>
      <c r="B42" s="126"/>
      <c r="C42" s="109" t="s">
        <v>99</v>
      </c>
      <c r="D42" s="110"/>
      <c r="E42" s="110"/>
      <c r="F42" s="110"/>
      <c r="G42" s="87"/>
      <c r="H42" s="87"/>
      <c r="I42" s="87"/>
      <c r="J42" s="87"/>
      <c r="K42" s="126"/>
      <c r="L42" s="87"/>
      <c r="M42" s="87"/>
      <c r="N42" s="87"/>
      <c r="O42" s="87"/>
      <c r="P42" s="87"/>
      <c r="Q42" s="87"/>
      <c r="R42" s="87"/>
      <c r="S42" s="87"/>
      <c r="T42" s="92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</row>
    <row r="43">
      <c r="A43" s="83"/>
      <c r="B43" s="83"/>
      <c r="C43" s="109" t="s">
        <v>100</v>
      </c>
      <c r="D43" s="122"/>
      <c r="E43" s="110"/>
      <c r="F43" s="110"/>
      <c r="G43" s="87"/>
      <c r="H43" s="87"/>
      <c r="I43" s="87"/>
      <c r="J43" s="87"/>
      <c r="K43" s="83"/>
      <c r="L43" s="87"/>
      <c r="M43" s="87"/>
      <c r="N43" s="87"/>
      <c r="O43" s="87"/>
      <c r="P43" s="87"/>
      <c r="Q43" s="87"/>
      <c r="R43" s="87"/>
      <c r="S43" s="87"/>
      <c r="T43" s="92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</row>
    <row r="44">
      <c r="A44" s="83"/>
      <c r="B44" s="83"/>
      <c r="C44" s="109" t="s">
        <v>101</v>
      </c>
      <c r="D44" s="122"/>
      <c r="E44" s="110"/>
      <c r="F44" s="122"/>
      <c r="G44" s="87"/>
      <c r="H44" s="87"/>
      <c r="I44" s="87"/>
      <c r="J44" s="87"/>
      <c r="K44" s="83"/>
      <c r="L44" s="87"/>
      <c r="M44" s="87"/>
      <c r="N44" s="87"/>
      <c r="O44" s="87"/>
      <c r="P44" s="87"/>
      <c r="Q44" s="87"/>
      <c r="R44" s="87"/>
      <c r="S44" s="87"/>
      <c r="T44" s="92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</row>
    <row r="45">
      <c r="A45" s="83"/>
      <c r="B45" s="83"/>
      <c r="C45" s="123" t="s">
        <v>102</v>
      </c>
      <c r="D45" s="124" t="str">
        <f t="shared" ref="D45:F45" si="15">AVERAGE(D38:D44)</f>
        <v>#DIV/0!</v>
      </c>
      <c r="E45" s="124" t="str">
        <f t="shared" si="15"/>
        <v>#DIV/0!</v>
      </c>
      <c r="F45" s="124" t="str">
        <f t="shared" si="15"/>
        <v>#DIV/0!</v>
      </c>
      <c r="G45" s="87"/>
      <c r="H45" s="87"/>
      <c r="I45" s="87"/>
      <c r="J45" s="87"/>
      <c r="K45" s="83"/>
      <c r="L45" s="87"/>
      <c r="M45" s="87"/>
      <c r="N45" s="87"/>
      <c r="O45" s="87"/>
      <c r="P45" s="87"/>
      <c r="Q45" s="87"/>
      <c r="R45" s="87"/>
      <c r="S45" s="87"/>
      <c r="T45" s="92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</row>
    <row r="46">
      <c r="A46" s="83"/>
      <c r="B46" s="83"/>
      <c r="C46" s="88"/>
      <c r="D46" s="88"/>
      <c r="E46" s="88"/>
      <c r="F46" s="88"/>
      <c r="G46" s="87"/>
      <c r="H46" s="87"/>
      <c r="I46" s="87"/>
      <c r="J46" s="87"/>
      <c r="K46" s="83"/>
      <c r="L46" s="87"/>
      <c r="M46" s="87"/>
      <c r="N46" s="87"/>
      <c r="O46" s="87"/>
      <c r="P46" s="87"/>
      <c r="Q46" s="87"/>
      <c r="R46" s="87"/>
      <c r="S46" s="87"/>
      <c r="T46" s="92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</row>
    <row r="47">
      <c r="A47" s="83"/>
      <c r="B47" s="83"/>
      <c r="C47" s="105" t="s">
        <v>103</v>
      </c>
      <c r="D47" s="38"/>
      <c r="E47" s="38"/>
      <c r="F47" s="38"/>
      <c r="G47" s="23"/>
      <c r="H47" s="126"/>
      <c r="I47" s="126"/>
      <c r="J47" s="126"/>
      <c r="K47" s="83"/>
      <c r="L47" s="87"/>
      <c r="M47" s="87"/>
      <c r="N47" s="87"/>
      <c r="O47" s="87"/>
      <c r="P47" s="87"/>
      <c r="Q47" s="87"/>
      <c r="R47" s="87"/>
      <c r="S47" s="87"/>
      <c r="T47" s="92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</row>
    <row r="48">
      <c r="A48" s="83"/>
      <c r="B48" s="83"/>
      <c r="C48" s="112" t="s">
        <v>80</v>
      </c>
      <c r="D48" s="112" t="s">
        <v>104</v>
      </c>
      <c r="E48" s="112" t="s">
        <v>82</v>
      </c>
      <c r="F48" s="112" t="s">
        <v>83</v>
      </c>
      <c r="G48" s="112" t="s">
        <v>84</v>
      </c>
      <c r="H48" s="126"/>
      <c r="I48" s="126"/>
      <c r="J48" s="126"/>
      <c r="K48" s="83"/>
      <c r="L48" s="92"/>
      <c r="M48" s="92"/>
      <c r="N48" s="92"/>
      <c r="O48" s="92"/>
      <c r="P48" s="92"/>
      <c r="Q48" s="92"/>
      <c r="R48" s="92"/>
      <c r="S48" s="92"/>
      <c r="T48" s="92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</row>
    <row r="49">
      <c r="A49" s="83"/>
      <c r="B49" s="83"/>
      <c r="C49" s="127"/>
      <c r="D49" s="127"/>
      <c r="E49" s="127"/>
      <c r="F49" s="127"/>
      <c r="G49" s="127"/>
      <c r="H49" s="126"/>
      <c r="I49" s="126"/>
      <c r="J49" s="126"/>
      <c r="K49" s="83"/>
      <c r="L49" s="92"/>
      <c r="M49" s="92"/>
      <c r="N49" s="92"/>
      <c r="O49" s="92"/>
      <c r="P49" s="92"/>
      <c r="Q49" s="92"/>
      <c r="R49" s="92"/>
      <c r="S49" s="92"/>
      <c r="T49" s="92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</row>
    <row r="50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16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</row>
    <row r="5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16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</row>
    <row r="5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16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</row>
    <row r="53" ht="30.0" customHeight="1">
      <c r="A53" s="83"/>
      <c r="B53" s="83"/>
      <c r="C53" s="88"/>
      <c r="D53" s="131" t="s">
        <v>2</v>
      </c>
      <c r="E53" s="23"/>
      <c r="F53" s="88"/>
      <c r="G53" s="87"/>
      <c r="H53" s="87"/>
      <c r="I53" s="87"/>
      <c r="J53" s="87"/>
      <c r="K53" s="83"/>
      <c r="L53" s="16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</row>
    <row r="54">
      <c r="A54" s="83"/>
      <c r="B54" s="83"/>
      <c r="C54" s="103" t="s">
        <v>85</v>
      </c>
      <c r="D54" s="100" t="s">
        <v>86</v>
      </c>
      <c r="E54" s="100" t="s">
        <v>87</v>
      </c>
      <c r="F54" s="100" t="s">
        <v>88</v>
      </c>
      <c r="G54" s="87"/>
      <c r="H54" s="104"/>
      <c r="I54" s="105" t="s">
        <v>89</v>
      </c>
      <c r="J54" s="23"/>
      <c r="K54" s="83"/>
      <c r="L54" s="16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</row>
    <row r="55">
      <c r="A55" s="83"/>
      <c r="B55" s="83"/>
      <c r="C55" s="109" t="s">
        <v>91</v>
      </c>
      <c r="D55" s="110"/>
      <c r="E55" s="110"/>
      <c r="F55" s="110"/>
      <c r="G55" s="87"/>
      <c r="H55" s="111"/>
      <c r="I55" s="112" t="s">
        <v>92</v>
      </c>
      <c r="J55" s="113">
        <v>1530.0</v>
      </c>
      <c r="K55" s="83"/>
      <c r="L55" s="16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</row>
    <row r="56">
      <c r="A56" s="83"/>
      <c r="B56" s="83"/>
      <c r="C56" s="109" t="s">
        <v>93</v>
      </c>
      <c r="D56" s="110"/>
      <c r="E56" s="110"/>
      <c r="F56" s="110"/>
      <c r="G56" s="87"/>
      <c r="H56" s="111"/>
      <c r="I56" s="112" t="s">
        <v>94</v>
      </c>
      <c r="J56" s="113">
        <v>120.0</v>
      </c>
      <c r="K56" s="83"/>
      <c r="L56" s="16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</row>
    <row r="57">
      <c r="A57" s="83"/>
      <c r="B57" s="83"/>
      <c r="C57" s="109" t="s">
        <v>95</v>
      </c>
      <c r="D57" s="110"/>
      <c r="E57" s="110"/>
      <c r="F57" s="110"/>
      <c r="G57" s="87"/>
      <c r="H57" s="111"/>
      <c r="I57" s="112" t="s">
        <v>96</v>
      </c>
      <c r="J57" s="113">
        <v>150.0</v>
      </c>
      <c r="K57" s="83"/>
      <c r="L57" s="16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</row>
    <row r="58">
      <c r="A58" s="83"/>
      <c r="B58" s="83"/>
      <c r="C58" s="109" t="s">
        <v>97</v>
      </c>
      <c r="D58" s="110"/>
      <c r="E58" s="110"/>
      <c r="F58" s="110"/>
      <c r="G58" s="87"/>
      <c r="H58" s="111"/>
      <c r="I58" s="112" t="s">
        <v>98</v>
      </c>
      <c r="J58" s="113">
        <v>50.0</v>
      </c>
      <c r="K58" s="83"/>
      <c r="L58" s="16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</row>
    <row r="59">
      <c r="A59" s="83"/>
      <c r="B59" s="83"/>
      <c r="C59" s="109" t="s">
        <v>99</v>
      </c>
      <c r="D59" s="110"/>
      <c r="E59" s="110"/>
      <c r="F59" s="110"/>
      <c r="G59" s="87"/>
      <c r="H59" s="87"/>
      <c r="I59" s="87"/>
      <c r="J59" s="87"/>
      <c r="K59" s="83"/>
      <c r="L59" s="16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</row>
    <row r="60">
      <c r="A60" s="83"/>
      <c r="B60" s="83"/>
      <c r="C60" s="109" t="s">
        <v>100</v>
      </c>
      <c r="D60" s="122"/>
      <c r="E60" s="110"/>
      <c r="F60" s="110"/>
      <c r="G60" s="87"/>
      <c r="H60" s="87"/>
      <c r="I60" s="87"/>
      <c r="J60" s="87"/>
      <c r="K60" s="83"/>
      <c r="L60" s="16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</row>
    <row r="61">
      <c r="A61" s="83"/>
      <c r="B61" s="83"/>
      <c r="C61" s="109" t="s">
        <v>101</v>
      </c>
      <c r="D61" s="122"/>
      <c r="E61" s="110"/>
      <c r="F61" s="122"/>
      <c r="G61" s="87"/>
      <c r="H61" s="87"/>
      <c r="I61" s="87"/>
      <c r="J61" s="87"/>
      <c r="K61" s="83"/>
      <c r="L61" s="16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</row>
    <row r="62">
      <c r="A62" s="83"/>
      <c r="B62" s="83"/>
      <c r="C62" s="123" t="s">
        <v>102</v>
      </c>
      <c r="D62" s="124" t="str">
        <f t="shared" ref="D62:F62" si="16">AVERAGE(D55:D61)</f>
        <v>#DIV/0!</v>
      </c>
      <c r="E62" s="124" t="str">
        <f t="shared" si="16"/>
        <v>#DIV/0!</v>
      </c>
      <c r="F62" s="124" t="str">
        <f t="shared" si="16"/>
        <v>#DIV/0!</v>
      </c>
      <c r="G62" s="87"/>
      <c r="H62" s="87"/>
      <c r="I62" s="87"/>
      <c r="J62" s="87"/>
      <c r="K62" s="83"/>
      <c r="L62" s="16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</row>
    <row r="63">
      <c r="A63" s="83"/>
      <c r="B63" s="83"/>
      <c r="C63" s="88"/>
      <c r="D63" s="88"/>
      <c r="E63" s="88"/>
      <c r="F63" s="88"/>
      <c r="G63" s="87"/>
      <c r="H63" s="87"/>
      <c r="I63" s="87"/>
      <c r="J63" s="87"/>
      <c r="K63" s="83"/>
      <c r="L63" s="16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</row>
    <row r="64">
      <c r="A64" s="83"/>
      <c r="B64" s="83"/>
      <c r="C64" s="105" t="s">
        <v>103</v>
      </c>
      <c r="D64" s="38"/>
      <c r="E64" s="38"/>
      <c r="F64" s="38"/>
      <c r="G64" s="23"/>
      <c r="H64" s="126"/>
      <c r="I64" s="126"/>
      <c r="J64" s="126"/>
      <c r="K64" s="83"/>
      <c r="L64" s="16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</row>
    <row r="65">
      <c r="A65" s="83"/>
      <c r="B65" s="83"/>
      <c r="C65" s="112" t="s">
        <v>80</v>
      </c>
      <c r="D65" s="112" t="s">
        <v>104</v>
      </c>
      <c r="E65" s="112" t="s">
        <v>82</v>
      </c>
      <c r="F65" s="112" t="s">
        <v>83</v>
      </c>
      <c r="G65" s="112" t="s">
        <v>84</v>
      </c>
      <c r="H65" s="126"/>
      <c r="I65" s="126"/>
      <c r="J65" s="126"/>
      <c r="K65" s="83"/>
      <c r="L65" s="16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</row>
    <row r="66">
      <c r="A66" s="83"/>
      <c r="B66" s="83"/>
      <c r="C66" s="127"/>
      <c r="D66" s="127"/>
      <c r="E66" s="127"/>
      <c r="F66" s="127"/>
      <c r="G66" s="127"/>
      <c r="H66" s="126"/>
      <c r="I66" s="126"/>
      <c r="J66" s="126"/>
      <c r="K66" s="83"/>
      <c r="L66" s="16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</row>
    <row r="67" ht="21.0" customHeight="1">
      <c r="A67" s="83"/>
      <c r="B67" s="83"/>
      <c r="C67" s="83"/>
      <c r="D67" s="83"/>
      <c r="E67" s="83"/>
      <c r="F67" s="83"/>
      <c r="G67" s="83"/>
      <c r="H67" s="126"/>
      <c r="I67" s="126"/>
      <c r="J67" s="126"/>
      <c r="K67" s="83"/>
      <c r="L67" s="16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</row>
    <row r="68" ht="31.5" customHeight="1">
      <c r="A68" s="83"/>
      <c r="B68" s="83"/>
      <c r="C68" s="83"/>
      <c r="D68" s="83"/>
      <c r="E68" s="83"/>
      <c r="F68" s="83"/>
      <c r="G68" s="83"/>
      <c r="H68" s="126"/>
      <c r="I68" s="126"/>
      <c r="J68" s="126"/>
      <c r="K68" s="83"/>
      <c r="L68" s="16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</row>
    <row r="69" ht="30.0" customHeight="1">
      <c r="A69" s="83"/>
      <c r="B69" s="83"/>
      <c r="C69" s="88"/>
      <c r="D69" s="131" t="s">
        <v>3</v>
      </c>
      <c r="E69" s="23"/>
      <c r="F69" s="88"/>
      <c r="G69" s="87"/>
      <c r="H69" s="87"/>
      <c r="I69" s="87"/>
      <c r="J69" s="87"/>
      <c r="K69" s="83"/>
      <c r="L69" s="16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</row>
    <row r="70">
      <c r="A70" s="83"/>
      <c r="B70" s="83"/>
      <c r="C70" s="103" t="s">
        <v>85</v>
      </c>
      <c r="D70" s="100" t="s">
        <v>86</v>
      </c>
      <c r="E70" s="100" t="s">
        <v>87</v>
      </c>
      <c r="F70" s="100" t="s">
        <v>88</v>
      </c>
      <c r="G70" s="87"/>
      <c r="H70" s="104"/>
      <c r="I70" s="105" t="s">
        <v>89</v>
      </c>
      <c r="J70" s="23"/>
      <c r="K70" s="83"/>
      <c r="L70" s="16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</row>
    <row r="71">
      <c r="A71" s="83"/>
      <c r="B71" s="83"/>
      <c r="C71" s="109" t="s">
        <v>91</v>
      </c>
      <c r="D71" s="110"/>
      <c r="E71" s="110"/>
      <c r="F71" s="110"/>
      <c r="G71" s="87"/>
      <c r="H71" s="111"/>
      <c r="I71" s="112" t="s">
        <v>92</v>
      </c>
      <c r="J71" s="113">
        <v>1530.0</v>
      </c>
      <c r="K71" s="83"/>
      <c r="L71" s="16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</row>
    <row r="72">
      <c r="A72" s="83"/>
      <c r="B72" s="83"/>
      <c r="C72" s="109" t="s">
        <v>93</v>
      </c>
      <c r="D72" s="110"/>
      <c r="E72" s="110"/>
      <c r="F72" s="110"/>
      <c r="G72" s="87"/>
      <c r="H72" s="111"/>
      <c r="I72" s="112" t="s">
        <v>94</v>
      </c>
      <c r="J72" s="113">
        <v>120.0</v>
      </c>
      <c r="K72" s="83"/>
      <c r="L72" s="16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</row>
    <row r="73">
      <c r="A73" s="83"/>
      <c r="B73" s="83"/>
      <c r="C73" s="109" t="s">
        <v>95</v>
      </c>
      <c r="D73" s="110"/>
      <c r="E73" s="110"/>
      <c r="F73" s="110"/>
      <c r="G73" s="87"/>
      <c r="H73" s="111"/>
      <c r="I73" s="112" t="s">
        <v>96</v>
      </c>
      <c r="J73" s="113">
        <v>150.0</v>
      </c>
      <c r="K73" s="83"/>
      <c r="L73" s="16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</row>
    <row r="74">
      <c r="A74" s="83"/>
      <c r="B74" s="83"/>
      <c r="C74" s="109" t="s">
        <v>97</v>
      </c>
      <c r="D74" s="110"/>
      <c r="E74" s="110"/>
      <c r="F74" s="110"/>
      <c r="G74" s="87"/>
      <c r="H74" s="111"/>
      <c r="I74" s="112" t="s">
        <v>98</v>
      </c>
      <c r="J74" s="113">
        <v>50.0</v>
      </c>
      <c r="K74" s="83"/>
      <c r="L74" s="16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</row>
    <row r="75">
      <c r="A75" s="83"/>
      <c r="B75" s="83"/>
      <c r="C75" s="109" t="s">
        <v>99</v>
      </c>
      <c r="D75" s="110"/>
      <c r="E75" s="110"/>
      <c r="F75" s="110"/>
      <c r="G75" s="87"/>
      <c r="H75" s="87"/>
      <c r="I75" s="87"/>
      <c r="J75" s="87"/>
      <c r="K75" s="83"/>
      <c r="L75" s="16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</row>
    <row r="76">
      <c r="A76" s="83"/>
      <c r="B76" s="83"/>
      <c r="C76" s="109" t="s">
        <v>100</v>
      </c>
      <c r="D76" s="122"/>
      <c r="E76" s="110"/>
      <c r="F76" s="110"/>
      <c r="G76" s="87"/>
      <c r="H76" s="87"/>
      <c r="I76" s="87"/>
      <c r="J76" s="87"/>
      <c r="K76" s="83"/>
      <c r="L76" s="16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</row>
    <row r="77">
      <c r="A77" s="83"/>
      <c r="B77" s="83"/>
      <c r="C77" s="109" t="s">
        <v>101</v>
      </c>
      <c r="D77" s="122"/>
      <c r="E77" s="110"/>
      <c r="F77" s="122"/>
      <c r="G77" s="87"/>
      <c r="H77" s="87"/>
      <c r="I77" s="87"/>
      <c r="J77" s="87"/>
      <c r="K77" s="83"/>
      <c r="L77" s="16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</row>
    <row r="78">
      <c r="A78" s="83"/>
      <c r="B78" s="83"/>
      <c r="C78" s="123" t="s">
        <v>102</v>
      </c>
      <c r="D78" s="124" t="str">
        <f t="shared" ref="D78:F78" si="17">AVERAGE(D71:D77)</f>
        <v>#DIV/0!</v>
      </c>
      <c r="E78" s="124" t="str">
        <f t="shared" si="17"/>
        <v>#DIV/0!</v>
      </c>
      <c r="F78" s="124" t="str">
        <f t="shared" si="17"/>
        <v>#DIV/0!</v>
      </c>
      <c r="G78" s="87"/>
      <c r="H78" s="87"/>
      <c r="I78" s="87"/>
      <c r="J78" s="87"/>
      <c r="K78" s="83"/>
      <c r="L78" s="16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</row>
    <row r="79">
      <c r="A79" s="83"/>
      <c r="B79" s="83"/>
      <c r="C79" s="88"/>
      <c r="D79" s="88"/>
      <c r="E79" s="88"/>
      <c r="F79" s="88"/>
      <c r="G79" s="87"/>
      <c r="H79" s="87"/>
      <c r="I79" s="87"/>
      <c r="J79" s="87"/>
      <c r="K79" s="83"/>
      <c r="L79" s="16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</row>
    <row r="80">
      <c r="A80" s="83"/>
      <c r="B80" s="83"/>
      <c r="C80" s="105" t="s">
        <v>103</v>
      </c>
      <c r="D80" s="38"/>
      <c r="E80" s="38"/>
      <c r="F80" s="38"/>
      <c r="G80" s="23"/>
      <c r="H80" s="126"/>
      <c r="I80" s="126"/>
      <c r="J80" s="126"/>
      <c r="K80" s="83"/>
      <c r="L80" s="16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</row>
    <row r="81">
      <c r="A81" s="83"/>
      <c r="B81" s="83"/>
      <c r="C81" s="112" t="s">
        <v>80</v>
      </c>
      <c r="D81" s="112" t="s">
        <v>104</v>
      </c>
      <c r="E81" s="112" t="s">
        <v>82</v>
      </c>
      <c r="F81" s="112" t="s">
        <v>83</v>
      </c>
      <c r="G81" s="112" t="s">
        <v>84</v>
      </c>
      <c r="H81" s="126"/>
      <c r="I81" s="126"/>
      <c r="J81" s="126"/>
      <c r="K81" s="83"/>
      <c r="L81" s="16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</row>
    <row r="82">
      <c r="A82" s="83"/>
      <c r="B82" s="83"/>
      <c r="C82" s="127"/>
      <c r="D82" s="127"/>
      <c r="E82" s="127"/>
      <c r="F82" s="127"/>
      <c r="G82" s="127"/>
      <c r="H82" s="126"/>
      <c r="I82" s="126"/>
      <c r="J82" s="126"/>
      <c r="K82" s="83"/>
      <c r="L82" s="16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</row>
    <row r="83">
      <c r="A83" s="83"/>
      <c r="B83" s="83"/>
      <c r="C83" s="83"/>
      <c r="D83" s="83"/>
      <c r="E83" s="83"/>
      <c r="F83" s="83"/>
      <c r="G83" s="83"/>
      <c r="H83" s="126"/>
      <c r="I83" s="126"/>
      <c r="J83" s="126"/>
      <c r="K83" s="83"/>
      <c r="L83" s="16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</row>
    <row r="84">
      <c r="A84" s="83"/>
      <c r="B84" s="83"/>
      <c r="C84" s="83"/>
      <c r="D84" s="83"/>
      <c r="E84" s="83"/>
      <c r="F84" s="83"/>
      <c r="G84" s="83"/>
      <c r="H84" s="126"/>
      <c r="I84" s="126"/>
      <c r="J84" s="126"/>
      <c r="K84" s="83"/>
      <c r="L84" s="16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</row>
    <row r="85" ht="30.0" customHeight="1">
      <c r="A85" s="83"/>
      <c r="B85" s="83"/>
      <c r="C85" s="88"/>
      <c r="D85" s="131" t="s">
        <v>109</v>
      </c>
      <c r="E85" s="23"/>
      <c r="F85" s="88"/>
      <c r="G85" s="87"/>
      <c r="H85" s="87"/>
      <c r="I85" s="87"/>
      <c r="J85" s="87"/>
      <c r="K85" s="83"/>
      <c r="L85" s="16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</row>
    <row r="86">
      <c r="A86" s="83"/>
      <c r="B86" s="83"/>
      <c r="C86" s="103" t="s">
        <v>85</v>
      </c>
      <c r="D86" s="100" t="s">
        <v>86</v>
      </c>
      <c r="E86" s="100" t="s">
        <v>87</v>
      </c>
      <c r="F86" s="100" t="s">
        <v>88</v>
      </c>
      <c r="G86" s="87"/>
      <c r="H86" s="104"/>
      <c r="I86" s="105" t="s">
        <v>89</v>
      </c>
      <c r="J86" s="23"/>
      <c r="K86" s="83"/>
      <c r="L86" s="16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</row>
    <row r="87">
      <c r="A87" s="83"/>
      <c r="B87" s="83"/>
      <c r="C87" s="109" t="s">
        <v>91</v>
      </c>
      <c r="D87" s="110"/>
      <c r="E87" s="110"/>
      <c r="F87" s="110"/>
      <c r="G87" s="87"/>
      <c r="H87" s="111"/>
      <c r="I87" s="112" t="s">
        <v>92</v>
      </c>
      <c r="J87" s="113">
        <v>1530.0</v>
      </c>
      <c r="K87" s="83"/>
      <c r="L87" s="16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</row>
    <row r="88">
      <c r="A88" s="83"/>
      <c r="B88" s="83"/>
      <c r="C88" s="109" t="s">
        <v>93</v>
      </c>
      <c r="D88" s="110"/>
      <c r="E88" s="110"/>
      <c r="F88" s="110"/>
      <c r="G88" s="87"/>
      <c r="H88" s="111"/>
      <c r="I88" s="112" t="s">
        <v>94</v>
      </c>
      <c r="J88" s="113">
        <v>120.0</v>
      </c>
      <c r="K88" s="83"/>
      <c r="L88" s="16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</row>
    <row r="89">
      <c r="A89" s="83"/>
      <c r="B89" s="83"/>
      <c r="C89" s="109" t="s">
        <v>95</v>
      </c>
      <c r="D89" s="110"/>
      <c r="E89" s="110"/>
      <c r="F89" s="110"/>
      <c r="G89" s="87"/>
      <c r="H89" s="111"/>
      <c r="I89" s="112" t="s">
        <v>96</v>
      </c>
      <c r="J89" s="113">
        <v>150.0</v>
      </c>
      <c r="K89" s="83"/>
      <c r="L89" s="16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</row>
    <row r="90">
      <c r="A90" s="83"/>
      <c r="B90" s="83"/>
      <c r="C90" s="109" t="s">
        <v>97</v>
      </c>
      <c r="D90" s="110"/>
      <c r="E90" s="110"/>
      <c r="F90" s="110"/>
      <c r="G90" s="87"/>
      <c r="H90" s="111"/>
      <c r="I90" s="112" t="s">
        <v>98</v>
      </c>
      <c r="J90" s="113">
        <v>50.0</v>
      </c>
      <c r="K90" s="83"/>
      <c r="L90" s="16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</row>
    <row r="91">
      <c r="A91" s="83"/>
      <c r="B91" s="83"/>
      <c r="C91" s="109" t="s">
        <v>99</v>
      </c>
      <c r="D91" s="110"/>
      <c r="E91" s="110"/>
      <c r="F91" s="110"/>
      <c r="G91" s="87"/>
      <c r="H91" s="87"/>
      <c r="I91" s="87"/>
      <c r="J91" s="87"/>
      <c r="K91" s="83"/>
      <c r="L91" s="16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</row>
    <row r="92">
      <c r="A92" s="83"/>
      <c r="B92" s="83"/>
      <c r="C92" s="109" t="s">
        <v>100</v>
      </c>
      <c r="D92" s="122"/>
      <c r="E92" s="110"/>
      <c r="F92" s="110"/>
      <c r="G92" s="87"/>
      <c r="H92" s="87"/>
      <c r="I92" s="87"/>
      <c r="J92" s="87"/>
      <c r="K92" s="83"/>
      <c r="L92" s="16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</row>
    <row r="93">
      <c r="A93" s="83"/>
      <c r="B93" s="83"/>
      <c r="C93" s="109" t="s">
        <v>101</v>
      </c>
      <c r="D93" s="122"/>
      <c r="E93" s="110"/>
      <c r="F93" s="122"/>
      <c r="G93" s="87"/>
      <c r="H93" s="87"/>
      <c r="I93" s="87"/>
      <c r="J93" s="87"/>
      <c r="K93" s="83"/>
      <c r="L93" s="16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</row>
    <row r="94">
      <c r="A94" s="83"/>
      <c r="B94" s="83"/>
      <c r="C94" s="123" t="s">
        <v>102</v>
      </c>
      <c r="D94" s="124" t="str">
        <f t="shared" ref="D94:F94" si="18">AVERAGE(D87:D93)</f>
        <v>#DIV/0!</v>
      </c>
      <c r="E94" s="124" t="str">
        <f t="shared" si="18"/>
        <v>#DIV/0!</v>
      </c>
      <c r="F94" s="124" t="str">
        <f t="shared" si="18"/>
        <v>#DIV/0!</v>
      </c>
      <c r="G94" s="87"/>
      <c r="H94" s="87"/>
      <c r="I94" s="87"/>
      <c r="J94" s="87"/>
      <c r="K94" s="83"/>
      <c r="L94" s="16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</row>
    <row r="95">
      <c r="A95" s="83"/>
      <c r="B95" s="83"/>
      <c r="C95" s="88"/>
      <c r="D95" s="88"/>
      <c r="E95" s="88"/>
      <c r="F95" s="88"/>
      <c r="G95" s="87"/>
      <c r="H95" s="87"/>
      <c r="I95" s="87"/>
      <c r="J95" s="87"/>
      <c r="K95" s="83"/>
      <c r="L95" s="16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</row>
    <row r="96">
      <c r="A96" s="83"/>
      <c r="B96" s="83"/>
      <c r="C96" s="105" t="s">
        <v>103</v>
      </c>
      <c r="D96" s="38"/>
      <c r="E96" s="38"/>
      <c r="F96" s="38"/>
      <c r="G96" s="23"/>
      <c r="H96" s="126"/>
      <c r="I96" s="126"/>
      <c r="J96" s="126"/>
      <c r="K96" s="83"/>
      <c r="L96" s="16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</row>
    <row r="97">
      <c r="A97" s="83"/>
      <c r="B97" s="83"/>
      <c r="C97" s="112" t="s">
        <v>80</v>
      </c>
      <c r="D97" s="112" t="s">
        <v>104</v>
      </c>
      <c r="E97" s="112" t="s">
        <v>82</v>
      </c>
      <c r="F97" s="112" t="s">
        <v>83</v>
      </c>
      <c r="G97" s="112" t="s">
        <v>84</v>
      </c>
      <c r="H97" s="126"/>
      <c r="I97" s="126"/>
      <c r="J97" s="126"/>
      <c r="K97" s="83"/>
      <c r="L97" s="16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</row>
    <row r="98">
      <c r="A98" s="83"/>
      <c r="B98" s="83"/>
      <c r="C98" s="127"/>
      <c r="D98" s="127"/>
      <c r="E98" s="127"/>
      <c r="F98" s="127"/>
      <c r="G98" s="127"/>
      <c r="H98" s="126"/>
      <c r="I98" s="126"/>
      <c r="J98" s="126"/>
      <c r="K98" s="83"/>
      <c r="L98" s="16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</row>
    <row r="99">
      <c r="A99" s="83"/>
      <c r="B99" s="83"/>
      <c r="C99" s="83"/>
      <c r="D99" s="83"/>
      <c r="E99" s="83"/>
      <c r="F99" s="83"/>
      <c r="G99" s="83"/>
      <c r="H99" s="126"/>
      <c r="I99" s="126"/>
      <c r="J99" s="126"/>
      <c r="K99" s="83"/>
      <c r="L99" s="16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</row>
    <row r="100">
      <c r="A100" s="83"/>
      <c r="B100" s="83"/>
      <c r="C100" s="83"/>
      <c r="D100" s="83"/>
      <c r="E100" s="83"/>
      <c r="F100" s="83"/>
      <c r="G100" s="83"/>
      <c r="H100" s="126"/>
      <c r="I100" s="126"/>
      <c r="J100" s="126"/>
      <c r="K100" s="83"/>
      <c r="L100" s="16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</row>
    <row r="101" ht="27.0" customHeight="1">
      <c r="A101" s="83"/>
      <c r="B101" s="83"/>
      <c r="C101" s="88"/>
      <c r="D101" s="131" t="s">
        <v>110</v>
      </c>
      <c r="E101" s="23"/>
      <c r="F101" s="88"/>
      <c r="G101" s="87"/>
      <c r="H101" s="87"/>
      <c r="I101" s="87"/>
      <c r="J101" s="87"/>
      <c r="K101" s="83"/>
      <c r="L101" s="16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</row>
    <row r="102">
      <c r="A102" s="83"/>
      <c r="B102" s="83"/>
      <c r="C102" s="103" t="s">
        <v>85</v>
      </c>
      <c r="D102" s="100" t="s">
        <v>86</v>
      </c>
      <c r="E102" s="100" t="s">
        <v>87</v>
      </c>
      <c r="F102" s="100" t="s">
        <v>88</v>
      </c>
      <c r="G102" s="87"/>
      <c r="H102" s="104"/>
      <c r="I102" s="105" t="s">
        <v>89</v>
      </c>
      <c r="J102" s="23"/>
      <c r="K102" s="83"/>
      <c r="L102" s="16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</row>
    <row r="103">
      <c r="A103" s="83"/>
      <c r="B103" s="83"/>
      <c r="C103" s="109" t="s">
        <v>91</v>
      </c>
      <c r="D103" s="110"/>
      <c r="E103" s="110"/>
      <c r="F103" s="110"/>
      <c r="G103" s="87"/>
      <c r="H103" s="111"/>
      <c r="I103" s="112" t="s">
        <v>92</v>
      </c>
      <c r="J103" s="113">
        <v>1530.0</v>
      </c>
      <c r="K103" s="83"/>
      <c r="L103" s="16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</row>
    <row r="104">
      <c r="A104" s="83"/>
      <c r="B104" s="83"/>
      <c r="C104" s="109" t="s">
        <v>93</v>
      </c>
      <c r="D104" s="110"/>
      <c r="E104" s="110"/>
      <c r="F104" s="110"/>
      <c r="G104" s="87"/>
      <c r="H104" s="111"/>
      <c r="I104" s="112" t="s">
        <v>94</v>
      </c>
      <c r="J104" s="113">
        <v>120.0</v>
      </c>
      <c r="K104" s="83"/>
      <c r="L104" s="16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</row>
    <row r="105">
      <c r="A105" s="83"/>
      <c r="B105" s="83"/>
      <c r="C105" s="109" t="s">
        <v>95</v>
      </c>
      <c r="D105" s="110"/>
      <c r="E105" s="110"/>
      <c r="F105" s="110"/>
      <c r="G105" s="87"/>
      <c r="H105" s="111"/>
      <c r="I105" s="112" t="s">
        <v>96</v>
      </c>
      <c r="J105" s="113">
        <v>150.0</v>
      </c>
      <c r="K105" s="83"/>
      <c r="L105" s="16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</row>
    <row r="106">
      <c r="A106" s="83"/>
      <c r="B106" s="83"/>
      <c r="C106" s="109" t="s">
        <v>97</v>
      </c>
      <c r="D106" s="110"/>
      <c r="E106" s="110"/>
      <c r="F106" s="110"/>
      <c r="G106" s="87"/>
      <c r="H106" s="111"/>
      <c r="I106" s="112" t="s">
        <v>98</v>
      </c>
      <c r="J106" s="113">
        <v>50.0</v>
      </c>
      <c r="K106" s="83"/>
      <c r="L106" s="16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</row>
    <row r="107">
      <c r="A107" s="83"/>
      <c r="B107" s="83"/>
      <c r="C107" s="109" t="s">
        <v>99</v>
      </c>
      <c r="D107" s="110"/>
      <c r="E107" s="110"/>
      <c r="F107" s="110"/>
      <c r="G107" s="87"/>
      <c r="H107" s="87"/>
      <c r="I107" s="87"/>
      <c r="J107" s="87"/>
      <c r="K107" s="83"/>
      <c r="L107" s="16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</row>
    <row r="108">
      <c r="A108" s="83"/>
      <c r="B108" s="83"/>
      <c r="C108" s="109" t="s">
        <v>100</v>
      </c>
      <c r="D108" s="122"/>
      <c r="E108" s="110"/>
      <c r="F108" s="110"/>
      <c r="G108" s="87"/>
      <c r="H108" s="87"/>
      <c r="I108" s="87"/>
      <c r="J108" s="87"/>
      <c r="K108" s="83"/>
      <c r="L108" s="16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</row>
    <row r="109">
      <c r="A109" s="83"/>
      <c r="B109" s="83"/>
      <c r="C109" s="109" t="s">
        <v>101</v>
      </c>
      <c r="D109" s="122"/>
      <c r="E109" s="110"/>
      <c r="F109" s="122"/>
      <c r="G109" s="87"/>
      <c r="H109" s="87"/>
      <c r="I109" s="87"/>
      <c r="J109" s="87"/>
      <c r="K109" s="83"/>
      <c r="L109" s="16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</row>
    <row r="110">
      <c r="A110" s="83"/>
      <c r="B110" s="83"/>
      <c r="C110" s="123" t="s">
        <v>102</v>
      </c>
      <c r="D110" s="124" t="str">
        <f t="shared" ref="D110:F110" si="19">AVERAGE(D103:D109)</f>
        <v>#DIV/0!</v>
      </c>
      <c r="E110" s="124" t="str">
        <f t="shared" si="19"/>
        <v>#DIV/0!</v>
      </c>
      <c r="F110" s="124" t="str">
        <f t="shared" si="19"/>
        <v>#DIV/0!</v>
      </c>
      <c r="G110" s="87"/>
      <c r="H110" s="87"/>
      <c r="I110" s="87"/>
      <c r="J110" s="87"/>
      <c r="K110" s="83"/>
      <c r="L110" s="16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</row>
    <row r="111">
      <c r="A111" s="83"/>
      <c r="B111" s="83"/>
      <c r="C111" s="88"/>
      <c r="D111" s="88"/>
      <c r="E111" s="88"/>
      <c r="F111" s="88"/>
      <c r="G111" s="87"/>
      <c r="H111" s="87"/>
      <c r="I111" s="87"/>
      <c r="J111" s="87"/>
      <c r="K111" s="83"/>
      <c r="L111" s="16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</row>
    <row r="112">
      <c r="A112" s="83"/>
      <c r="B112" s="83"/>
      <c r="C112" s="105" t="s">
        <v>103</v>
      </c>
      <c r="D112" s="38"/>
      <c r="E112" s="38"/>
      <c r="F112" s="38"/>
      <c r="G112" s="23"/>
      <c r="H112" s="126"/>
      <c r="I112" s="126"/>
      <c r="J112" s="126"/>
      <c r="K112" s="83"/>
      <c r="L112" s="16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</row>
    <row r="113">
      <c r="A113" s="83"/>
      <c r="B113" s="83"/>
      <c r="C113" s="112" t="s">
        <v>80</v>
      </c>
      <c r="D113" s="112" t="s">
        <v>104</v>
      </c>
      <c r="E113" s="112" t="s">
        <v>82</v>
      </c>
      <c r="F113" s="112" t="s">
        <v>83</v>
      </c>
      <c r="G113" s="112" t="s">
        <v>84</v>
      </c>
      <c r="H113" s="126"/>
      <c r="I113" s="126"/>
      <c r="J113" s="126"/>
      <c r="K113" s="83"/>
      <c r="L113" s="16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</row>
    <row r="114">
      <c r="A114" s="83"/>
      <c r="B114" s="83"/>
      <c r="C114" s="127"/>
      <c r="D114" s="127"/>
      <c r="E114" s="127"/>
      <c r="F114" s="127"/>
      <c r="G114" s="127"/>
      <c r="H114" s="126"/>
      <c r="I114" s="126"/>
      <c r="J114" s="126"/>
      <c r="K114" s="83"/>
      <c r="L114" s="16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</row>
    <row r="115">
      <c r="A115" s="83"/>
      <c r="B115" s="83"/>
      <c r="C115" s="87"/>
      <c r="D115" s="87"/>
      <c r="E115" s="87"/>
      <c r="F115" s="87"/>
      <c r="G115" s="83"/>
      <c r="H115" s="83"/>
      <c r="I115" s="83"/>
      <c r="J115" s="83"/>
      <c r="K115" s="83"/>
      <c r="L115" s="16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</row>
    <row r="116">
      <c r="A116" s="83"/>
      <c r="B116" s="83"/>
      <c r="C116" s="16"/>
      <c r="D116" s="16"/>
      <c r="E116" s="16"/>
      <c r="F116" s="16"/>
      <c r="G116" s="83"/>
      <c r="H116" s="83"/>
      <c r="I116" s="83"/>
      <c r="J116" s="83"/>
      <c r="K116" s="83"/>
      <c r="L116" s="16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</row>
    <row r="117">
      <c r="A117" s="83"/>
      <c r="B117" s="83"/>
      <c r="C117" s="16"/>
      <c r="D117" s="16"/>
      <c r="E117" s="16"/>
      <c r="F117" s="16"/>
      <c r="G117" s="83"/>
      <c r="H117" s="83"/>
      <c r="I117" s="83"/>
      <c r="J117" s="83"/>
      <c r="K117" s="83"/>
      <c r="L117" s="16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</row>
    <row r="118" ht="30.0" customHeight="1">
      <c r="A118" s="83"/>
      <c r="B118" s="83"/>
      <c r="C118" s="88"/>
      <c r="D118" s="131" t="s">
        <v>111</v>
      </c>
      <c r="E118" s="23"/>
      <c r="F118" s="88"/>
      <c r="G118" s="87"/>
      <c r="H118" s="87"/>
      <c r="I118" s="87"/>
      <c r="J118" s="87"/>
      <c r="K118" s="83"/>
      <c r="L118" s="16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</row>
    <row r="119">
      <c r="A119" s="83"/>
      <c r="B119" s="83"/>
      <c r="C119" s="103" t="s">
        <v>85</v>
      </c>
      <c r="D119" s="100" t="s">
        <v>86</v>
      </c>
      <c r="E119" s="100" t="s">
        <v>87</v>
      </c>
      <c r="F119" s="100" t="s">
        <v>88</v>
      </c>
      <c r="G119" s="87"/>
      <c r="H119" s="104"/>
      <c r="I119" s="105" t="s">
        <v>89</v>
      </c>
      <c r="J119" s="23"/>
      <c r="K119" s="83"/>
      <c r="L119" s="16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</row>
    <row r="120">
      <c r="A120" s="83"/>
      <c r="B120" s="83"/>
      <c r="C120" s="109" t="s">
        <v>91</v>
      </c>
      <c r="D120" s="110"/>
      <c r="E120" s="110"/>
      <c r="F120" s="110"/>
      <c r="G120" s="87"/>
      <c r="H120" s="111"/>
      <c r="I120" s="112" t="s">
        <v>92</v>
      </c>
      <c r="J120" s="113">
        <v>1530.0</v>
      </c>
      <c r="K120" s="83"/>
      <c r="L120" s="16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</row>
    <row r="121">
      <c r="A121" s="83"/>
      <c r="B121" s="83"/>
      <c r="C121" s="109" t="s">
        <v>93</v>
      </c>
      <c r="D121" s="110"/>
      <c r="E121" s="110"/>
      <c r="F121" s="110"/>
      <c r="G121" s="87"/>
      <c r="H121" s="111"/>
      <c r="I121" s="112" t="s">
        <v>94</v>
      </c>
      <c r="J121" s="113">
        <v>120.0</v>
      </c>
      <c r="K121" s="83"/>
      <c r="L121" s="16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</row>
    <row r="122">
      <c r="A122" s="83"/>
      <c r="B122" s="83"/>
      <c r="C122" s="109" t="s">
        <v>95</v>
      </c>
      <c r="D122" s="110"/>
      <c r="E122" s="110"/>
      <c r="F122" s="110"/>
      <c r="G122" s="87"/>
      <c r="H122" s="111"/>
      <c r="I122" s="112" t="s">
        <v>96</v>
      </c>
      <c r="J122" s="113">
        <v>150.0</v>
      </c>
      <c r="K122" s="83"/>
      <c r="L122" s="16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</row>
    <row r="123">
      <c r="A123" s="83"/>
      <c r="B123" s="83"/>
      <c r="C123" s="109" t="s">
        <v>97</v>
      </c>
      <c r="D123" s="110"/>
      <c r="E123" s="110"/>
      <c r="F123" s="110"/>
      <c r="G123" s="87"/>
      <c r="H123" s="111"/>
      <c r="I123" s="112" t="s">
        <v>98</v>
      </c>
      <c r="J123" s="113">
        <v>50.0</v>
      </c>
      <c r="K123" s="83"/>
      <c r="L123" s="16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</row>
    <row r="124">
      <c r="A124" s="83"/>
      <c r="B124" s="83"/>
      <c r="C124" s="109" t="s">
        <v>99</v>
      </c>
      <c r="D124" s="110"/>
      <c r="E124" s="110"/>
      <c r="F124" s="110"/>
      <c r="G124" s="87"/>
      <c r="H124" s="87"/>
      <c r="I124" s="87"/>
      <c r="J124" s="87"/>
      <c r="K124" s="83"/>
      <c r="L124" s="16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</row>
    <row r="125">
      <c r="A125" s="83"/>
      <c r="B125" s="83"/>
      <c r="C125" s="109" t="s">
        <v>100</v>
      </c>
      <c r="D125" s="122"/>
      <c r="E125" s="110"/>
      <c r="F125" s="110"/>
      <c r="G125" s="87"/>
      <c r="H125" s="87"/>
      <c r="I125" s="87"/>
      <c r="J125" s="87"/>
      <c r="K125" s="83"/>
      <c r="L125" s="16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</row>
    <row r="126">
      <c r="A126" s="83"/>
      <c r="B126" s="83"/>
      <c r="C126" s="109" t="s">
        <v>101</v>
      </c>
      <c r="D126" s="122"/>
      <c r="E126" s="110"/>
      <c r="F126" s="122"/>
      <c r="G126" s="87"/>
      <c r="H126" s="87"/>
      <c r="I126" s="87"/>
      <c r="J126" s="87"/>
      <c r="K126" s="83"/>
      <c r="L126" s="16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</row>
    <row r="127">
      <c r="A127" s="83"/>
      <c r="B127" s="83"/>
      <c r="C127" s="123" t="s">
        <v>102</v>
      </c>
      <c r="D127" s="124" t="str">
        <f t="shared" ref="D127:F127" si="20">AVERAGE(D120:D126)</f>
        <v>#DIV/0!</v>
      </c>
      <c r="E127" s="124" t="str">
        <f t="shared" si="20"/>
        <v>#DIV/0!</v>
      </c>
      <c r="F127" s="124" t="str">
        <f t="shared" si="20"/>
        <v>#DIV/0!</v>
      </c>
      <c r="G127" s="87"/>
      <c r="H127" s="87"/>
      <c r="I127" s="87"/>
      <c r="J127" s="87"/>
      <c r="K127" s="83"/>
      <c r="L127" s="16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</row>
    <row r="128">
      <c r="A128" s="83"/>
      <c r="B128" s="83"/>
      <c r="C128" s="88"/>
      <c r="D128" s="88"/>
      <c r="E128" s="88"/>
      <c r="F128" s="88"/>
      <c r="G128" s="87"/>
      <c r="H128" s="87"/>
      <c r="I128" s="87"/>
      <c r="J128" s="87"/>
      <c r="K128" s="83"/>
      <c r="L128" s="16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</row>
    <row r="129">
      <c r="A129" s="83"/>
      <c r="B129" s="83"/>
      <c r="C129" s="105" t="s">
        <v>103</v>
      </c>
      <c r="D129" s="38"/>
      <c r="E129" s="38"/>
      <c r="F129" s="38"/>
      <c r="G129" s="23"/>
      <c r="H129" s="126"/>
      <c r="I129" s="126"/>
      <c r="J129" s="126"/>
      <c r="K129" s="83"/>
      <c r="L129" s="16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</row>
    <row r="130">
      <c r="A130" s="83"/>
      <c r="B130" s="83"/>
      <c r="C130" s="112" t="s">
        <v>80</v>
      </c>
      <c r="D130" s="112" t="s">
        <v>104</v>
      </c>
      <c r="E130" s="112" t="s">
        <v>82</v>
      </c>
      <c r="F130" s="112" t="s">
        <v>83</v>
      </c>
      <c r="G130" s="112" t="s">
        <v>84</v>
      </c>
      <c r="H130" s="126"/>
      <c r="I130" s="126"/>
      <c r="J130" s="126"/>
      <c r="K130" s="83"/>
      <c r="L130" s="16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</row>
    <row r="131">
      <c r="A131" s="83"/>
      <c r="B131" s="83"/>
      <c r="C131" s="127"/>
      <c r="D131" s="127"/>
      <c r="E131" s="127"/>
      <c r="F131" s="127"/>
      <c r="G131" s="127"/>
      <c r="H131" s="126"/>
      <c r="I131" s="126"/>
      <c r="J131" s="126"/>
      <c r="K131" s="83"/>
      <c r="L131" s="16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</row>
    <row r="132">
      <c r="A132" s="83"/>
      <c r="B132" s="83"/>
      <c r="C132" s="83"/>
      <c r="D132" s="83"/>
      <c r="E132" s="83"/>
      <c r="F132" s="83"/>
      <c r="G132" s="83"/>
      <c r="H132" s="126"/>
      <c r="I132" s="126"/>
      <c r="J132" s="126"/>
      <c r="K132" s="83"/>
      <c r="L132" s="16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</row>
    <row r="133">
      <c r="A133" s="83"/>
      <c r="B133" s="83"/>
      <c r="C133" s="83"/>
      <c r="D133" s="83"/>
      <c r="E133" s="83"/>
      <c r="F133" s="83"/>
      <c r="G133" s="83"/>
      <c r="H133" s="126"/>
      <c r="I133" s="126"/>
      <c r="J133" s="126"/>
      <c r="K133" s="83"/>
      <c r="L133" s="16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</row>
    <row r="134">
      <c r="A134" s="83"/>
      <c r="B134" s="83"/>
      <c r="C134" s="83"/>
      <c r="D134" s="83"/>
      <c r="E134" s="83"/>
      <c r="F134" s="83"/>
      <c r="G134" s="83"/>
      <c r="H134" s="126"/>
      <c r="I134" s="126"/>
      <c r="J134" s="126"/>
      <c r="K134" s="83"/>
      <c r="L134" s="16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</row>
    <row r="135" ht="31.5" customHeight="1">
      <c r="A135" s="83"/>
      <c r="B135" s="83"/>
      <c r="C135" s="88"/>
      <c r="D135" s="131" t="s">
        <v>112</v>
      </c>
      <c r="E135" s="23"/>
      <c r="F135" s="88"/>
      <c r="G135" s="87"/>
      <c r="H135" s="87"/>
      <c r="I135" s="87"/>
      <c r="J135" s="87"/>
      <c r="K135" s="83"/>
      <c r="L135" s="16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</row>
    <row r="136">
      <c r="A136" s="83"/>
      <c r="B136" s="83"/>
      <c r="C136" s="103" t="s">
        <v>85</v>
      </c>
      <c r="D136" s="100" t="s">
        <v>86</v>
      </c>
      <c r="E136" s="100" t="s">
        <v>87</v>
      </c>
      <c r="F136" s="100" t="s">
        <v>88</v>
      </c>
      <c r="G136" s="87"/>
      <c r="H136" s="104"/>
      <c r="I136" s="105" t="s">
        <v>89</v>
      </c>
      <c r="J136" s="23"/>
      <c r="K136" s="83"/>
      <c r="L136" s="16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</row>
    <row r="137">
      <c r="A137" s="83"/>
      <c r="B137" s="83"/>
      <c r="C137" s="109" t="s">
        <v>91</v>
      </c>
      <c r="D137" s="110"/>
      <c r="E137" s="110"/>
      <c r="F137" s="110"/>
      <c r="G137" s="87"/>
      <c r="H137" s="111"/>
      <c r="I137" s="112" t="s">
        <v>92</v>
      </c>
      <c r="J137" s="113">
        <v>1530.0</v>
      </c>
      <c r="K137" s="83"/>
      <c r="L137" s="16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</row>
    <row r="138">
      <c r="A138" s="83"/>
      <c r="B138" s="83"/>
      <c r="C138" s="109" t="s">
        <v>93</v>
      </c>
      <c r="D138" s="110"/>
      <c r="E138" s="110"/>
      <c r="F138" s="110"/>
      <c r="G138" s="87"/>
      <c r="H138" s="111"/>
      <c r="I138" s="112" t="s">
        <v>94</v>
      </c>
      <c r="J138" s="113">
        <v>120.0</v>
      </c>
      <c r="K138" s="83"/>
      <c r="L138" s="16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</row>
    <row r="139">
      <c r="A139" s="83"/>
      <c r="B139" s="83"/>
      <c r="C139" s="109" t="s">
        <v>95</v>
      </c>
      <c r="D139" s="110"/>
      <c r="E139" s="110"/>
      <c r="F139" s="110"/>
      <c r="G139" s="87"/>
      <c r="H139" s="111"/>
      <c r="I139" s="112" t="s">
        <v>96</v>
      </c>
      <c r="J139" s="113">
        <v>150.0</v>
      </c>
      <c r="K139" s="83"/>
      <c r="L139" s="16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</row>
    <row r="140">
      <c r="A140" s="83"/>
      <c r="B140" s="83"/>
      <c r="C140" s="109" t="s">
        <v>97</v>
      </c>
      <c r="D140" s="110"/>
      <c r="E140" s="110"/>
      <c r="F140" s="110"/>
      <c r="G140" s="87"/>
      <c r="H140" s="111"/>
      <c r="I140" s="112" t="s">
        <v>98</v>
      </c>
      <c r="J140" s="113">
        <v>50.0</v>
      </c>
      <c r="K140" s="83"/>
      <c r="L140" s="16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</row>
    <row r="141">
      <c r="A141" s="83"/>
      <c r="B141" s="83"/>
      <c r="C141" s="109" t="s">
        <v>99</v>
      </c>
      <c r="D141" s="110"/>
      <c r="E141" s="110"/>
      <c r="F141" s="110"/>
      <c r="G141" s="87"/>
      <c r="H141" s="87"/>
      <c r="I141" s="87"/>
      <c r="J141" s="87"/>
      <c r="K141" s="83"/>
      <c r="L141" s="16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</row>
    <row r="142">
      <c r="A142" s="83"/>
      <c r="B142" s="83"/>
      <c r="C142" s="109" t="s">
        <v>100</v>
      </c>
      <c r="D142" s="122"/>
      <c r="E142" s="110"/>
      <c r="F142" s="110"/>
      <c r="G142" s="87"/>
      <c r="H142" s="87"/>
      <c r="I142" s="87"/>
      <c r="J142" s="87"/>
      <c r="K142" s="83"/>
      <c r="L142" s="16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</row>
    <row r="143">
      <c r="A143" s="83"/>
      <c r="B143" s="83"/>
      <c r="C143" s="109" t="s">
        <v>101</v>
      </c>
      <c r="D143" s="122"/>
      <c r="E143" s="110"/>
      <c r="F143" s="122"/>
      <c r="G143" s="87"/>
      <c r="H143" s="87"/>
      <c r="I143" s="87"/>
      <c r="J143" s="87"/>
      <c r="K143" s="83"/>
      <c r="L143" s="16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</row>
    <row r="144">
      <c r="A144" s="83"/>
      <c r="B144" s="83"/>
      <c r="C144" s="123" t="s">
        <v>102</v>
      </c>
      <c r="D144" s="124" t="str">
        <f t="shared" ref="D144:F144" si="21">AVERAGE(D137:D143)</f>
        <v>#DIV/0!</v>
      </c>
      <c r="E144" s="124" t="str">
        <f t="shared" si="21"/>
        <v>#DIV/0!</v>
      </c>
      <c r="F144" s="124" t="str">
        <f t="shared" si="21"/>
        <v>#DIV/0!</v>
      </c>
      <c r="G144" s="87"/>
      <c r="H144" s="87"/>
      <c r="I144" s="87"/>
      <c r="J144" s="87"/>
      <c r="K144" s="83"/>
      <c r="L144" s="16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</row>
    <row r="145">
      <c r="A145" s="83"/>
      <c r="B145" s="83"/>
      <c r="C145" s="88"/>
      <c r="D145" s="88"/>
      <c r="E145" s="88"/>
      <c r="F145" s="88"/>
      <c r="G145" s="87"/>
      <c r="H145" s="87"/>
      <c r="I145" s="87"/>
      <c r="J145" s="87"/>
      <c r="K145" s="83"/>
      <c r="L145" s="16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</row>
    <row r="146">
      <c r="A146" s="83"/>
      <c r="B146" s="83"/>
      <c r="C146" s="105" t="s">
        <v>103</v>
      </c>
      <c r="D146" s="38"/>
      <c r="E146" s="38"/>
      <c r="F146" s="38"/>
      <c r="G146" s="23"/>
      <c r="H146" s="126"/>
      <c r="I146" s="126"/>
      <c r="J146" s="126"/>
      <c r="K146" s="83"/>
      <c r="L146" s="16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</row>
    <row r="147">
      <c r="A147" s="83"/>
      <c r="B147" s="83"/>
      <c r="C147" s="112" t="s">
        <v>80</v>
      </c>
      <c r="D147" s="112" t="s">
        <v>104</v>
      </c>
      <c r="E147" s="112" t="s">
        <v>82</v>
      </c>
      <c r="F147" s="112" t="s">
        <v>83</v>
      </c>
      <c r="G147" s="112" t="s">
        <v>84</v>
      </c>
      <c r="H147" s="126"/>
      <c r="I147" s="126"/>
      <c r="J147" s="126"/>
      <c r="K147" s="83"/>
      <c r="L147" s="16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</row>
    <row r="148">
      <c r="A148" s="83"/>
      <c r="B148" s="83"/>
      <c r="C148" s="127"/>
      <c r="D148" s="127"/>
      <c r="E148" s="127"/>
      <c r="F148" s="127"/>
      <c r="G148" s="127"/>
      <c r="H148" s="126"/>
      <c r="I148" s="126"/>
      <c r="J148" s="126"/>
      <c r="K148" s="83"/>
      <c r="L148" s="16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16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16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</row>
    <row r="151" ht="28.5" customHeight="1">
      <c r="A151" s="83"/>
      <c r="B151" s="83"/>
      <c r="C151" s="88"/>
      <c r="D151" s="131" t="s">
        <v>113</v>
      </c>
      <c r="E151" s="23"/>
      <c r="F151" s="88"/>
      <c r="G151" s="87"/>
      <c r="H151" s="87"/>
      <c r="I151" s="87"/>
      <c r="J151" s="87"/>
      <c r="K151" s="83"/>
      <c r="L151" s="16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</row>
    <row r="152">
      <c r="A152" s="83"/>
      <c r="B152" s="83"/>
      <c r="C152" s="103" t="s">
        <v>85</v>
      </c>
      <c r="D152" s="100" t="s">
        <v>86</v>
      </c>
      <c r="E152" s="100" t="s">
        <v>87</v>
      </c>
      <c r="F152" s="100" t="s">
        <v>88</v>
      </c>
      <c r="G152" s="87"/>
      <c r="H152" s="104"/>
      <c r="I152" s="105" t="s">
        <v>89</v>
      </c>
      <c r="J152" s="23"/>
      <c r="K152" s="83"/>
      <c r="L152" s="16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</row>
    <row r="153">
      <c r="A153" s="83"/>
      <c r="B153" s="83"/>
      <c r="C153" s="109" t="s">
        <v>91</v>
      </c>
      <c r="D153" s="110"/>
      <c r="E153" s="110"/>
      <c r="F153" s="110"/>
      <c r="G153" s="87"/>
      <c r="H153" s="111"/>
      <c r="I153" s="112" t="s">
        <v>92</v>
      </c>
      <c r="J153" s="113">
        <v>1530.0</v>
      </c>
      <c r="K153" s="83"/>
      <c r="L153" s="16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</row>
    <row r="154">
      <c r="A154" s="83"/>
      <c r="B154" s="83"/>
      <c r="C154" s="109" t="s">
        <v>93</v>
      </c>
      <c r="D154" s="110"/>
      <c r="E154" s="110"/>
      <c r="F154" s="110"/>
      <c r="G154" s="87"/>
      <c r="H154" s="111"/>
      <c r="I154" s="112" t="s">
        <v>94</v>
      </c>
      <c r="J154" s="113">
        <v>120.0</v>
      </c>
      <c r="K154" s="83"/>
      <c r="L154" s="16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</row>
    <row r="155">
      <c r="A155" s="83"/>
      <c r="B155" s="83"/>
      <c r="C155" s="109" t="s">
        <v>95</v>
      </c>
      <c r="D155" s="110"/>
      <c r="E155" s="110"/>
      <c r="F155" s="110"/>
      <c r="G155" s="87"/>
      <c r="H155" s="111"/>
      <c r="I155" s="112" t="s">
        <v>96</v>
      </c>
      <c r="J155" s="113">
        <v>150.0</v>
      </c>
      <c r="K155" s="83"/>
      <c r="L155" s="16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</row>
    <row r="156">
      <c r="A156" s="83"/>
      <c r="B156" s="83"/>
      <c r="C156" s="109" t="s">
        <v>97</v>
      </c>
      <c r="D156" s="110"/>
      <c r="E156" s="110"/>
      <c r="F156" s="110"/>
      <c r="G156" s="87"/>
      <c r="H156" s="111"/>
      <c r="I156" s="112" t="s">
        <v>98</v>
      </c>
      <c r="J156" s="113">
        <v>50.0</v>
      </c>
      <c r="K156" s="83"/>
      <c r="L156" s="16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</row>
    <row r="157">
      <c r="A157" s="83"/>
      <c r="B157" s="83"/>
      <c r="C157" s="109" t="s">
        <v>99</v>
      </c>
      <c r="D157" s="110"/>
      <c r="E157" s="110"/>
      <c r="F157" s="110"/>
      <c r="G157" s="87"/>
      <c r="H157" s="87"/>
      <c r="I157" s="87"/>
      <c r="J157" s="87"/>
      <c r="K157" s="83"/>
      <c r="L157" s="16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</row>
    <row r="158">
      <c r="A158" s="83"/>
      <c r="B158" s="83"/>
      <c r="C158" s="109" t="s">
        <v>100</v>
      </c>
      <c r="D158" s="122"/>
      <c r="E158" s="110"/>
      <c r="F158" s="110"/>
      <c r="G158" s="87"/>
      <c r="H158" s="87"/>
      <c r="I158" s="87"/>
      <c r="J158" s="87"/>
      <c r="K158" s="83"/>
      <c r="L158" s="16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</row>
    <row r="159">
      <c r="A159" s="83"/>
      <c r="B159" s="83"/>
      <c r="C159" s="109" t="s">
        <v>101</v>
      </c>
      <c r="D159" s="122"/>
      <c r="E159" s="110"/>
      <c r="F159" s="122"/>
      <c r="G159" s="87"/>
      <c r="H159" s="87"/>
      <c r="I159" s="87"/>
      <c r="J159" s="87"/>
      <c r="K159" s="83"/>
      <c r="L159" s="16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</row>
    <row r="160">
      <c r="A160" s="83"/>
      <c r="B160" s="83"/>
      <c r="C160" s="123" t="s">
        <v>102</v>
      </c>
      <c r="D160" s="124" t="str">
        <f t="shared" ref="D160:F160" si="22">AVERAGE(D153:D159)</f>
        <v>#DIV/0!</v>
      </c>
      <c r="E160" s="124" t="str">
        <f t="shared" si="22"/>
        <v>#DIV/0!</v>
      </c>
      <c r="F160" s="124" t="str">
        <f t="shared" si="22"/>
        <v>#DIV/0!</v>
      </c>
      <c r="G160" s="87"/>
      <c r="H160" s="87"/>
      <c r="I160" s="87"/>
      <c r="J160" s="87"/>
      <c r="K160" s="83"/>
      <c r="L160" s="16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</row>
    <row r="161">
      <c r="A161" s="83"/>
      <c r="B161" s="83"/>
      <c r="C161" s="88"/>
      <c r="D161" s="88"/>
      <c r="E161" s="88"/>
      <c r="F161" s="88"/>
      <c r="G161" s="87"/>
      <c r="H161" s="87"/>
      <c r="I161" s="87"/>
      <c r="J161" s="87"/>
      <c r="K161" s="83"/>
      <c r="L161" s="16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</row>
    <row r="162">
      <c r="A162" s="83"/>
      <c r="B162" s="83"/>
      <c r="C162" s="105" t="s">
        <v>103</v>
      </c>
      <c r="D162" s="38"/>
      <c r="E162" s="38"/>
      <c r="F162" s="38"/>
      <c r="G162" s="23"/>
      <c r="H162" s="126"/>
      <c r="I162" s="126"/>
      <c r="J162" s="126"/>
      <c r="K162" s="83"/>
      <c r="L162" s="16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</row>
    <row r="163">
      <c r="A163" s="83"/>
      <c r="B163" s="83"/>
      <c r="C163" s="112" t="s">
        <v>80</v>
      </c>
      <c r="D163" s="112" t="s">
        <v>104</v>
      </c>
      <c r="E163" s="112" t="s">
        <v>82</v>
      </c>
      <c r="F163" s="112" t="s">
        <v>83</v>
      </c>
      <c r="G163" s="112" t="s">
        <v>84</v>
      </c>
      <c r="H163" s="126"/>
      <c r="I163" s="126"/>
      <c r="J163" s="126"/>
      <c r="K163" s="83"/>
      <c r="L163" s="16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</row>
    <row r="164">
      <c r="A164" s="83"/>
      <c r="B164" s="83"/>
      <c r="C164" s="127"/>
      <c r="D164" s="127"/>
      <c r="E164" s="127"/>
      <c r="F164" s="127"/>
      <c r="G164" s="127"/>
      <c r="H164" s="126"/>
      <c r="I164" s="126"/>
      <c r="J164" s="126"/>
      <c r="K164" s="83"/>
      <c r="L164" s="16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</row>
    <row r="165">
      <c r="A165" s="83"/>
      <c r="B165" s="83"/>
      <c r="C165" s="83"/>
      <c r="D165" s="83"/>
      <c r="E165" s="83"/>
      <c r="F165" s="83"/>
      <c r="G165" s="83"/>
      <c r="H165" s="126"/>
      <c r="I165" s="126"/>
      <c r="J165" s="126"/>
      <c r="K165" s="83"/>
      <c r="L165" s="16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</row>
    <row r="166">
      <c r="A166" s="83"/>
      <c r="B166" s="83"/>
      <c r="C166" s="83"/>
      <c r="D166" s="83"/>
      <c r="E166" s="83"/>
      <c r="F166" s="83"/>
      <c r="G166" s="83"/>
      <c r="H166" s="126"/>
      <c r="I166" s="126"/>
      <c r="J166" s="126"/>
      <c r="K166" s="83"/>
      <c r="L166" s="16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</row>
    <row r="167" ht="31.5" customHeight="1">
      <c r="A167" s="83"/>
      <c r="B167" s="83"/>
      <c r="C167" s="88"/>
      <c r="D167" s="131" t="s">
        <v>114</v>
      </c>
      <c r="E167" s="23"/>
      <c r="F167" s="88"/>
      <c r="G167" s="87"/>
      <c r="H167" s="87"/>
      <c r="I167" s="87"/>
      <c r="J167" s="87"/>
      <c r="K167" s="83"/>
      <c r="L167" s="16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</row>
    <row r="168">
      <c r="A168" s="83"/>
      <c r="B168" s="83"/>
      <c r="C168" s="103" t="s">
        <v>85</v>
      </c>
      <c r="D168" s="100" t="s">
        <v>86</v>
      </c>
      <c r="E168" s="100" t="s">
        <v>87</v>
      </c>
      <c r="F168" s="100" t="s">
        <v>88</v>
      </c>
      <c r="G168" s="87"/>
      <c r="H168" s="104"/>
      <c r="I168" s="105" t="s">
        <v>89</v>
      </c>
      <c r="J168" s="23"/>
      <c r="K168" s="83"/>
      <c r="L168" s="16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</row>
    <row r="169">
      <c r="A169" s="83"/>
      <c r="B169" s="83"/>
      <c r="C169" s="109" t="s">
        <v>91</v>
      </c>
      <c r="D169" s="110"/>
      <c r="E169" s="110"/>
      <c r="F169" s="110"/>
      <c r="G169" s="87"/>
      <c r="H169" s="111"/>
      <c r="I169" s="112" t="s">
        <v>92</v>
      </c>
      <c r="J169" s="113">
        <v>1530.0</v>
      </c>
      <c r="K169" s="83"/>
      <c r="L169" s="16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</row>
    <row r="170">
      <c r="A170" s="83"/>
      <c r="B170" s="83"/>
      <c r="C170" s="109" t="s">
        <v>93</v>
      </c>
      <c r="D170" s="110"/>
      <c r="E170" s="110"/>
      <c r="F170" s="110"/>
      <c r="G170" s="87"/>
      <c r="H170" s="111"/>
      <c r="I170" s="112" t="s">
        <v>94</v>
      </c>
      <c r="J170" s="113">
        <v>120.0</v>
      </c>
      <c r="K170" s="83"/>
      <c r="L170" s="16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</row>
    <row r="171">
      <c r="A171" s="83"/>
      <c r="B171" s="83"/>
      <c r="C171" s="109" t="s">
        <v>95</v>
      </c>
      <c r="D171" s="110"/>
      <c r="E171" s="110"/>
      <c r="F171" s="110"/>
      <c r="G171" s="87"/>
      <c r="H171" s="111"/>
      <c r="I171" s="112" t="s">
        <v>96</v>
      </c>
      <c r="J171" s="113">
        <v>150.0</v>
      </c>
      <c r="K171" s="83"/>
      <c r="L171" s="16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</row>
    <row r="172">
      <c r="A172" s="83"/>
      <c r="B172" s="83"/>
      <c r="C172" s="109" t="s">
        <v>97</v>
      </c>
      <c r="D172" s="110"/>
      <c r="E172" s="110"/>
      <c r="F172" s="110"/>
      <c r="G172" s="87"/>
      <c r="H172" s="111"/>
      <c r="I172" s="112" t="s">
        <v>98</v>
      </c>
      <c r="J172" s="113">
        <v>50.0</v>
      </c>
      <c r="K172" s="83"/>
      <c r="L172" s="16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</row>
    <row r="173">
      <c r="A173" s="83"/>
      <c r="B173" s="83"/>
      <c r="C173" s="109" t="s">
        <v>99</v>
      </c>
      <c r="D173" s="110"/>
      <c r="E173" s="110"/>
      <c r="F173" s="110"/>
      <c r="G173" s="87"/>
      <c r="H173" s="87"/>
      <c r="I173" s="87"/>
      <c r="J173" s="87"/>
      <c r="K173" s="83"/>
      <c r="L173" s="16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</row>
    <row r="174">
      <c r="A174" s="83"/>
      <c r="B174" s="83"/>
      <c r="C174" s="109" t="s">
        <v>100</v>
      </c>
      <c r="D174" s="122"/>
      <c r="E174" s="110"/>
      <c r="F174" s="110"/>
      <c r="G174" s="87"/>
      <c r="H174" s="87"/>
      <c r="I174" s="87"/>
      <c r="J174" s="87"/>
      <c r="K174" s="83"/>
      <c r="L174" s="16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</row>
    <row r="175">
      <c r="A175" s="83"/>
      <c r="B175" s="83"/>
      <c r="C175" s="109" t="s">
        <v>101</v>
      </c>
      <c r="D175" s="122"/>
      <c r="E175" s="110"/>
      <c r="F175" s="122"/>
      <c r="G175" s="87"/>
      <c r="H175" s="87"/>
      <c r="I175" s="87"/>
      <c r="J175" s="87"/>
      <c r="K175" s="83"/>
      <c r="L175" s="16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</row>
    <row r="176">
      <c r="A176" s="83"/>
      <c r="B176" s="83"/>
      <c r="C176" s="123" t="s">
        <v>102</v>
      </c>
      <c r="D176" s="124" t="str">
        <f t="shared" ref="D176:F176" si="23">AVERAGE(D169:D175)</f>
        <v>#DIV/0!</v>
      </c>
      <c r="E176" s="124" t="str">
        <f t="shared" si="23"/>
        <v>#DIV/0!</v>
      </c>
      <c r="F176" s="124" t="str">
        <f t="shared" si="23"/>
        <v>#DIV/0!</v>
      </c>
      <c r="G176" s="87"/>
      <c r="H176" s="87"/>
      <c r="I176" s="87"/>
      <c r="J176" s="87"/>
      <c r="K176" s="83"/>
      <c r="L176" s="16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</row>
    <row r="177">
      <c r="A177" s="83"/>
      <c r="B177" s="83"/>
      <c r="C177" s="88"/>
      <c r="D177" s="88"/>
      <c r="E177" s="88"/>
      <c r="F177" s="88"/>
      <c r="G177" s="87"/>
      <c r="H177" s="87"/>
      <c r="I177" s="87"/>
      <c r="J177" s="87"/>
      <c r="K177" s="83"/>
      <c r="L177" s="16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</row>
    <row r="178">
      <c r="A178" s="83"/>
      <c r="B178" s="83"/>
      <c r="C178" s="105" t="s">
        <v>103</v>
      </c>
      <c r="D178" s="38"/>
      <c r="E178" s="38"/>
      <c r="F178" s="38"/>
      <c r="G178" s="23"/>
      <c r="H178" s="126"/>
      <c r="I178" s="126"/>
      <c r="J178" s="126"/>
      <c r="K178" s="83"/>
      <c r="L178" s="16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</row>
    <row r="179">
      <c r="A179" s="83"/>
      <c r="B179" s="83"/>
      <c r="C179" s="112" t="s">
        <v>80</v>
      </c>
      <c r="D179" s="112" t="s">
        <v>104</v>
      </c>
      <c r="E179" s="112" t="s">
        <v>82</v>
      </c>
      <c r="F179" s="112" t="s">
        <v>83</v>
      </c>
      <c r="G179" s="112" t="s">
        <v>84</v>
      </c>
      <c r="H179" s="126"/>
      <c r="I179" s="126"/>
      <c r="J179" s="126"/>
      <c r="K179" s="83"/>
      <c r="L179" s="16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</row>
    <row r="180">
      <c r="A180" s="83"/>
      <c r="B180" s="83"/>
      <c r="C180" s="127"/>
      <c r="D180" s="127"/>
      <c r="E180" s="127"/>
      <c r="F180" s="127"/>
      <c r="G180" s="127"/>
      <c r="H180" s="126"/>
      <c r="I180" s="126"/>
      <c r="J180" s="126"/>
      <c r="K180" s="83"/>
      <c r="L180" s="16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</row>
    <row r="181">
      <c r="A181" s="83"/>
      <c r="B181" s="83"/>
      <c r="C181" s="83"/>
      <c r="D181" s="83"/>
      <c r="E181" s="83"/>
      <c r="F181" s="83"/>
      <c r="G181" s="83"/>
      <c r="H181" s="126"/>
      <c r="I181" s="126"/>
      <c r="J181" s="126"/>
      <c r="K181" s="83"/>
      <c r="L181" s="16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</row>
    <row r="182">
      <c r="A182" s="83"/>
      <c r="B182" s="83"/>
      <c r="C182" s="83"/>
      <c r="D182" s="83"/>
      <c r="E182" s="83"/>
      <c r="F182" s="83"/>
      <c r="G182" s="83"/>
      <c r="H182" s="126"/>
      <c r="I182" s="126"/>
      <c r="J182" s="126"/>
      <c r="K182" s="83"/>
      <c r="L182" s="16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</row>
    <row r="183" ht="30.0" customHeight="1">
      <c r="A183" s="83"/>
      <c r="B183" s="83"/>
      <c r="C183" s="88"/>
      <c r="D183" s="131" t="s">
        <v>115</v>
      </c>
      <c r="E183" s="23"/>
      <c r="F183" s="88"/>
      <c r="G183" s="87"/>
      <c r="H183" s="87"/>
      <c r="I183" s="87"/>
      <c r="J183" s="87"/>
      <c r="K183" s="83"/>
      <c r="L183" s="16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</row>
    <row r="184">
      <c r="A184" s="83"/>
      <c r="B184" s="83"/>
      <c r="C184" s="103" t="s">
        <v>85</v>
      </c>
      <c r="D184" s="100" t="s">
        <v>86</v>
      </c>
      <c r="E184" s="100" t="s">
        <v>87</v>
      </c>
      <c r="F184" s="100" t="s">
        <v>88</v>
      </c>
      <c r="G184" s="87"/>
      <c r="H184" s="104"/>
      <c r="I184" s="105" t="s">
        <v>89</v>
      </c>
      <c r="J184" s="23"/>
      <c r="K184" s="83"/>
      <c r="L184" s="16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</row>
    <row r="185">
      <c r="A185" s="83"/>
      <c r="B185" s="83"/>
      <c r="C185" s="109" t="s">
        <v>91</v>
      </c>
      <c r="D185" s="110"/>
      <c r="E185" s="110"/>
      <c r="F185" s="110"/>
      <c r="G185" s="87"/>
      <c r="H185" s="111"/>
      <c r="I185" s="112" t="s">
        <v>92</v>
      </c>
      <c r="J185" s="113">
        <v>1530.0</v>
      </c>
      <c r="K185" s="83"/>
      <c r="L185" s="16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</row>
    <row r="186">
      <c r="A186" s="83"/>
      <c r="B186" s="83"/>
      <c r="C186" s="109" t="s">
        <v>93</v>
      </c>
      <c r="D186" s="110"/>
      <c r="E186" s="110"/>
      <c r="F186" s="110"/>
      <c r="G186" s="87"/>
      <c r="H186" s="111"/>
      <c r="I186" s="112" t="s">
        <v>94</v>
      </c>
      <c r="J186" s="113">
        <v>120.0</v>
      </c>
      <c r="K186" s="83"/>
      <c r="L186" s="16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</row>
    <row r="187">
      <c r="A187" s="83"/>
      <c r="B187" s="83"/>
      <c r="C187" s="109" t="s">
        <v>95</v>
      </c>
      <c r="D187" s="110"/>
      <c r="E187" s="110"/>
      <c r="F187" s="110"/>
      <c r="G187" s="87"/>
      <c r="H187" s="111"/>
      <c r="I187" s="112" t="s">
        <v>96</v>
      </c>
      <c r="J187" s="113">
        <v>150.0</v>
      </c>
      <c r="K187" s="83"/>
      <c r="L187" s="16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</row>
    <row r="188">
      <c r="A188" s="83"/>
      <c r="B188" s="83"/>
      <c r="C188" s="109" t="s">
        <v>97</v>
      </c>
      <c r="D188" s="110"/>
      <c r="E188" s="110"/>
      <c r="F188" s="110"/>
      <c r="G188" s="87"/>
      <c r="H188" s="111"/>
      <c r="I188" s="112" t="s">
        <v>98</v>
      </c>
      <c r="J188" s="113">
        <v>50.0</v>
      </c>
      <c r="K188" s="83"/>
      <c r="L188" s="16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</row>
    <row r="189">
      <c r="A189" s="83"/>
      <c r="B189" s="83"/>
      <c r="C189" s="109" t="s">
        <v>99</v>
      </c>
      <c r="D189" s="110"/>
      <c r="E189" s="110"/>
      <c r="F189" s="110"/>
      <c r="G189" s="87"/>
      <c r="H189" s="87"/>
      <c r="I189" s="87"/>
      <c r="J189" s="87"/>
      <c r="K189" s="83"/>
      <c r="L189" s="16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</row>
    <row r="190">
      <c r="A190" s="83"/>
      <c r="B190" s="83"/>
      <c r="C190" s="109" t="s">
        <v>100</v>
      </c>
      <c r="D190" s="122"/>
      <c r="E190" s="110"/>
      <c r="F190" s="110"/>
      <c r="G190" s="87"/>
      <c r="H190" s="87"/>
      <c r="I190" s="87"/>
      <c r="J190" s="87"/>
      <c r="K190" s="83"/>
      <c r="L190" s="16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</row>
    <row r="191">
      <c r="A191" s="83"/>
      <c r="B191" s="83"/>
      <c r="C191" s="109" t="s">
        <v>101</v>
      </c>
      <c r="D191" s="122"/>
      <c r="E191" s="110"/>
      <c r="F191" s="122"/>
      <c r="G191" s="87"/>
      <c r="H191" s="87"/>
      <c r="I191" s="87"/>
      <c r="J191" s="87"/>
      <c r="K191" s="83"/>
      <c r="L191" s="16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</row>
    <row r="192">
      <c r="A192" s="83"/>
      <c r="B192" s="83"/>
      <c r="C192" s="123" t="s">
        <v>102</v>
      </c>
      <c r="D192" s="124" t="str">
        <f t="shared" ref="D192:F192" si="24">AVERAGE(D185:D191)</f>
        <v>#DIV/0!</v>
      </c>
      <c r="E192" s="124" t="str">
        <f t="shared" si="24"/>
        <v>#DIV/0!</v>
      </c>
      <c r="F192" s="124" t="str">
        <f t="shared" si="24"/>
        <v>#DIV/0!</v>
      </c>
      <c r="G192" s="87"/>
      <c r="H192" s="87"/>
      <c r="I192" s="87"/>
      <c r="J192" s="87"/>
      <c r="K192" s="83"/>
      <c r="L192" s="16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</row>
    <row r="193">
      <c r="A193" s="83"/>
      <c r="B193" s="83"/>
      <c r="C193" s="88"/>
      <c r="D193" s="88"/>
      <c r="E193" s="88"/>
      <c r="F193" s="88"/>
      <c r="G193" s="87"/>
      <c r="H193" s="87"/>
      <c r="I193" s="87"/>
      <c r="J193" s="87"/>
      <c r="K193" s="83"/>
      <c r="L193" s="16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</row>
    <row r="194">
      <c r="A194" s="83"/>
      <c r="B194" s="83"/>
      <c r="C194" s="105" t="s">
        <v>103</v>
      </c>
      <c r="D194" s="38"/>
      <c r="E194" s="38"/>
      <c r="F194" s="38"/>
      <c r="G194" s="23"/>
      <c r="H194" s="126"/>
      <c r="I194" s="126"/>
      <c r="J194" s="126"/>
      <c r="K194" s="83"/>
      <c r="L194" s="16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</row>
    <row r="195">
      <c r="A195" s="83"/>
      <c r="B195" s="83"/>
      <c r="C195" s="112" t="s">
        <v>80</v>
      </c>
      <c r="D195" s="112" t="s">
        <v>104</v>
      </c>
      <c r="E195" s="112" t="s">
        <v>82</v>
      </c>
      <c r="F195" s="112" t="s">
        <v>83</v>
      </c>
      <c r="G195" s="112" t="s">
        <v>84</v>
      </c>
      <c r="H195" s="126"/>
      <c r="I195" s="126"/>
      <c r="J195" s="126"/>
      <c r="K195" s="83"/>
      <c r="L195" s="16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</row>
    <row r="196">
      <c r="A196" s="83"/>
      <c r="B196" s="83"/>
      <c r="C196" s="127"/>
      <c r="D196" s="127"/>
      <c r="E196" s="127"/>
      <c r="F196" s="127"/>
      <c r="G196" s="127"/>
      <c r="H196" s="126"/>
      <c r="I196" s="126"/>
      <c r="J196" s="126"/>
      <c r="K196" s="83"/>
      <c r="L196" s="16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</row>
    <row r="197">
      <c r="A197" s="83"/>
      <c r="B197" s="83"/>
      <c r="C197" s="83"/>
      <c r="D197" s="83"/>
      <c r="E197" s="83"/>
      <c r="F197" s="83"/>
      <c r="G197" s="83"/>
      <c r="H197" s="126"/>
      <c r="I197" s="126"/>
      <c r="J197" s="126"/>
      <c r="K197" s="83"/>
      <c r="L197" s="16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</row>
    <row r="198">
      <c r="A198" s="83"/>
      <c r="B198" s="83"/>
      <c r="C198" s="83"/>
      <c r="D198" s="83"/>
      <c r="E198" s="83"/>
      <c r="F198" s="83"/>
      <c r="G198" s="83"/>
      <c r="H198" s="126"/>
      <c r="I198" s="126"/>
      <c r="J198" s="126"/>
      <c r="K198" s="83"/>
      <c r="L198" s="16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</row>
    <row r="199" ht="25.5" customHeight="1">
      <c r="A199" s="83"/>
      <c r="B199" s="83"/>
      <c r="C199" s="88"/>
      <c r="D199" s="131" t="s">
        <v>116</v>
      </c>
      <c r="E199" s="23"/>
      <c r="F199" s="88"/>
      <c r="G199" s="87"/>
      <c r="H199" s="87"/>
      <c r="I199" s="87"/>
      <c r="J199" s="87"/>
      <c r="K199" s="83"/>
      <c r="L199" s="16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</row>
    <row r="200">
      <c r="A200" s="83"/>
      <c r="B200" s="83"/>
      <c r="C200" s="103" t="s">
        <v>85</v>
      </c>
      <c r="D200" s="100" t="s">
        <v>86</v>
      </c>
      <c r="E200" s="100" t="s">
        <v>87</v>
      </c>
      <c r="F200" s="100" t="s">
        <v>88</v>
      </c>
      <c r="G200" s="87"/>
      <c r="H200" s="104"/>
      <c r="I200" s="105" t="s">
        <v>89</v>
      </c>
      <c r="J200" s="23"/>
      <c r="K200" s="83"/>
      <c r="L200" s="16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</row>
    <row r="201">
      <c r="A201" s="83"/>
      <c r="B201" s="83"/>
      <c r="C201" s="109" t="s">
        <v>91</v>
      </c>
      <c r="D201" s="110"/>
      <c r="E201" s="110"/>
      <c r="F201" s="110"/>
      <c r="G201" s="87"/>
      <c r="H201" s="111"/>
      <c r="I201" s="112" t="s">
        <v>92</v>
      </c>
      <c r="J201" s="113">
        <v>1530.0</v>
      </c>
      <c r="K201" s="83"/>
      <c r="L201" s="16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</row>
    <row r="202">
      <c r="A202" s="83"/>
      <c r="B202" s="83"/>
      <c r="C202" s="109" t="s">
        <v>93</v>
      </c>
      <c r="D202" s="110"/>
      <c r="E202" s="110"/>
      <c r="F202" s="110"/>
      <c r="G202" s="87"/>
      <c r="H202" s="111"/>
      <c r="I202" s="112" t="s">
        <v>94</v>
      </c>
      <c r="J202" s="113">
        <v>120.0</v>
      </c>
      <c r="K202" s="83"/>
      <c r="L202" s="16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</row>
    <row r="203">
      <c r="A203" s="83"/>
      <c r="B203" s="83"/>
      <c r="C203" s="109" t="s">
        <v>95</v>
      </c>
      <c r="D203" s="110"/>
      <c r="E203" s="110"/>
      <c r="F203" s="110"/>
      <c r="G203" s="87"/>
      <c r="H203" s="111"/>
      <c r="I203" s="112" t="s">
        <v>96</v>
      </c>
      <c r="J203" s="113">
        <v>150.0</v>
      </c>
      <c r="K203" s="83"/>
      <c r="L203" s="16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</row>
    <row r="204">
      <c r="A204" s="83"/>
      <c r="B204" s="83"/>
      <c r="C204" s="109" t="s">
        <v>97</v>
      </c>
      <c r="D204" s="110"/>
      <c r="E204" s="110"/>
      <c r="F204" s="110"/>
      <c r="G204" s="87"/>
      <c r="H204" s="111"/>
      <c r="I204" s="112" t="s">
        <v>98</v>
      </c>
      <c r="J204" s="113">
        <v>50.0</v>
      </c>
      <c r="K204" s="83"/>
      <c r="L204" s="16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</row>
    <row r="205">
      <c r="A205" s="83"/>
      <c r="B205" s="83"/>
      <c r="C205" s="109" t="s">
        <v>99</v>
      </c>
      <c r="D205" s="110"/>
      <c r="E205" s="110"/>
      <c r="F205" s="110"/>
      <c r="G205" s="87"/>
      <c r="H205" s="87"/>
      <c r="I205" s="87"/>
      <c r="J205" s="87"/>
      <c r="K205" s="83"/>
      <c r="L205" s="16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</row>
    <row r="206">
      <c r="A206" s="83"/>
      <c r="B206" s="83"/>
      <c r="C206" s="109" t="s">
        <v>100</v>
      </c>
      <c r="D206" s="122"/>
      <c r="E206" s="110"/>
      <c r="F206" s="110"/>
      <c r="G206" s="87"/>
      <c r="H206" s="87"/>
      <c r="I206" s="87"/>
      <c r="J206" s="87"/>
      <c r="K206" s="83"/>
      <c r="L206" s="16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</row>
    <row r="207">
      <c r="A207" s="83"/>
      <c r="B207" s="83"/>
      <c r="C207" s="109" t="s">
        <v>101</v>
      </c>
      <c r="D207" s="122"/>
      <c r="E207" s="110"/>
      <c r="F207" s="122"/>
      <c r="G207" s="87"/>
      <c r="H207" s="87"/>
      <c r="I207" s="87"/>
      <c r="J207" s="87"/>
      <c r="K207" s="83"/>
      <c r="L207" s="16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</row>
    <row r="208">
      <c r="A208" s="83"/>
      <c r="B208" s="83"/>
      <c r="C208" s="123" t="s">
        <v>102</v>
      </c>
      <c r="D208" s="124" t="str">
        <f t="shared" ref="D208:F208" si="25">AVERAGE(D201:D207)</f>
        <v>#DIV/0!</v>
      </c>
      <c r="E208" s="124" t="str">
        <f t="shared" si="25"/>
        <v>#DIV/0!</v>
      </c>
      <c r="F208" s="124" t="str">
        <f t="shared" si="25"/>
        <v>#DIV/0!</v>
      </c>
      <c r="G208" s="87"/>
      <c r="H208" s="87"/>
      <c r="I208" s="87"/>
      <c r="J208" s="87"/>
      <c r="K208" s="83"/>
      <c r="L208" s="16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</row>
    <row r="209">
      <c r="A209" s="83"/>
      <c r="B209" s="83"/>
      <c r="C209" s="88"/>
      <c r="D209" s="88"/>
      <c r="E209" s="88"/>
      <c r="F209" s="88"/>
      <c r="G209" s="87"/>
      <c r="H209" s="87"/>
      <c r="I209" s="87"/>
      <c r="J209" s="87"/>
      <c r="K209" s="83"/>
      <c r="L209" s="16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</row>
    <row r="210">
      <c r="A210" s="83"/>
      <c r="B210" s="83"/>
      <c r="C210" s="105" t="s">
        <v>103</v>
      </c>
      <c r="D210" s="38"/>
      <c r="E210" s="38"/>
      <c r="F210" s="38"/>
      <c r="G210" s="23"/>
      <c r="H210" s="126"/>
      <c r="I210" s="126"/>
      <c r="J210" s="126"/>
      <c r="K210" s="83"/>
      <c r="L210" s="16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</row>
    <row r="211">
      <c r="A211" s="83"/>
      <c r="B211" s="83"/>
      <c r="C211" s="112" t="s">
        <v>80</v>
      </c>
      <c r="D211" s="112" t="s">
        <v>104</v>
      </c>
      <c r="E211" s="112" t="s">
        <v>82</v>
      </c>
      <c r="F211" s="112" t="s">
        <v>83</v>
      </c>
      <c r="G211" s="112" t="s">
        <v>84</v>
      </c>
      <c r="H211" s="126"/>
      <c r="I211" s="126"/>
      <c r="J211" s="126"/>
      <c r="K211" s="83"/>
      <c r="L211" s="16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</row>
    <row r="212">
      <c r="A212" s="83"/>
      <c r="B212" s="83"/>
      <c r="C212" s="127"/>
      <c r="D212" s="127"/>
      <c r="E212" s="127"/>
      <c r="F212" s="127"/>
      <c r="G212" s="127"/>
      <c r="H212" s="126"/>
      <c r="I212" s="126"/>
      <c r="J212" s="126"/>
      <c r="K212" s="83"/>
      <c r="L212" s="16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16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16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16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16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16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16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16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16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16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16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16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16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16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16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16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16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16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16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16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16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16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16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16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16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16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16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16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16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16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16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16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16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16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16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16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16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16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16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16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16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16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16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16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16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16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16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16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16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16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16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16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16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16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16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16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16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16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16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16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16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16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16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16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16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16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16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16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16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16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16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16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16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16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16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16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16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16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16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16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16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16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16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16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16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16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16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16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16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16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16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16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16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16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16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16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16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16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16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16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  <c r="AF311" s="83"/>
      <c r="AG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16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16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  <c r="AF313" s="83"/>
      <c r="AG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16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16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16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16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16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16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16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16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16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16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16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16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16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16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16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16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16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3"/>
      <c r="AE330" s="83"/>
      <c r="AF330" s="83"/>
      <c r="AG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16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  <c r="AF331" s="83"/>
      <c r="AG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16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16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16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  <c r="AF334" s="83"/>
      <c r="AG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16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3"/>
      <c r="AE335" s="83"/>
      <c r="AF335" s="83"/>
      <c r="AG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16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16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16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3"/>
      <c r="AE338" s="83"/>
      <c r="AF338" s="83"/>
      <c r="AG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16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3"/>
      <c r="AE339" s="83"/>
      <c r="AF339" s="83"/>
      <c r="AG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16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16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  <c r="AF341" s="83"/>
      <c r="AG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16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3"/>
      <c r="AE342" s="83"/>
      <c r="AF342" s="83"/>
      <c r="AG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16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3"/>
      <c r="AE343" s="83"/>
      <c r="AF343" s="83"/>
      <c r="AG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16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16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16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16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  <c r="AD347" s="83"/>
      <c r="AE347" s="83"/>
      <c r="AF347" s="83"/>
      <c r="AG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16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  <c r="AD348" s="83"/>
      <c r="AE348" s="83"/>
      <c r="AF348" s="83"/>
      <c r="AG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16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  <c r="AD349" s="83"/>
      <c r="AE349" s="83"/>
      <c r="AF349" s="83"/>
      <c r="AG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16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  <c r="AD350" s="83"/>
      <c r="AE350" s="83"/>
      <c r="AF350" s="83"/>
      <c r="AG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16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  <c r="AD351" s="83"/>
      <c r="AE351" s="83"/>
      <c r="AF351" s="83"/>
      <c r="AG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16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  <c r="AD352" s="83"/>
      <c r="AE352" s="83"/>
      <c r="AF352" s="83"/>
      <c r="AG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16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3"/>
      <c r="AE353" s="83"/>
      <c r="AF353" s="83"/>
      <c r="AG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16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  <c r="AD354" s="83"/>
      <c r="AE354" s="83"/>
      <c r="AF354" s="83"/>
      <c r="AG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16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  <c r="AD355" s="83"/>
      <c r="AE355" s="83"/>
      <c r="AF355" s="83"/>
      <c r="AG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16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16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3"/>
      <c r="AF357" s="83"/>
      <c r="AG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16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  <c r="AD358" s="83"/>
      <c r="AE358" s="83"/>
      <c r="AF358" s="83"/>
      <c r="AG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16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  <c r="AD359" s="83"/>
      <c r="AE359" s="83"/>
      <c r="AF359" s="83"/>
      <c r="AG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16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  <c r="AG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16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16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  <c r="AD362" s="83"/>
      <c r="AE362" s="83"/>
      <c r="AF362" s="83"/>
      <c r="AG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16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  <c r="AD363" s="83"/>
      <c r="AE363" s="83"/>
      <c r="AF363" s="83"/>
      <c r="AG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16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  <c r="AF364" s="83"/>
      <c r="AG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16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16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  <c r="AF366" s="83"/>
      <c r="AG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16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  <c r="AF367" s="83"/>
      <c r="AG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16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  <c r="AD368" s="83"/>
      <c r="AE368" s="83"/>
      <c r="AF368" s="83"/>
      <c r="AG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16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3"/>
      <c r="AF369" s="83"/>
      <c r="AG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16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  <c r="AD370" s="83"/>
      <c r="AE370" s="83"/>
      <c r="AF370" s="83"/>
      <c r="AG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16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  <c r="AD371" s="83"/>
      <c r="AE371" s="83"/>
      <c r="AF371" s="83"/>
      <c r="AG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16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  <c r="AF372" s="83"/>
      <c r="AG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16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16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16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  <c r="AF375" s="83"/>
      <c r="AG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16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  <c r="AF376" s="83"/>
      <c r="AG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16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3"/>
      <c r="AF377" s="83"/>
      <c r="AG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16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  <c r="AD378" s="83"/>
      <c r="AE378" s="83"/>
      <c r="AF378" s="83"/>
      <c r="AG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16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  <c r="AD379" s="83"/>
      <c r="AE379" s="83"/>
      <c r="AF379" s="83"/>
      <c r="AG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16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  <c r="AF380" s="83"/>
      <c r="AG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16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  <c r="AD381" s="83"/>
      <c r="AE381" s="83"/>
      <c r="AF381" s="83"/>
      <c r="AG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16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  <c r="AD382" s="83"/>
      <c r="AE382" s="83"/>
      <c r="AF382" s="83"/>
      <c r="AG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16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  <c r="AD383" s="83"/>
      <c r="AE383" s="83"/>
      <c r="AF383" s="83"/>
      <c r="AG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16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  <c r="AD384" s="83"/>
      <c r="AE384" s="83"/>
      <c r="AF384" s="83"/>
      <c r="AG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16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  <c r="AD385" s="83"/>
      <c r="AE385" s="83"/>
      <c r="AF385" s="83"/>
      <c r="AG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16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  <c r="AD386" s="83"/>
      <c r="AE386" s="83"/>
      <c r="AF386" s="83"/>
      <c r="AG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16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  <c r="AD387" s="83"/>
      <c r="AE387" s="83"/>
      <c r="AF387" s="83"/>
      <c r="AG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16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  <c r="AD388" s="83"/>
      <c r="AE388" s="83"/>
      <c r="AF388" s="83"/>
      <c r="AG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16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  <c r="AD389" s="83"/>
      <c r="AE389" s="83"/>
      <c r="AF389" s="83"/>
      <c r="AG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16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  <c r="AF390" s="83"/>
      <c r="AG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16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  <c r="AD391" s="83"/>
      <c r="AE391" s="83"/>
      <c r="AF391" s="83"/>
      <c r="AG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16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  <c r="AD392" s="83"/>
      <c r="AE392" s="83"/>
      <c r="AF392" s="83"/>
      <c r="AG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16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  <c r="AD393" s="83"/>
      <c r="AE393" s="83"/>
      <c r="AF393" s="83"/>
      <c r="AG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16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  <c r="AD394" s="83"/>
      <c r="AE394" s="83"/>
      <c r="AF394" s="83"/>
      <c r="AG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16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  <c r="AD395" s="83"/>
      <c r="AE395" s="83"/>
      <c r="AF395" s="83"/>
      <c r="AG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16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  <c r="AD396" s="83"/>
      <c r="AE396" s="83"/>
      <c r="AF396" s="83"/>
      <c r="AG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16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  <c r="AD397" s="83"/>
      <c r="AE397" s="83"/>
      <c r="AF397" s="83"/>
      <c r="AG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16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16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  <c r="AD399" s="83"/>
      <c r="AE399" s="83"/>
      <c r="AF399" s="83"/>
      <c r="AG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16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  <c r="AF400" s="83"/>
      <c r="AG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16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  <c r="AF401" s="83"/>
      <c r="AG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16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  <c r="AF402" s="83"/>
      <c r="AG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16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  <c r="AD403" s="83"/>
      <c r="AE403" s="83"/>
      <c r="AF403" s="83"/>
      <c r="AG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16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  <c r="AD404" s="83"/>
      <c r="AE404" s="83"/>
      <c r="AF404" s="83"/>
      <c r="AG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16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  <c r="AD405" s="83"/>
      <c r="AE405" s="83"/>
      <c r="AF405" s="83"/>
      <c r="AG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16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  <c r="AD406" s="83"/>
      <c r="AE406" s="83"/>
      <c r="AF406" s="83"/>
      <c r="AG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16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  <c r="AD407" s="83"/>
      <c r="AE407" s="83"/>
      <c r="AF407" s="83"/>
      <c r="AG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16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  <c r="AD408" s="83"/>
      <c r="AE408" s="83"/>
      <c r="AF408" s="83"/>
      <c r="AG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16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  <c r="AD409" s="83"/>
      <c r="AE409" s="83"/>
      <c r="AF409" s="83"/>
      <c r="AG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16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  <c r="AD410" s="83"/>
      <c r="AE410" s="83"/>
      <c r="AF410" s="83"/>
      <c r="AG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16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  <c r="AD411" s="83"/>
      <c r="AE411" s="83"/>
      <c r="AF411" s="83"/>
      <c r="AG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16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  <c r="AD412" s="83"/>
      <c r="AE412" s="83"/>
      <c r="AF412" s="83"/>
      <c r="AG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16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3"/>
      <c r="AF413" s="83"/>
      <c r="AG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16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  <c r="AD414" s="83"/>
      <c r="AE414" s="83"/>
      <c r="AF414" s="83"/>
      <c r="AG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16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  <c r="AD415" s="83"/>
      <c r="AE415" s="83"/>
      <c r="AF415" s="83"/>
      <c r="AG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16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  <c r="AD416" s="83"/>
      <c r="AE416" s="83"/>
      <c r="AF416" s="83"/>
      <c r="AG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16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  <c r="AD417" s="83"/>
      <c r="AE417" s="83"/>
      <c r="AF417" s="83"/>
      <c r="AG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16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  <c r="AD418" s="83"/>
      <c r="AE418" s="83"/>
      <c r="AF418" s="83"/>
      <c r="AG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16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  <c r="AD419" s="83"/>
      <c r="AE419" s="83"/>
      <c r="AF419" s="83"/>
      <c r="AG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16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  <c r="AD420" s="83"/>
      <c r="AE420" s="83"/>
      <c r="AF420" s="83"/>
      <c r="AG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16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  <c r="AD421" s="83"/>
      <c r="AE421" s="83"/>
      <c r="AF421" s="83"/>
      <c r="AG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16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  <c r="AD422" s="83"/>
      <c r="AE422" s="83"/>
      <c r="AF422" s="83"/>
      <c r="AG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16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  <c r="AD423" s="83"/>
      <c r="AE423" s="83"/>
      <c r="AF423" s="83"/>
      <c r="AG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16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  <c r="AD424" s="83"/>
      <c r="AE424" s="83"/>
      <c r="AF424" s="83"/>
      <c r="AG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16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  <c r="AD425" s="83"/>
      <c r="AE425" s="83"/>
      <c r="AF425" s="83"/>
      <c r="AG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16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83"/>
      <c r="AF426" s="83"/>
      <c r="AG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16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83"/>
      <c r="AF427" s="83"/>
      <c r="AG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16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16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  <c r="AD429" s="83"/>
      <c r="AE429" s="83"/>
      <c r="AF429" s="83"/>
      <c r="AG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16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  <c r="AD430" s="83"/>
      <c r="AE430" s="83"/>
      <c r="AF430" s="83"/>
      <c r="AG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16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  <c r="AD431" s="83"/>
      <c r="AE431" s="83"/>
      <c r="AF431" s="83"/>
      <c r="AG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16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  <c r="AD432" s="83"/>
      <c r="AE432" s="83"/>
      <c r="AF432" s="83"/>
      <c r="AG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16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  <c r="AD433" s="83"/>
      <c r="AE433" s="83"/>
      <c r="AF433" s="83"/>
      <c r="AG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16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  <c r="AD434" s="83"/>
      <c r="AE434" s="83"/>
      <c r="AF434" s="83"/>
      <c r="AG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16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  <c r="AD435" s="83"/>
      <c r="AE435" s="83"/>
      <c r="AF435" s="83"/>
      <c r="AG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16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  <c r="AD436" s="83"/>
      <c r="AE436" s="83"/>
      <c r="AF436" s="83"/>
      <c r="AG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16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  <c r="AD437" s="83"/>
      <c r="AE437" s="83"/>
      <c r="AF437" s="83"/>
      <c r="AG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16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  <c r="AD438" s="83"/>
      <c r="AE438" s="83"/>
      <c r="AF438" s="83"/>
      <c r="AG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16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  <c r="AD439" s="83"/>
      <c r="AE439" s="83"/>
      <c r="AF439" s="83"/>
      <c r="AG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16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  <c r="AD440" s="83"/>
      <c r="AE440" s="83"/>
      <c r="AF440" s="83"/>
      <c r="AG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16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  <c r="AD441" s="83"/>
      <c r="AE441" s="83"/>
      <c r="AF441" s="83"/>
      <c r="AG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16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  <c r="AD442" s="83"/>
      <c r="AE442" s="83"/>
      <c r="AF442" s="83"/>
      <c r="AG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16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  <c r="AD443" s="83"/>
      <c r="AE443" s="83"/>
      <c r="AF443" s="83"/>
      <c r="AG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16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  <c r="AD444" s="83"/>
      <c r="AE444" s="83"/>
      <c r="AF444" s="83"/>
      <c r="AG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16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  <c r="AD445" s="83"/>
      <c r="AE445" s="83"/>
      <c r="AF445" s="83"/>
      <c r="AG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16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  <c r="AD446" s="83"/>
      <c r="AE446" s="83"/>
      <c r="AF446" s="83"/>
      <c r="AG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16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  <c r="AD447" s="83"/>
      <c r="AE447" s="83"/>
      <c r="AF447" s="83"/>
      <c r="AG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16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  <c r="AD448" s="83"/>
      <c r="AE448" s="83"/>
      <c r="AF448" s="83"/>
      <c r="AG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16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  <c r="AD449" s="83"/>
      <c r="AE449" s="83"/>
      <c r="AF449" s="83"/>
      <c r="AG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16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  <c r="AD450" s="83"/>
      <c r="AE450" s="83"/>
      <c r="AF450" s="83"/>
      <c r="AG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16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  <c r="AD451" s="83"/>
      <c r="AE451" s="83"/>
      <c r="AF451" s="83"/>
      <c r="AG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16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  <c r="AD452" s="83"/>
      <c r="AE452" s="83"/>
      <c r="AF452" s="83"/>
      <c r="AG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16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  <c r="AD453" s="83"/>
      <c r="AE453" s="83"/>
      <c r="AF453" s="83"/>
      <c r="AG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16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  <c r="AD454" s="83"/>
      <c r="AE454" s="83"/>
      <c r="AF454" s="83"/>
      <c r="AG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16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  <c r="AD455" s="83"/>
      <c r="AE455" s="83"/>
      <c r="AF455" s="83"/>
      <c r="AG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16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  <c r="AD456" s="83"/>
      <c r="AE456" s="83"/>
      <c r="AF456" s="83"/>
      <c r="AG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16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  <c r="AD457" s="83"/>
      <c r="AE457" s="83"/>
      <c r="AF457" s="83"/>
      <c r="AG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16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  <c r="AD458" s="83"/>
      <c r="AE458" s="83"/>
      <c r="AF458" s="83"/>
      <c r="AG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16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  <c r="AD459" s="83"/>
      <c r="AE459" s="83"/>
      <c r="AF459" s="83"/>
      <c r="AG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16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  <c r="AD460" s="83"/>
      <c r="AE460" s="83"/>
      <c r="AF460" s="83"/>
      <c r="AG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16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  <c r="AD461" s="83"/>
      <c r="AE461" s="83"/>
      <c r="AF461" s="83"/>
      <c r="AG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16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  <c r="AD462" s="83"/>
      <c r="AE462" s="83"/>
      <c r="AF462" s="83"/>
      <c r="AG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16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  <c r="AF463" s="83"/>
      <c r="AG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16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16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  <c r="AD465" s="83"/>
      <c r="AE465" s="83"/>
      <c r="AF465" s="83"/>
      <c r="AG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16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  <c r="AD466" s="83"/>
      <c r="AE466" s="83"/>
      <c r="AF466" s="83"/>
      <c r="AG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16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  <c r="AF467" s="83"/>
      <c r="AG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16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  <c r="AD468" s="83"/>
      <c r="AE468" s="83"/>
      <c r="AF468" s="83"/>
      <c r="AG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16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  <c r="AD469" s="83"/>
      <c r="AE469" s="83"/>
      <c r="AF469" s="83"/>
      <c r="AG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16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  <c r="AD470" s="83"/>
      <c r="AE470" s="83"/>
      <c r="AF470" s="83"/>
      <c r="AG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16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  <c r="AD471" s="83"/>
      <c r="AE471" s="83"/>
      <c r="AF471" s="83"/>
      <c r="AG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16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  <c r="AD472" s="83"/>
      <c r="AE472" s="83"/>
      <c r="AF472" s="83"/>
      <c r="AG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16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  <c r="AD473" s="83"/>
      <c r="AE473" s="83"/>
      <c r="AF473" s="83"/>
      <c r="AG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16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  <c r="AD474" s="83"/>
      <c r="AE474" s="83"/>
      <c r="AF474" s="83"/>
      <c r="AG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16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  <c r="AD475" s="83"/>
      <c r="AE475" s="83"/>
      <c r="AF475" s="83"/>
      <c r="AG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16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  <c r="AD476" s="83"/>
      <c r="AE476" s="83"/>
      <c r="AF476" s="83"/>
      <c r="AG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16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83"/>
      <c r="AF477" s="83"/>
      <c r="AG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16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83"/>
      <c r="AF478" s="83"/>
      <c r="AG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16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  <c r="AF479" s="83"/>
      <c r="AG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16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83"/>
      <c r="AG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16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  <c r="AD481" s="83"/>
      <c r="AE481" s="83"/>
      <c r="AF481" s="83"/>
      <c r="AG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16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  <c r="AF482" s="83"/>
      <c r="AG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16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  <c r="AD483" s="83"/>
      <c r="AE483" s="83"/>
      <c r="AF483" s="83"/>
      <c r="AG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16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  <c r="AD484" s="83"/>
      <c r="AE484" s="83"/>
      <c r="AF484" s="83"/>
      <c r="AG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16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  <c r="AD485" s="83"/>
      <c r="AE485" s="83"/>
      <c r="AF485" s="83"/>
      <c r="AG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16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  <c r="AF486" s="83"/>
      <c r="AG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16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  <c r="AF487" s="83"/>
      <c r="AG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16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  <c r="AF488" s="83"/>
      <c r="AG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16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  <c r="AF489" s="83"/>
      <c r="AG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16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  <c r="AD490" s="83"/>
      <c r="AE490" s="83"/>
      <c r="AF490" s="83"/>
      <c r="AG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16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  <c r="AD491" s="83"/>
      <c r="AE491" s="83"/>
      <c r="AF491" s="83"/>
      <c r="AG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16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  <c r="AD492" s="83"/>
      <c r="AE492" s="83"/>
      <c r="AF492" s="83"/>
      <c r="AG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16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  <c r="AF493" s="83"/>
      <c r="AG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16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  <c r="AD494" s="83"/>
      <c r="AE494" s="83"/>
      <c r="AF494" s="83"/>
      <c r="AG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16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  <c r="AD495" s="83"/>
      <c r="AE495" s="83"/>
      <c r="AF495" s="83"/>
      <c r="AG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16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  <c r="AF496" s="83"/>
      <c r="AG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16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3"/>
      <c r="AF497" s="83"/>
      <c r="AG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16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  <c r="AD498" s="83"/>
      <c r="AE498" s="83"/>
      <c r="AF498" s="83"/>
      <c r="AG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16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  <c r="AF499" s="83"/>
      <c r="AG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16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  <c r="AD500" s="83"/>
      <c r="AE500" s="83"/>
      <c r="AF500" s="83"/>
      <c r="AG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16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  <c r="AD501" s="83"/>
      <c r="AE501" s="83"/>
      <c r="AF501" s="83"/>
      <c r="AG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16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  <c r="AF502" s="83"/>
      <c r="AG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16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  <c r="AD503" s="83"/>
      <c r="AE503" s="83"/>
      <c r="AF503" s="83"/>
      <c r="AG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16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  <c r="AF504" s="83"/>
      <c r="AG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16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16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  <c r="AD506" s="83"/>
      <c r="AE506" s="83"/>
      <c r="AF506" s="83"/>
      <c r="AG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16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  <c r="AD507" s="83"/>
      <c r="AE507" s="83"/>
      <c r="AF507" s="83"/>
      <c r="AG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16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  <c r="AD508" s="83"/>
      <c r="AE508" s="83"/>
      <c r="AF508" s="83"/>
      <c r="AG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16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  <c r="AD509" s="83"/>
      <c r="AE509" s="83"/>
      <c r="AF509" s="83"/>
      <c r="AG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16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3"/>
      <c r="AF510" s="83"/>
      <c r="AG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16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  <c r="AF511" s="83"/>
      <c r="AG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16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  <c r="AF512" s="83"/>
      <c r="AG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16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  <c r="AF513" s="83"/>
      <c r="AG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16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  <c r="AF514" s="83"/>
      <c r="AG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16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  <c r="AD515" s="83"/>
      <c r="AE515" s="83"/>
      <c r="AF515" s="83"/>
      <c r="AG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16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  <c r="AD516" s="83"/>
      <c r="AE516" s="83"/>
      <c r="AF516" s="83"/>
      <c r="AG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16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  <c r="AD517" s="83"/>
      <c r="AE517" s="83"/>
      <c r="AF517" s="83"/>
      <c r="AG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16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  <c r="AD518" s="83"/>
      <c r="AE518" s="83"/>
      <c r="AF518" s="83"/>
      <c r="AG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16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  <c r="AD519" s="83"/>
      <c r="AE519" s="83"/>
      <c r="AF519" s="83"/>
      <c r="AG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16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  <c r="AD520" s="83"/>
      <c r="AE520" s="83"/>
      <c r="AF520" s="83"/>
      <c r="AG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16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  <c r="AD521" s="83"/>
      <c r="AE521" s="83"/>
      <c r="AF521" s="83"/>
      <c r="AG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16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  <c r="AD522" s="83"/>
      <c r="AE522" s="83"/>
      <c r="AF522" s="83"/>
      <c r="AG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16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3"/>
      <c r="AF523" s="83"/>
      <c r="AG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16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  <c r="AD524" s="83"/>
      <c r="AE524" s="83"/>
      <c r="AF524" s="83"/>
      <c r="AG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16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  <c r="AD525" s="83"/>
      <c r="AE525" s="83"/>
      <c r="AF525" s="83"/>
      <c r="AG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16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  <c r="AD526" s="83"/>
      <c r="AE526" s="83"/>
      <c r="AF526" s="83"/>
      <c r="AG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16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  <c r="AD527" s="83"/>
      <c r="AE527" s="83"/>
      <c r="AF527" s="83"/>
      <c r="AG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16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  <c r="AD528" s="83"/>
      <c r="AE528" s="83"/>
      <c r="AF528" s="83"/>
      <c r="AG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16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16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16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83"/>
      <c r="AF531" s="83"/>
      <c r="AG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16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  <c r="AF532" s="83"/>
      <c r="AG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16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  <c r="AD533" s="83"/>
      <c r="AE533" s="83"/>
      <c r="AF533" s="83"/>
      <c r="AG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16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  <c r="AD534" s="83"/>
      <c r="AE534" s="83"/>
      <c r="AF534" s="83"/>
      <c r="AG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16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  <c r="AD535" s="83"/>
      <c r="AE535" s="83"/>
      <c r="AF535" s="83"/>
      <c r="AG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16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  <c r="AD536" s="83"/>
      <c r="AE536" s="83"/>
      <c r="AF536" s="83"/>
      <c r="AG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16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  <c r="AD537" s="83"/>
      <c r="AE537" s="83"/>
      <c r="AF537" s="83"/>
      <c r="AG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16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  <c r="AD538" s="83"/>
      <c r="AE538" s="83"/>
      <c r="AF538" s="83"/>
      <c r="AG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16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  <c r="AD539" s="83"/>
      <c r="AE539" s="83"/>
      <c r="AF539" s="83"/>
      <c r="AG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16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  <c r="AF540" s="83"/>
      <c r="AG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16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  <c r="AF541" s="83"/>
      <c r="AG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16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  <c r="AF542" s="83"/>
      <c r="AG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16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  <c r="AD543" s="83"/>
      <c r="AE543" s="83"/>
      <c r="AF543" s="83"/>
      <c r="AG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16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  <c r="AF544" s="83"/>
      <c r="AG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16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  <c r="AD545" s="83"/>
      <c r="AE545" s="83"/>
      <c r="AF545" s="83"/>
      <c r="AG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16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  <c r="AF546" s="83"/>
      <c r="AG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16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  <c r="AF547" s="83"/>
      <c r="AG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16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  <c r="AF548" s="83"/>
      <c r="AG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16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  <c r="AF549" s="83"/>
      <c r="AG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16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  <c r="AD550" s="83"/>
      <c r="AE550" s="83"/>
      <c r="AF550" s="83"/>
      <c r="AG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16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  <c r="AD551" s="83"/>
      <c r="AE551" s="83"/>
      <c r="AF551" s="83"/>
      <c r="AG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16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  <c r="AF552" s="83"/>
      <c r="AG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16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  <c r="AD553" s="83"/>
      <c r="AE553" s="83"/>
      <c r="AF553" s="83"/>
      <c r="AG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16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  <c r="AD554" s="83"/>
      <c r="AE554" s="83"/>
      <c r="AF554" s="83"/>
      <c r="AG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16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  <c r="AD555" s="83"/>
      <c r="AE555" s="83"/>
      <c r="AF555" s="83"/>
      <c r="AG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16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  <c r="AD556" s="83"/>
      <c r="AE556" s="83"/>
      <c r="AF556" s="83"/>
      <c r="AG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16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  <c r="AF557" s="83"/>
      <c r="AG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16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  <c r="AF558" s="83"/>
      <c r="AG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16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  <c r="AD559" s="83"/>
      <c r="AE559" s="83"/>
      <c r="AF559" s="83"/>
      <c r="AG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16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  <c r="AD560" s="83"/>
      <c r="AE560" s="83"/>
      <c r="AF560" s="83"/>
      <c r="AG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16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  <c r="AD561" s="83"/>
      <c r="AE561" s="83"/>
      <c r="AF561" s="83"/>
      <c r="AG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16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  <c r="AD562" s="83"/>
      <c r="AE562" s="83"/>
      <c r="AF562" s="83"/>
      <c r="AG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16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  <c r="AD563" s="83"/>
      <c r="AE563" s="83"/>
      <c r="AF563" s="83"/>
      <c r="AG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16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  <c r="AD564" s="83"/>
      <c r="AE564" s="83"/>
      <c r="AF564" s="83"/>
      <c r="AG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16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3"/>
      <c r="AF565" s="83"/>
      <c r="AG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16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  <c r="AD566" s="83"/>
      <c r="AE566" s="83"/>
      <c r="AF566" s="83"/>
      <c r="AG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16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  <c r="AD567" s="83"/>
      <c r="AE567" s="83"/>
      <c r="AF567" s="83"/>
      <c r="AG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16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  <c r="AF568" s="83"/>
      <c r="AG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16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  <c r="AD569" s="83"/>
      <c r="AE569" s="83"/>
      <c r="AF569" s="83"/>
      <c r="AG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16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  <c r="AD570" s="83"/>
      <c r="AE570" s="83"/>
      <c r="AF570" s="83"/>
      <c r="AG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16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  <c r="AD571" s="83"/>
      <c r="AE571" s="83"/>
      <c r="AF571" s="83"/>
      <c r="AG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16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  <c r="AD572" s="83"/>
      <c r="AE572" s="83"/>
      <c r="AF572" s="83"/>
      <c r="AG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16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  <c r="AD573" s="83"/>
      <c r="AE573" s="83"/>
      <c r="AF573" s="83"/>
      <c r="AG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16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  <c r="AD574" s="83"/>
      <c r="AE574" s="83"/>
      <c r="AF574" s="83"/>
      <c r="AG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16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  <c r="AD575" s="83"/>
      <c r="AE575" s="83"/>
      <c r="AF575" s="83"/>
      <c r="AG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16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  <c r="AD576" s="83"/>
      <c r="AE576" s="83"/>
      <c r="AF576" s="83"/>
      <c r="AG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16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  <c r="AD577" s="83"/>
      <c r="AE577" s="83"/>
      <c r="AF577" s="83"/>
      <c r="AG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16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  <c r="AD578" s="83"/>
      <c r="AE578" s="83"/>
      <c r="AF578" s="83"/>
      <c r="AG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16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  <c r="AD579" s="83"/>
      <c r="AE579" s="83"/>
      <c r="AF579" s="83"/>
      <c r="AG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16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  <c r="AD580" s="83"/>
      <c r="AE580" s="83"/>
      <c r="AF580" s="83"/>
      <c r="AG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16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  <c r="AD581" s="83"/>
      <c r="AE581" s="83"/>
      <c r="AF581" s="83"/>
      <c r="AG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16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  <c r="AD582" s="83"/>
      <c r="AE582" s="83"/>
      <c r="AF582" s="83"/>
      <c r="AG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16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  <c r="AD583" s="83"/>
      <c r="AE583" s="83"/>
      <c r="AF583" s="83"/>
      <c r="AG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16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  <c r="AD584" s="83"/>
      <c r="AE584" s="83"/>
      <c r="AF584" s="83"/>
      <c r="AG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16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  <c r="AD585" s="83"/>
      <c r="AE585" s="83"/>
      <c r="AF585" s="83"/>
      <c r="AG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16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  <c r="AD586" s="83"/>
      <c r="AE586" s="83"/>
      <c r="AF586" s="83"/>
      <c r="AG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16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  <c r="AD587" s="83"/>
      <c r="AE587" s="83"/>
      <c r="AF587" s="83"/>
      <c r="AG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16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  <c r="AD588" s="83"/>
      <c r="AE588" s="83"/>
      <c r="AF588" s="83"/>
      <c r="AG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16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  <c r="AD589" s="83"/>
      <c r="AE589" s="83"/>
      <c r="AF589" s="83"/>
      <c r="AG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16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  <c r="AD590" s="83"/>
      <c r="AE590" s="83"/>
      <c r="AF590" s="83"/>
      <c r="AG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16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  <c r="AD591" s="83"/>
      <c r="AE591" s="83"/>
      <c r="AF591" s="83"/>
      <c r="AG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16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  <c r="AD592" s="83"/>
      <c r="AE592" s="83"/>
      <c r="AF592" s="83"/>
      <c r="AG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16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  <c r="AD593" s="83"/>
      <c r="AE593" s="83"/>
      <c r="AF593" s="83"/>
      <c r="AG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16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  <c r="AD594" s="83"/>
      <c r="AE594" s="83"/>
      <c r="AF594" s="83"/>
      <c r="AG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16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  <c r="AD595" s="83"/>
      <c r="AE595" s="83"/>
      <c r="AF595" s="83"/>
      <c r="AG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16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  <c r="AD596" s="83"/>
      <c r="AE596" s="83"/>
      <c r="AF596" s="83"/>
      <c r="AG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16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  <c r="AD597" s="83"/>
      <c r="AE597" s="83"/>
      <c r="AF597" s="83"/>
      <c r="AG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16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  <c r="AD598" s="83"/>
      <c r="AE598" s="83"/>
      <c r="AF598" s="83"/>
      <c r="AG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16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  <c r="AD599" s="83"/>
      <c r="AE599" s="83"/>
      <c r="AF599" s="83"/>
      <c r="AG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16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  <c r="AD600" s="83"/>
      <c r="AE600" s="83"/>
      <c r="AF600" s="83"/>
      <c r="AG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16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  <c r="AD601" s="83"/>
      <c r="AE601" s="83"/>
      <c r="AF601" s="83"/>
      <c r="AG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16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  <c r="AD602" s="83"/>
      <c r="AE602" s="83"/>
      <c r="AF602" s="83"/>
      <c r="AG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16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  <c r="AD603" s="83"/>
      <c r="AE603" s="83"/>
      <c r="AF603" s="83"/>
      <c r="AG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16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  <c r="AD604" s="83"/>
      <c r="AE604" s="83"/>
      <c r="AF604" s="83"/>
      <c r="AG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16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  <c r="AD605" s="83"/>
      <c r="AE605" s="83"/>
      <c r="AF605" s="83"/>
      <c r="AG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16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  <c r="AD606" s="83"/>
      <c r="AE606" s="83"/>
      <c r="AF606" s="83"/>
      <c r="AG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16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  <c r="AD607" s="83"/>
      <c r="AE607" s="83"/>
      <c r="AF607" s="83"/>
      <c r="AG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16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  <c r="AD608" s="83"/>
      <c r="AE608" s="83"/>
      <c r="AF608" s="83"/>
      <c r="AG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16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  <c r="AD609" s="83"/>
      <c r="AE609" s="83"/>
      <c r="AF609" s="83"/>
      <c r="AG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16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  <c r="AD610" s="83"/>
      <c r="AE610" s="83"/>
      <c r="AF610" s="83"/>
      <c r="AG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16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  <c r="AD611" s="83"/>
      <c r="AE611" s="83"/>
      <c r="AF611" s="83"/>
      <c r="AG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16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  <c r="AD612" s="83"/>
      <c r="AE612" s="83"/>
      <c r="AF612" s="83"/>
      <c r="AG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16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  <c r="AD613" s="83"/>
      <c r="AE613" s="83"/>
      <c r="AF613" s="83"/>
      <c r="AG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16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  <c r="AD614" s="83"/>
      <c r="AE614" s="83"/>
      <c r="AF614" s="83"/>
      <c r="AG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16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  <c r="AD615" s="83"/>
      <c r="AE615" s="83"/>
      <c r="AF615" s="83"/>
      <c r="AG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16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  <c r="AD616" s="83"/>
      <c r="AE616" s="83"/>
      <c r="AF616" s="83"/>
      <c r="AG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16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  <c r="AD617" s="83"/>
      <c r="AE617" s="83"/>
      <c r="AF617" s="83"/>
      <c r="AG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16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  <c r="AD618" s="83"/>
      <c r="AE618" s="83"/>
      <c r="AF618" s="83"/>
      <c r="AG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16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  <c r="AD619" s="83"/>
      <c r="AE619" s="83"/>
      <c r="AF619" s="83"/>
      <c r="AG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16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  <c r="AD620" s="83"/>
      <c r="AE620" s="83"/>
      <c r="AF620" s="83"/>
      <c r="AG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16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  <c r="AD621" s="83"/>
      <c r="AE621" s="83"/>
      <c r="AF621" s="83"/>
      <c r="AG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16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  <c r="AD622" s="83"/>
      <c r="AE622" s="83"/>
      <c r="AF622" s="83"/>
      <c r="AG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16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  <c r="AD623" s="83"/>
      <c r="AE623" s="83"/>
      <c r="AF623" s="83"/>
      <c r="AG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16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  <c r="AD624" s="83"/>
      <c r="AE624" s="83"/>
      <c r="AF624" s="83"/>
      <c r="AG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16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  <c r="AD625" s="83"/>
      <c r="AE625" s="83"/>
      <c r="AF625" s="83"/>
      <c r="AG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16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  <c r="AD626" s="83"/>
      <c r="AE626" s="83"/>
      <c r="AF626" s="83"/>
      <c r="AG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16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  <c r="AD627" s="83"/>
      <c r="AE627" s="83"/>
      <c r="AF627" s="83"/>
      <c r="AG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16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  <c r="AD628" s="83"/>
      <c r="AE628" s="83"/>
      <c r="AF628" s="83"/>
      <c r="AG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16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  <c r="AD629" s="83"/>
      <c r="AE629" s="83"/>
      <c r="AF629" s="83"/>
      <c r="AG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16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  <c r="AD630" s="83"/>
      <c r="AE630" s="83"/>
      <c r="AF630" s="83"/>
      <c r="AG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16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  <c r="AD631" s="83"/>
      <c r="AE631" s="83"/>
      <c r="AF631" s="83"/>
      <c r="AG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16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  <c r="AD632" s="83"/>
      <c r="AE632" s="83"/>
      <c r="AF632" s="83"/>
      <c r="AG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16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  <c r="AD633" s="83"/>
      <c r="AE633" s="83"/>
      <c r="AF633" s="83"/>
      <c r="AG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16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  <c r="AD634" s="83"/>
      <c r="AE634" s="83"/>
      <c r="AF634" s="83"/>
      <c r="AG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16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  <c r="AD635" s="83"/>
      <c r="AE635" s="83"/>
      <c r="AF635" s="83"/>
      <c r="AG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16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3"/>
      <c r="AF636" s="83"/>
      <c r="AG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16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  <c r="AD637" s="83"/>
      <c r="AE637" s="83"/>
      <c r="AF637" s="83"/>
      <c r="AG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16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  <c r="AD638" s="83"/>
      <c r="AE638" s="83"/>
      <c r="AF638" s="83"/>
      <c r="AG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16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  <c r="AD639" s="83"/>
      <c r="AE639" s="83"/>
      <c r="AF639" s="83"/>
      <c r="AG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16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  <c r="AD640" s="83"/>
      <c r="AE640" s="83"/>
      <c r="AF640" s="83"/>
      <c r="AG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16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  <c r="AD641" s="83"/>
      <c r="AE641" s="83"/>
      <c r="AF641" s="83"/>
      <c r="AG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16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  <c r="AD642" s="83"/>
      <c r="AE642" s="83"/>
      <c r="AF642" s="83"/>
      <c r="AG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16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  <c r="AD643" s="83"/>
      <c r="AE643" s="83"/>
      <c r="AF643" s="83"/>
      <c r="AG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16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  <c r="AD644" s="83"/>
      <c r="AE644" s="83"/>
      <c r="AF644" s="83"/>
      <c r="AG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16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  <c r="AD645" s="83"/>
      <c r="AE645" s="83"/>
      <c r="AF645" s="83"/>
      <c r="AG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16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  <c r="AD646" s="83"/>
      <c r="AE646" s="83"/>
      <c r="AF646" s="83"/>
      <c r="AG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16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  <c r="AD647" s="83"/>
      <c r="AE647" s="83"/>
      <c r="AF647" s="83"/>
      <c r="AG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16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  <c r="AD648" s="83"/>
      <c r="AE648" s="83"/>
      <c r="AF648" s="83"/>
      <c r="AG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16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  <c r="AD649" s="83"/>
      <c r="AE649" s="83"/>
      <c r="AF649" s="83"/>
      <c r="AG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16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  <c r="AD650" s="83"/>
      <c r="AE650" s="83"/>
      <c r="AF650" s="83"/>
      <c r="AG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16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  <c r="AD651" s="83"/>
      <c r="AE651" s="83"/>
      <c r="AF651" s="83"/>
      <c r="AG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16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  <c r="AD652" s="83"/>
      <c r="AE652" s="83"/>
      <c r="AF652" s="83"/>
      <c r="AG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16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  <c r="AD653" s="83"/>
      <c r="AE653" s="83"/>
      <c r="AF653" s="83"/>
      <c r="AG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16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  <c r="AD654" s="83"/>
      <c r="AE654" s="83"/>
      <c r="AF654" s="83"/>
      <c r="AG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16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  <c r="AD655" s="83"/>
      <c r="AE655" s="83"/>
      <c r="AF655" s="83"/>
      <c r="AG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16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  <c r="AD656" s="83"/>
      <c r="AE656" s="83"/>
      <c r="AF656" s="83"/>
      <c r="AG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16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  <c r="AD657" s="83"/>
      <c r="AE657" s="83"/>
      <c r="AF657" s="83"/>
      <c r="AG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16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  <c r="AD658" s="83"/>
      <c r="AE658" s="83"/>
      <c r="AF658" s="83"/>
      <c r="AG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16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  <c r="AD659" s="83"/>
      <c r="AE659" s="83"/>
      <c r="AF659" s="83"/>
      <c r="AG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16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  <c r="AD660" s="83"/>
      <c r="AE660" s="83"/>
      <c r="AF660" s="83"/>
      <c r="AG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16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  <c r="AD661" s="83"/>
      <c r="AE661" s="83"/>
      <c r="AF661" s="83"/>
      <c r="AG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16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  <c r="AD662" s="83"/>
      <c r="AE662" s="83"/>
      <c r="AF662" s="83"/>
      <c r="AG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16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  <c r="AD663" s="83"/>
      <c r="AE663" s="83"/>
      <c r="AF663" s="83"/>
      <c r="AG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16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  <c r="AD664" s="83"/>
      <c r="AE664" s="83"/>
      <c r="AF664" s="83"/>
      <c r="AG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16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  <c r="AD665" s="83"/>
      <c r="AE665" s="83"/>
      <c r="AF665" s="83"/>
      <c r="AG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16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  <c r="AD666" s="83"/>
      <c r="AE666" s="83"/>
      <c r="AF666" s="83"/>
      <c r="AG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16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  <c r="AD667" s="83"/>
      <c r="AE667" s="83"/>
      <c r="AF667" s="83"/>
      <c r="AG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16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  <c r="AD668" s="83"/>
      <c r="AE668" s="83"/>
      <c r="AF668" s="83"/>
      <c r="AG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16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  <c r="AD669" s="83"/>
      <c r="AE669" s="83"/>
      <c r="AF669" s="83"/>
      <c r="AG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16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  <c r="AD670" s="83"/>
      <c r="AE670" s="83"/>
      <c r="AF670" s="83"/>
      <c r="AG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16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  <c r="AD671" s="83"/>
      <c r="AE671" s="83"/>
      <c r="AF671" s="83"/>
      <c r="AG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16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  <c r="AD672" s="83"/>
      <c r="AE672" s="83"/>
      <c r="AF672" s="83"/>
      <c r="AG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16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  <c r="AD673" s="83"/>
      <c r="AE673" s="83"/>
      <c r="AF673" s="83"/>
      <c r="AG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16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  <c r="AD674" s="83"/>
      <c r="AE674" s="83"/>
      <c r="AF674" s="83"/>
      <c r="AG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16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  <c r="AD675" s="83"/>
      <c r="AE675" s="83"/>
      <c r="AF675" s="83"/>
      <c r="AG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16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  <c r="AD676" s="83"/>
      <c r="AE676" s="83"/>
      <c r="AF676" s="83"/>
      <c r="AG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16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  <c r="AD677" s="83"/>
      <c r="AE677" s="83"/>
      <c r="AF677" s="83"/>
      <c r="AG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16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  <c r="AD678" s="83"/>
      <c r="AE678" s="83"/>
      <c r="AF678" s="83"/>
      <c r="AG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16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  <c r="AD679" s="83"/>
      <c r="AE679" s="83"/>
      <c r="AF679" s="83"/>
      <c r="AG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16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  <c r="AD680" s="83"/>
      <c r="AE680" s="83"/>
      <c r="AF680" s="83"/>
      <c r="AG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16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  <c r="AD681" s="83"/>
      <c r="AE681" s="83"/>
      <c r="AF681" s="83"/>
      <c r="AG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16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  <c r="AD682" s="83"/>
      <c r="AE682" s="83"/>
      <c r="AF682" s="83"/>
      <c r="AG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16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  <c r="AD683" s="83"/>
      <c r="AE683" s="83"/>
      <c r="AF683" s="83"/>
      <c r="AG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16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  <c r="AD684" s="83"/>
      <c r="AE684" s="83"/>
      <c r="AF684" s="83"/>
      <c r="AG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16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  <c r="AD685" s="83"/>
      <c r="AE685" s="83"/>
      <c r="AF685" s="83"/>
      <c r="AG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16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  <c r="AD686" s="83"/>
      <c r="AE686" s="83"/>
      <c r="AF686" s="83"/>
      <c r="AG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16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  <c r="AD687" s="83"/>
      <c r="AE687" s="83"/>
      <c r="AF687" s="83"/>
      <c r="AG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16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  <c r="AD688" s="83"/>
      <c r="AE688" s="83"/>
      <c r="AF688" s="83"/>
      <c r="AG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16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  <c r="AD689" s="83"/>
      <c r="AE689" s="83"/>
      <c r="AF689" s="83"/>
      <c r="AG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16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  <c r="AD690" s="83"/>
      <c r="AE690" s="83"/>
      <c r="AF690" s="83"/>
      <c r="AG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16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  <c r="AD691" s="83"/>
      <c r="AE691" s="83"/>
      <c r="AF691" s="83"/>
      <c r="AG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16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  <c r="AD692" s="83"/>
      <c r="AE692" s="83"/>
      <c r="AF692" s="83"/>
      <c r="AG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16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  <c r="AD693" s="83"/>
      <c r="AE693" s="83"/>
      <c r="AF693" s="83"/>
      <c r="AG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16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  <c r="AD694" s="83"/>
      <c r="AE694" s="83"/>
      <c r="AF694" s="83"/>
      <c r="AG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16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  <c r="AD695" s="83"/>
      <c r="AE695" s="83"/>
      <c r="AF695" s="83"/>
      <c r="AG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16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  <c r="AD696" s="83"/>
      <c r="AE696" s="83"/>
      <c r="AF696" s="83"/>
      <c r="AG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16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  <c r="AD697" s="83"/>
      <c r="AE697" s="83"/>
      <c r="AF697" s="83"/>
      <c r="AG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16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  <c r="AD698" s="83"/>
      <c r="AE698" s="83"/>
      <c r="AF698" s="83"/>
      <c r="AG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16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  <c r="AD699" s="83"/>
      <c r="AE699" s="83"/>
      <c r="AF699" s="83"/>
      <c r="AG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16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  <c r="AD700" s="83"/>
      <c r="AE700" s="83"/>
      <c r="AF700" s="83"/>
      <c r="AG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16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  <c r="AD701" s="83"/>
      <c r="AE701" s="83"/>
      <c r="AF701" s="83"/>
      <c r="AG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16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  <c r="AD702" s="83"/>
      <c r="AE702" s="83"/>
      <c r="AF702" s="83"/>
      <c r="AG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16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  <c r="AD703" s="83"/>
      <c r="AE703" s="83"/>
      <c r="AF703" s="83"/>
      <c r="AG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16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  <c r="AD704" s="83"/>
      <c r="AE704" s="83"/>
      <c r="AF704" s="83"/>
      <c r="AG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16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  <c r="AD705" s="83"/>
      <c r="AE705" s="83"/>
      <c r="AF705" s="83"/>
      <c r="AG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16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  <c r="AD706" s="83"/>
      <c r="AE706" s="83"/>
      <c r="AF706" s="83"/>
      <c r="AG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16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  <c r="AD707" s="83"/>
      <c r="AE707" s="83"/>
      <c r="AF707" s="83"/>
      <c r="AG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16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  <c r="AD708" s="83"/>
      <c r="AE708" s="83"/>
      <c r="AF708" s="83"/>
      <c r="AG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16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  <c r="AD709" s="83"/>
      <c r="AE709" s="83"/>
      <c r="AF709" s="83"/>
      <c r="AG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16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  <c r="AD710" s="83"/>
      <c r="AE710" s="83"/>
      <c r="AF710" s="83"/>
      <c r="AG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16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  <c r="AD711" s="83"/>
      <c r="AE711" s="83"/>
      <c r="AF711" s="83"/>
      <c r="AG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16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  <c r="AD712" s="83"/>
      <c r="AE712" s="83"/>
      <c r="AF712" s="83"/>
      <c r="AG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16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  <c r="AD713" s="83"/>
      <c r="AE713" s="83"/>
      <c r="AF713" s="83"/>
      <c r="AG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16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  <c r="AD714" s="83"/>
      <c r="AE714" s="83"/>
      <c r="AF714" s="83"/>
      <c r="AG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16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  <c r="AD715" s="83"/>
      <c r="AE715" s="83"/>
      <c r="AF715" s="83"/>
      <c r="AG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16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  <c r="AD716" s="83"/>
      <c r="AE716" s="83"/>
      <c r="AF716" s="83"/>
      <c r="AG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16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  <c r="AD717" s="83"/>
      <c r="AE717" s="83"/>
      <c r="AF717" s="83"/>
      <c r="AG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16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  <c r="AD718" s="83"/>
      <c r="AE718" s="83"/>
      <c r="AF718" s="83"/>
      <c r="AG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16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  <c r="AD719" s="83"/>
      <c r="AE719" s="83"/>
      <c r="AF719" s="83"/>
      <c r="AG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16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  <c r="AD720" s="83"/>
      <c r="AE720" s="83"/>
      <c r="AF720" s="83"/>
      <c r="AG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16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  <c r="AD721" s="83"/>
      <c r="AE721" s="83"/>
      <c r="AF721" s="83"/>
      <c r="AG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16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  <c r="AD722" s="83"/>
      <c r="AE722" s="83"/>
      <c r="AF722" s="83"/>
      <c r="AG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16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  <c r="AD723" s="83"/>
      <c r="AE723" s="83"/>
      <c r="AF723" s="83"/>
      <c r="AG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16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  <c r="AD724" s="83"/>
      <c r="AE724" s="83"/>
      <c r="AF724" s="83"/>
      <c r="AG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16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  <c r="AD725" s="83"/>
      <c r="AE725" s="83"/>
      <c r="AF725" s="83"/>
      <c r="AG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16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  <c r="AD726" s="83"/>
      <c r="AE726" s="83"/>
      <c r="AF726" s="83"/>
      <c r="AG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16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  <c r="AD727" s="83"/>
      <c r="AE727" s="83"/>
      <c r="AF727" s="83"/>
      <c r="AG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16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  <c r="AD728" s="83"/>
      <c r="AE728" s="83"/>
      <c r="AF728" s="83"/>
      <c r="AG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16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  <c r="AD729" s="83"/>
      <c r="AE729" s="83"/>
      <c r="AF729" s="83"/>
      <c r="AG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16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  <c r="AD730" s="83"/>
      <c r="AE730" s="83"/>
      <c r="AF730" s="83"/>
      <c r="AG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16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  <c r="AD731" s="83"/>
      <c r="AE731" s="83"/>
      <c r="AF731" s="83"/>
      <c r="AG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16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  <c r="AD732" s="83"/>
      <c r="AE732" s="83"/>
      <c r="AF732" s="83"/>
      <c r="AG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16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  <c r="AD733" s="83"/>
      <c r="AE733" s="83"/>
      <c r="AF733" s="83"/>
      <c r="AG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16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  <c r="AD734" s="83"/>
      <c r="AE734" s="83"/>
      <c r="AF734" s="83"/>
      <c r="AG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16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  <c r="AD735" s="83"/>
      <c r="AE735" s="83"/>
      <c r="AF735" s="83"/>
      <c r="AG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16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  <c r="AD736" s="83"/>
      <c r="AE736" s="83"/>
      <c r="AF736" s="83"/>
      <c r="AG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16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  <c r="AD737" s="83"/>
      <c r="AE737" s="83"/>
      <c r="AF737" s="83"/>
      <c r="AG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16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  <c r="AD738" s="83"/>
      <c r="AE738" s="83"/>
      <c r="AF738" s="83"/>
      <c r="AG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16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  <c r="AD739" s="83"/>
      <c r="AE739" s="83"/>
      <c r="AF739" s="83"/>
      <c r="AG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16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  <c r="AD740" s="83"/>
      <c r="AE740" s="83"/>
      <c r="AF740" s="83"/>
      <c r="AG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16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  <c r="AD741" s="83"/>
      <c r="AE741" s="83"/>
      <c r="AF741" s="83"/>
      <c r="AG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16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  <c r="AD742" s="83"/>
      <c r="AE742" s="83"/>
      <c r="AF742" s="83"/>
      <c r="AG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16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  <c r="AD743" s="83"/>
      <c r="AE743" s="83"/>
      <c r="AF743" s="83"/>
      <c r="AG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16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  <c r="AD744" s="83"/>
      <c r="AE744" s="83"/>
      <c r="AF744" s="83"/>
      <c r="AG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16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  <c r="AD745" s="83"/>
      <c r="AE745" s="83"/>
      <c r="AF745" s="83"/>
      <c r="AG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16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  <c r="AD746" s="83"/>
      <c r="AE746" s="83"/>
      <c r="AF746" s="83"/>
      <c r="AG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16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  <c r="AD747" s="83"/>
      <c r="AE747" s="83"/>
      <c r="AF747" s="83"/>
      <c r="AG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16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  <c r="AD748" s="83"/>
      <c r="AE748" s="83"/>
      <c r="AF748" s="83"/>
      <c r="AG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16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  <c r="AD749" s="83"/>
      <c r="AE749" s="83"/>
      <c r="AF749" s="83"/>
      <c r="AG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16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  <c r="AD750" s="83"/>
      <c r="AE750" s="83"/>
      <c r="AF750" s="83"/>
      <c r="AG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16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  <c r="AD751" s="83"/>
      <c r="AE751" s="83"/>
      <c r="AF751" s="83"/>
      <c r="AG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16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  <c r="AD752" s="83"/>
      <c r="AE752" s="83"/>
      <c r="AF752" s="83"/>
      <c r="AG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16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  <c r="AD753" s="83"/>
      <c r="AE753" s="83"/>
      <c r="AF753" s="83"/>
      <c r="AG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16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  <c r="AD754" s="83"/>
      <c r="AE754" s="83"/>
      <c r="AF754" s="83"/>
      <c r="AG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16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  <c r="AD755" s="83"/>
      <c r="AE755" s="83"/>
      <c r="AF755" s="83"/>
      <c r="AG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16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  <c r="AD756" s="83"/>
      <c r="AE756" s="83"/>
      <c r="AF756" s="83"/>
      <c r="AG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16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  <c r="AD757" s="83"/>
      <c r="AE757" s="83"/>
      <c r="AF757" s="83"/>
      <c r="AG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16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  <c r="AD758" s="83"/>
      <c r="AE758" s="83"/>
      <c r="AF758" s="83"/>
      <c r="AG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16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  <c r="AD759" s="83"/>
      <c r="AE759" s="83"/>
      <c r="AF759" s="83"/>
      <c r="AG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16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  <c r="AD760" s="83"/>
      <c r="AE760" s="83"/>
      <c r="AF760" s="83"/>
      <c r="AG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16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  <c r="AD761" s="83"/>
      <c r="AE761" s="83"/>
      <c r="AF761" s="83"/>
      <c r="AG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16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  <c r="AD762" s="83"/>
      <c r="AE762" s="83"/>
      <c r="AF762" s="83"/>
      <c r="AG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16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  <c r="AD763" s="83"/>
      <c r="AE763" s="83"/>
      <c r="AF763" s="83"/>
      <c r="AG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16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  <c r="AD764" s="83"/>
      <c r="AE764" s="83"/>
      <c r="AF764" s="83"/>
      <c r="AG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16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  <c r="AD765" s="83"/>
      <c r="AE765" s="83"/>
      <c r="AF765" s="83"/>
      <c r="AG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16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  <c r="AD766" s="83"/>
      <c r="AE766" s="83"/>
      <c r="AF766" s="83"/>
      <c r="AG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16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  <c r="AD767" s="83"/>
      <c r="AE767" s="83"/>
      <c r="AF767" s="83"/>
      <c r="AG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16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  <c r="AD768" s="83"/>
      <c r="AE768" s="83"/>
      <c r="AF768" s="83"/>
      <c r="AG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16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  <c r="AF769" s="83"/>
      <c r="AG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16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  <c r="AF770" s="83"/>
      <c r="AG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16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  <c r="AF771" s="83"/>
      <c r="AG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16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  <c r="AF772" s="83"/>
      <c r="AG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16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  <c r="AF773" s="83"/>
      <c r="AG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16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  <c r="AF774" s="83"/>
      <c r="AG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16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  <c r="AF775" s="83"/>
      <c r="AG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16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  <c r="AF776" s="83"/>
      <c r="AG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16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  <c r="AF777" s="83"/>
      <c r="AG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16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  <c r="AF778" s="83"/>
      <c r="AG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16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  <c r="AF779" s="83"/>
      <c r="AG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16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  <c r="AF780" s="83"/>
      <c r="AG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16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  <c r="AF781" s="83"/>
      <c r="AG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16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  <c r="AF782" s="83"/>
      <c r="AG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16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  <c r="AF783" s="83"/>
      <c r="AG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16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  <c r="AF784" s="83"/>
      <c r="AG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16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  <c r="AF785" s="83"/>
      <c r="AG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16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  <c r="AF786" s="83"/>
      <c r="AG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16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  <c r="AF787" s="83"/>
      <c r="AG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16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  <c r="AF788" s="83"/>
      <c r="AG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16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  <c r="AF789" s="83"/>
      <c r="AG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16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  <c r="AF790" s="83"/>
      <c r="AG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16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  <c r="AD791" s="83"/>
      <c r="AE791" s="83"/>
      <c r="AF791" s="83"/>
      <c r="AG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16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  <c r="AD792" s="83"/>
      <c r="AE792" s="83"/>
      <c r="AF792" s="83"/>
      <c r="AG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16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  <c r="AD793" s="83"/>
      <c r="AE793" s="83"/>
      <c r="AF793" s="83"/>
      <c r="AG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16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  <c r="AD794" s="83"/>
      <c r="AE794" s="83"/>
      <c r="AF794" s="83"/>
      <c r="AG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16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  <c r="AD795" s="83"/>
      <c r="AE795" s="83"/>
      <c r="AF795" s="83"/>
      <c r="AG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16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  <c r="AD796" s="83"/>
      <c r="AE796" s="83"/>
      <c r="AF796" s="83"/>
      <c r="AG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16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  <c r="AD797" s="83"/>
      <c r="AE797" s="83"/>
      <c r="AF797" s="83"/>
      <c r="AG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16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  <c r="AD798" s="83"/>
      <c r="AE798" s="83"/>
      <c r="AF798" s="83"/>
      <c r="AG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16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  <c r="AD799" s="83"/>
      <c r="AE799" s="83"/>
      <c r="AF799" s="83"/>
      <c r="AG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16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  <c r="AD800" s="83"/>
      <c r="AE800" s="83"/>
      <c r="AF800" s="83"/>
      <c r="AG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16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  <c r="AD801" s="83"/>
      <c r="AE801" s="83"/>
      <c r="AF801" s="83"/>
      <c r="AG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16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  <c r="AD802" s="83"/>
      <c r="AE802" s="83"/>
      <c r="AF802" s="83"/>
      <c r="AG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16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  <c r="AD803" s="83"/>
      <c r="AE803" s="83"/>
      <c r="AF803" s="83"/>
      <c r="AG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16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  <c r="AD804" s="83"/>
      <c r="AE804" s="83"/>
      <c r="AF804" s="83"/>
      <c r="AG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16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  <c r="AD805" s="83"/>
      <c r="AE805" s="83"/>
      <c r="AF805" s="83"/>
      <c r="AG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16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  <c r="AD806" s="83"/>
      <c r="AE806" s="83"/>
      <c r="AF806" s="83"/>
      <c r="AG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16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  <c r="AD807" s="83"/>
      <c r="AE807" s="83"/>
      <c r="AF807" s="83"/>
      <c r="AG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16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  <c r="AD808" s="83"/>
      <c r="AE808" s="83"/>
      <c r="AF808" s="83"/>
      <c r="AG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16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  <c r="AD809" s="83"/>
      <c r="AE809" s="83"/>
      <c r="AF809" s="83"/>
      <c r="AG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16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  <c r="AD810" s="83"/>
      <c r="AE810" s="83"/>
      <c r="AF810" s="83"/>
      <c r="AG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16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  <c r="AD811" s="83"/>
      <c r="AE811" s="83"/>
      <c r="AF811" s="83"/>
      <c r="AG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16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  <c r="AD812" s="83"/>
      <c r="AE812" s="83"/>
      <c r="AF812" s="83"/>
      <c r="AG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16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  <c r="AD813" s="83"/>
      <c r="AE813" s="83"/>
      <c r="AF813" s="83"/>
      <c r="AG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16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  <c r="AD814" s="83"/>
      <c r="AE814" s="83"/>
      <c r="AF814" s="83"/>
      <c r="AG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16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  <c r="AD815" s="83"/>
      <c r="AE815" s="83"/>
      <c r="AF815" s="83"/>
      <c r="AG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16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  <c r="AD816" s="83"/>
      <c r="AE816" s="83"/>
      <c r="AF816" s="83"/>
      <c r="AG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16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  <c r="AD817" s="83"/>
      <c r="AE817" s="83"/>
      <c r="AF817" s="83"/>
      <c r="AG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16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  <c r="AD818" s="83"/>
      <c r="AE818" s="83"/>
      <c r="AF818" s="83"/>
      <c r="AG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16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  <c r="AD819" s="83"/>
      <c r="AE819" s="83"/>
      <c r="AF819" s="83"/>
      <c r="AG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16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  <c r="AD820" s="83"/>
      <c r="AE820" s="83"/>
      <c r="AF820" s="83"/>
      <c r="AG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16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  <c r="AD821" s="83"/>
      <c r="AE821" s="83"/>
      <c r="AF821" s="83"/>
      <c r="AG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16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  <c r="AD822" s="83"/>
      <c r="AE822" s="83"/>
      <c r="AF822" s="83"/>
      <c r="AG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16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  <c r="AD823" s="83"/>
      <c r="AE823" s="83"/>
      <c r="AF823" s="83"/>
      <c r="AG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16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  <c r="AD824" s="83"/>
      <c r="AE824" s="83"/>
      <c r="AF824" s="83"/>
      <c r="AG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16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  <c r="AD825" s="83"/>
      <c r="AE825" s="83"/>
      <c r="AF825" s="83"/>
      <c r="AG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16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  <c r="AD826" s="83"/>
      <c r="AE826" s="83"/>
      <c r="AF826" s="83"/>
      <c r="AG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16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  <c r="AD827" s="83"/>
      <c r="AE827" s="83"/>
      <c r="AF827" s="83"/>
      <c r="AG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16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  <c r="AD828" s="83"/>
      <c r="AE828" s="83"/>
      <c r="AF828" s="83"/>
      <c r="AG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16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  <c r="AD829" s="83"/>
      <c r="AE829" s="83"/>
      <c r="AF829" s="83"/>
      <c r="AG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16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  <c r="AD830" s="83"/>
      <c r="AE830" s="83"/>
      <c r="AF830" s="83"/>
      <c r="AG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16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  <c r="AD831" s="83"/>
      <c r="AE831" s="83"/>
      <c r="AF831" s="83"/>
      <c r="AG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16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  <c r="AD832" s="83"/>
      <c r="AE832" s="83"/>
      <c r="AF832" s="83"/>
      <c r="AG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16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  <c r="AD833" s="83"/>
      <c r="AE833" s="83"/>
      <c r="AF833" s="83"/>
      <c r="AG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16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  <c r="AD834" s="83"/>
      <c r="AE834" s="83"/>
      <c r="AF834" s="83"/>
      <c r="AG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16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  <c r="AD835" s="83"/>
      <c r="AE835" s="83"/>
      <c r="AF835" s="83"/>
      <c r="AG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16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  <c r="AD836" s="83"/>
      <c r="AE836" s="83"/>
      <c r="AF836" s="83"/>
      <c r="AG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16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  <c r="AD837" s="83"/>
      <c r="AE837" s="83"/>
      <c r="AF837" s="83"/>
      <c r="AG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16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  <c r="AD838" s="83"/>
      <c r="AE838" s="83"/>
      <c r="AF838" s="83"/>
      <c r="AG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16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  <c r="AD839" s="83"/>
      <c r="AE839" s="83"/>
      <c r="AF839" s="83"/>
      <c r="AG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16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  <c r="AD840" s="83"/>
      <c r="AE840" s="83"/>
      <c r="AF840" s="83"/>
      <c r="AG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16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  <c r="AD841" s="83"/>
      <c r="AE841" s="83"/>
      <c r="AF841" s="83"/>
      <c r="AG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16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  <c r="AD842" s="83"/>
      <c r="AE842" s="83"/>
      <c r="AF842" s="83"/>
      <c r="AG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16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  <c r="AD843" s="83"/>
      <c r="AE843" s="83"/>
      <c r="AF843" s="83"/>
      <c r="AG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16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  <c r="AD844" s="83"/>
      <c r="AE844" s="83"/>
      <c r="AF844" s="83"/>
      <c r="AG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16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  <c r="AD845" s="83"/>
      <c r="AE845" s="83"/>
      <c r="AF845" s="83"/>
      <c r="AG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16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  <c r="AD846" s="83"/>
      <c r="AE846" s="83"/>
      <c r="AF846" s="83"/>
      <c r="AG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16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  <c r="AD847" s="83"/>
      <c r="AE847" s="83"/>
      <c r="AF847" s="83"/>
      <c r="AG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16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  <c r="AD848" s="83"/>
      <c r="AE848" s="83"/>
      <c r="AF848" s="83"/>
      <c r="AG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16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  <c r="AD849" s="83"/>
      <c r="AE849" s="83"/>
      <c r="AF849" s="83"/>
      <c r="AG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16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  <c r="AD850" s="83"/>
      <c r="AE850" s="83"/>
      <c r="AF850" s="83"/>
      <c r="AG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16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  <c r="AD851" s="83"/>
      <c r="AE851" s="83"/>
      <c r="AF851" s="83"/>
      <c r="AG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16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  <c r="AD852" s="83"/>
      <c r="AE852" s="83"/>
      <c r="AF852" s="83"/>
      <c r="AG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16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  <c r="AD853" s="83"/>
      <c r="AE853" s="83"/>
      <c r="AF853" s="83"/>
      <c r="AG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16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  <c r="AD854" s="83"/>
      <c r="AE854" s="83"/>
      <c r="AF854" s="83"/>
      <c r="AG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16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  <c r="AD855" s="83"/>
      <c r="AE855" s="83"/>
      <c r="AF855" s="83"/>
      <c r="AG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16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  <c r="AD856" s="83"/>
      <c r="AE856" s="83"/>
      <c r="AF856" s="83"/>
      <c r="AG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16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  <c r="AD857" s="83"/>
      <c r="AE857" s="83"/>
      <c r="AF857" s="83"/>
      <c r="AG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16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  <c r="AD858" s="83"/>
      <c r="AE858" s="83"/>
      <c r="AF858" s="83"/>
      <c r="AG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16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  <c r="AD859" s="83"/>
      <c r="AE859" s="83"/>
      <c r="AF859" s="83"/>
      <c r="AG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16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  <c r="AD860" s="83"/>
      <c r="AE860" s="83"/>
      <c r="AF860" s="83"/>
      <c r="AG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16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  <c r="AD861" s="83"/>
      <c r="AE861" s="83"/>
      <c r="AF861" s="83"/>
      <c r="AG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16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  <c r="AD862" s="83"/>
      <c r="AE862" s="83"/>
      <c r="AF862" s="83"/>
      <c r="AG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16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  <c r="AD863" s="83"/>
      <c r="AE863" s="83"/>
      <c r="AF863" s="83"/>
      <c r="AG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16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  <c r="AD864" s="83"/>
      <c r="AE864" s="83"/>
      <c r="AF864" s="83"/>
      <c r="AG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16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  <c r="AD865" s="83"/>
      <c r="AE865" s="83"/>
      <c r="AF865" s="83"/>
      <c r="AG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16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  <c r="AD866" s="83"/>
      <c r="AE866" s="83"/>
      <c r="AF866" s="83"/>
      <c r="AG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16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  <c r="AD867" s="83"/>
      <c r="AE867" s="83"/>
      <c r="AF867" s="83"/>
      <c r="AG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16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  <c r="AD868" s="83"/>
      <c r="AE868" s="83"/>
      <c r="AF868" s="83"/>
      <c r="AG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16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  <c r="AD869" s="83"/>
      <c r="AE869" s="83"/>
      <c r="AF869" s="83"/>
      <c r="AG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16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  <c r="AD870" s="83"/>
      <c r="AE870" s="83"/>
      <c r="AF870" s="83"/>
      <c r="AG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16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  <c r="AD871" s="83"/>
      <c r="AE871" s="83"/>
      <c r="AF871" s="83"/>
      <c r="AG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16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  <c r="AD872" s="83"/>
      <c r="AE872" s="83"/>
      <c r="AF872" s="83"/>
      <c r="AG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16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  <c r="AD873" s="83"/>
      <c r="AE873" s="83"/>
      <c r="AF873" s="83"/>
      <c r="AG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16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  <c r="AD874" s="83"/>
      <c r="AE874" s="83"/>
      <c r="AF874" s="83"/>
      <c r="AG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16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  <c r="AD875" s="83"/>
      <c r="AE875" s="83"/>
      <c r="AF875" s="83"/>
      <c r="AG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16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  <c r="AD876" s="83"/>
      <c r="AE876" s="83"/>
      <c r="AF876" s="83"/>
      <c r="AG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16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  <c r="AD877" s="83"/>
      <c r="AE877" s="83"/>
      <c r="AF877" s="83"/>
      <c r="AG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16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  <c r="AD878" s="83"/>
      <c r="AE878" s="83"/>
      <c r="AF878" s="83"/>
      <c r="AG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16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  <c r="AD879" s="83"/>
      <c r="AE879" s="83"/>
      <c r="AF879" s="83"/>
      <c r="AG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16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  <c r="AD880" s="83"/>
      <c r="AE880" s="83"/>
      <c r="AF880" s="83"/>
      <c r="AG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16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  <c r="AD881" s="83"/>
      <c r="AE881" s="83"/>
      <c r="AF881" s="83"/>
      <c r="AG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16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  <c r="AD882" s="83"/>
      <c r="AE882" s="83"/>
      <c r="AF882" s="83"/>
      <c r="AG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16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  <c r="AD883" s="83"/>
      <c r="AE883" s="83"/>
      <c r="AF883" s="83"/>
      <c r="AG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16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  <c r="AD884" s="83"/>
      <c r="AE884" s="83"/>
      <c r="AF884" s="83"/>
      <c r="AG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16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  <c r="AD885" s="83"/>
      <c r="AE885" s="83"/>
      <c r="AF885" s="83"/>
      <c r="AG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16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  <c r="AD886" s="83"/>
      <c r="AE886" s="83"/>
      <c r="AF886" s="83"/>
      <c r="AG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16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  <c r="AD887" s="83"/>
      <c r="AE887" s="83"/>
      <c r="AF887" s="83"/>
      <c r="AG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16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  <c r="AD888" s="83"/>
      <c r="AE888" s="83"/>
      <c r="AF888" s="83"/>
      <c r="AG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16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  <c r="AD889" s="83"/>
      <c r="AE889" s="83"/>
      <c r="AF889" s="83"/>
      <c r="AG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16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  <c r="AD890" s="83"/>
      <c r="AE890" s="83"/>
      <c r="AF890" s="83"/>
      <c r="AG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16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  <c r="AD891" s="83"/>
      <c r="AE891" s="83"/>
      <c r="AF891" s="83"/>
      <c r="AG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16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  <c r="AD892" s="83"/>
      <c r="AE892" s="83"/>
      <c r="AF892" s="83"/>
      <c r="AG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16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  <c r="AD893" s="83"/>
      <c r="AE893" s="83"/>
      <c r="AF893" s="83"/>
      <c r="AG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16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  <c r="AD894" s="83"/>
      <c r="AE894" s="83"/>
      <c r="AF894" s="83"/>
      <c r="AG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16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  <c r="AD895" s="83"/>
      <c r="AE895" s="83"/>
      <c r="AF895" s="83"/>
      <c r="AG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16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  <c r="AD896" s="83"/>
      <c r="AE896" s="83"/>
      <c r="AF896" s="83"/>
      <c r="AG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16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  <c r="AD897" s="83"/>
      <c r="AE897" s="83"/>
      <c r="AF897" s="83"/>
      <c r="AG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16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  <c r="AD898" s="83"/>
      <c r="AE898" s="83"/>
      <c r="AF898" s="83"/>
      <c r="AG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16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3"/>
      <c r="AF899" s="83"/>
      <c r="AG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16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  <c r="AD900" s="83"/>
      <c r="AE900" s="83"/>
      <c r="AF900" s="83"/>
      <c r="AG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16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  <c r="AD901" s="83"/>
      <c r="AE901" s="83"/>
      <c r="AF901" s="83"/>
      <c r="AG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16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  <c r="AD902" s="83"/>
      <c r="AE902" s="83"/>
      <c r="AF902" s="83"/>
      <c r="AG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16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  <c r="AD903" s="83"/>
      <c r="AE903" s="83"/>
      <c r="AF903" s="83"/>
      <c r="AG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16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  <c r="AD904" s="83"/>
      <c r="AE904" s="83"/>
      <c r="AF904" s="83"/>
      <c r="AG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16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  <c r="AD905" s="83"/>
      <c r="AE905" s="83"/>
      <c r="AF905" s="83"/>
      <c r="AG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16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  <c r="AD906" s="83"/>
      <c r="AE906" s="83"/>
      <c r="AF906" s="83"/>
      <c r="AG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16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  <c r="AD907" s="83"/>
      <c r="AE907" s="83"/>
      <c r="AF907" s="83"/>
      <c r="AG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16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  <c r="AD908" s="83"/>
      <c r="AE908" s="83"/>
      <c r="AF908" s="83"/>
      <c r="AG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16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  <c r="AD909" s="83"/>
      <c r="AE909" s="83"/>
      <c r="AF909" s="83"/>
      <c r="AG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16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  <c r="AD910" s="83"/>
      <c r="AE910" s="83"/>
      <c r="AF910" s="83"/>
      <c r="AG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16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  <c r="AD911" s="83"/>
      <c r="AE911" s="83"/>
      <c r="AF911" s="83"/>
      <c r="AG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16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  <c r="AD912" s="83"/>
      <c r="AE912" s="83"/>
      <c r="AF912" s="83"/>
      <c r="AG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16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  <c r="AD913" s="83"/>
      <c r="AE913" s="83"/>
      <c r="AF913" s="83"/>
      <c r="AG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16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  <c r="AD914" s="83"/>
      <c r="AE914" s="83"/>
      <c r="AF914" s="83"/>
      <c r="AG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16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  <c r="AD915" s="83"/>
      <c r="AE915" s="83"/>
      <c r="AF915" s="83"/>
      <c r="AG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16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  <c r="AD916" s="83"/>
      <c r="AE916" s="83"/>
      <c r="AF916" s="83"/>
      <c r="AG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16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  <c r="AD917" s="83"/>
      <c r="AE917" s="83"/>
      <c r="AF917" s="83"/>
      <c r="AG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16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  <c r="AD918" s="83"/>
      <c r="AE918" s="83"/>
      <c r="AF918" s="83"/>
      <c r="AG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16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  <c r="AD919" s="83"/>
      <c r="AE919" s="83"/>
      <c r="AF919" s="83"/>
      <c r="AG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16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  <c r="AD920" s="83"/>
      <c r="AE920" s="83"/>
      <c r="AF920" s="83"/>
      <c r="AG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16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  <c r="AD921" s="83"/>
      <c r="AE921" s="83"/>
      <c r="AF921" s="83"/>
      <c r="AG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16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  <c r="AD922" s="83"/>
      <c r="AE922" s="83"/>
      <c r="AF922" s="83"/>
      <c r="AG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16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  <c r="AD923" s="83"/>
      <c r="AE923" s="83"/>
      <c r="AF923" s="83"/>
      <c r="AG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16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  <c r="AD924" s="83"/>
      <c r="AE924" s="83"/>
      <c r="AF924" s="83"/>
      <c r="AG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16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  <c r="AD925" s="83"/>
      <c r="AE925" s="83"/>
      <c r="AF925" s="83"/>
      <c r="AG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16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  <c r="AD926" s="83"/>
      <c r="AE926" s="83"/>
      <c r="AF926" s="83"/>
      <c r="AG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16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  <c r="AD927" s="83"/>
      <c r="AE927" s="83"/>
      <c r="AF927" s="83"/>
      <c r="AG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16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  <c r="AD928" s="83"/>
      <c r="AE928" s="83"/>
      <c r="AF928" s="83"/>
      <c r="AG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16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  <c r="AD929" s="83"/>
      <c r="AE929" s="83"/>
      <c r="AF929" s="83"/>
      <c r="AG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16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  <c r="AD930" s="83"/>
      <c r="AE930" s="83"/>
      <c r="AF930" s="83"/>
      <c r="AG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16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  <c r="AD931" s="83"/>
      <c r="AE931" s="83"/>
      <c r="AF931" s="83"/>
      <c r="AG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16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  <c r="AD932" s="83"/>
      <c r="AE932" s="83"/>
      <c r="AF932" s="83"/>
      <c r="AG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16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  <c r="AD933" s="83"/>
      <c r="AE933" s="83"/>
      <c r="AF933" s="83"/>
      <c r="AG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16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  <c r="AD934" s="83"/>
      <c r="AE934" s="83"/>
      <c r="AF934" s="83"/>
      <c r="AG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16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  <c r="AD935" s="83"/>
      <c r="AE935" s="83"/>
      <c r="AF935" s="83"/>
      <c r="AG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16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  <c r="AD936" s="83"/>
      <c r="AE936" s="83"/>
      <c r="AF936" s="83"/>
      <c r="AG936" s="83"/>
    </row>
    <row r="937">
      <c r="A937" s="83"/>
      <c r="B937" s="83"/>
      <c r="C937" s="133"/>
      <c r="D937" s="133"/>
      <c r="E937" s="133"/>
      <c r="F937" s="133"/>
      <c r="G937" s="133"/>
      <c r="H937" s="133"/>
      <c r="I937" s="133"/>
      <c r="J937" s="133"/>
      <c r="K937" s="133"/>
      <c r="L937" s="16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  <c r="AD937" s="133"/>
      <c r="AE937" s="133"/>
      <c r="AF937" s="133"/>
      <c r="AG937" s="133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