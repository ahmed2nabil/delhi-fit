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<sst xmlns="http://schemas.openxmlformats.org/spreadsheetml/2006/main" count="1193" uniqueCount="143">
  <si>
    <t>الاسبوع 1</t>
  </si>
  <si>
    <t>الاسبوع 2</t>
  </si>
  <si>
    <t>الاسبوع 3</t>
  </si>
  <si>
    <t>الاسبوع 4</t>
  </si>
  <si>
    <t>اليوم 1-جزء سفلي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</si>
  <si>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</si>
  <si>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</si>
  <si>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</si>
  <si>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</si>
  <si>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</si>
  <si>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</si>
  <si>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</si>
  <si>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</si>
  <si>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</si>
  <si>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Goblet squat</t>
  </si>
  <si>
    <t>8--10</t>
  </si>
  <si>
    <t>Hip Thrusts</t>
  </si>
  <si>
    <t>10--12</t>
  </si>
  <si>
    <t>Leg Extensions</t>
  </si>
  <si>
    <t>ثبات ثانية بالاعلى والرجوع على ثانيتين</t>
  </si>
  <si>
    <t>Laying Leg Curls</t>
  </si>
  <si>
    <t>Hip adduction</t>
  </si>
  <si>
    <t>Plank</t>
  </si>
  <si>
    <t>15-50sec</t>
  </si>
  <si>
    <t xml:space="preserve">سوي اول تمرين يظهر لك فقط </t>
  </si>
  <si>
    <t>يوم راحة</t>
  </si>
  <si>
    <t>اليوم 2- جزء علوي</t>
  </si>
  <si>
    <t>الثلاثاء</t>
  </si>
  <si>
    <t>Lats  Pulldown</t>
  </si>
  <si>
    <t>Dumbbell Press</t>
  </si>
  <si>
    <t>Lateral Raise</t>
  </si>
  <si>
    <t>Dumbbell Curls</t>
  </si>
  <si>
    <t>Triceps Push Downs</t>
  </si>
  <si>
    <t>كارديو</t>
  </si>
  <si>
    <t>15 دقيقة</t>
  </si>
  <si>
    <t>متوسطة</t>
  </si>
  <si>
    <t xml:space="preserve">الجهاز المفضل </t>
  </si>
  <si>
    <t>اليوم 3- فل بودي</t>
  </si>
  <si>
    <t>الخميس</t>
  </si>
  <si>
    <t>Seated Cable Rows</t>
  </si>
  <si>
    <t>Leg press 45 Degrees</t>
  </si>
  <si>
    <t>Machine Incline Press</t>
  </si>
  <si>
    <t>45 Degrees Glute Extensions</t>
  </si>
  <si>
    <t>Standing calves raises</t>
  </si>
  <si>
    <t>STANDING CABLE ROTATION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</si>
  <si>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</si>
  <si>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</si>
  <si>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</si>
  <si>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</si>
  <si>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</si>
  <si>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</si>
  <si>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</si>
  <si>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</si>
  <si>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</si>
  <si>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</si>
  <si>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</si>
  <si>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</si>
  <si>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</si>
  <si>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</si>
  <si>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</si>
  <si>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</si>
  <si>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</si>
  <si>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</si>
  <si>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</si>
  <si>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</si>
  <si>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</si>
  <si>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</si>
  <si>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</si>
  <si>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</si>
  <si>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</si>
  <si>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</si>
  <si>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</si>
  <si>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</si>
  <si>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</si>
  <si>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</si>
  <si>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</si>
  <si>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</si>
  <si>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</si>
  <si>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</si>
  <si>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Shoulder press</t>
  </si>
  <si>
    <t>Single Arm Lateral raises</t>
  </si>
  <si>
    <t>اليوم 2-فل بودي سحب</t>
  </si>
  <si>
    <t>الاثنين</t>
  </si>
  <si>
    <t>Hammer strength plate loaded lat row</t>
  </si>
  <si>
    <t>Machine Rear delts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</si>
  <si>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</si>
  <si>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</si>
  <si>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</si>
  <si>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</si>
  <si>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</si>
  <si>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</si>
  <si>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Hammer Curl</t>
  </si>
  <si>
    <t>اليوم 4- جزء سفلي</t>
  </si>
  <si>
    <t>Hack Squats</t>
  </si>
  <si>
    <t>Dumbbell Glutes Bridge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</si>
  <si>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</si>
  <si>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</si>
  <si>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</si>
  <si>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</si>
  <si>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</si>
  <si>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</si>
  <si>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</si>
  <si>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شرح ملف المتابعه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</si>
  <si>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</si>
  <si>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</si>
  <si>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</si>
  <si>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</si>
  <si>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</si>
  <si>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</si>
  <si>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</si>
  <si>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</si>
  <si>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</si>
  <si>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</si>
  <si>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</si>
  <si>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</si>
  <si>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</si>
  <si>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</si>
  <si>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</si>
  <si>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</si>
  <si>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</si>
  <si>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</si>
  <si>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</si>
  <si>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</si>
  <si>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</si>
  <si>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</si>
  <si>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</si>
  <si>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 xml:space="preserve">الحوض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</si>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</sst>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0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 vertical="center"/>
    </xf>
    <xf borderId="0" fillId="2" fontId="11" numFmtId="0" xfId="0" applyAlignment="1" applyFont="1">
      <alignment horizontal="center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3" numFmtId="0" xfId="0" applyAlignment="1" applyFont="1">
      <alignment horizontal="center" readingOrder="0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9" fillId="7" fontId="1" numFmtId="166" xfId="0" applyAlignment="1" applyBorder="1" applyFont="1" applyNumberForma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1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2" fontId="23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2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0" fillId="2" fontId="30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9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2" fontId="32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3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4" numFmtId="0" xfId="0" applyAlignment="1" applyBorder="1" applyFont="1">
      <alignment horizontal="center" readingOrder="0" vertical="center"/>
    </xf>
    <xf borderId="8" fillId="2" fontId="35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6" numFmtId="0" xfId="0" applyAlignment="1" applyBorder="1" applyFont="1">
      <alignment horizontal="center" readingOrder="0" shrinkToFit="0" vertical="center" wrapText="0"/>
    </xf>
    <xf borderId="9" fillId="2" fontId="37" numFmtId="0" xfId="0" applyAlignment="1" applyBorder="1" applyFont="1">
      <alignment horizontal="center" shrinkToFit="0" vertical="center" wrapText="0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8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6" numFmtId="0" xfId="0" applyAlignment="1" applyFill="1" applyFont="1">
      <alignment horizontal="center" readingOrder="0" vertical="center"/>
    </xf>
    <xf borderId="0" fillId="2" fontId="39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0" vertical="center"/>
    </xf>
    <xf borderId="0" fillId="2" fontId="39" numFmtId="167" xfId="0" applyAlignment="1" applyFont="1" applyNumberFormat="1">
      <alignment horizontal="center" readingOrder="2" vertical="center"/>
    </xf>
    <xf borderId="4" fillId="2" fontId="27" numFmtId="0" xfId="0" applyAlignment="1" applyBorder="1" applyFont="1">
      <alignment horizontal="center" readingOrder="0" vertical="center"/>
    </xf>
    <xf borderId="0" fillId="2" fontId="40" numFmtId="167" xfId="0" applyAlignment="1" applyFont="1" applyNumberFormat="1">
      <alignment horizontal="center" readingOrder="0" vertical="center"/>
    </xf>
    <xf borderId="0" fillId="0" fontId="28" numFmtId="0" xfId="0" applyAlignment="1" applyFont="1">
      <alignment horizontal="center" vertical="center"/>
    </xf>
    <xf borderId="0" fillId="0" fontId="41" numFmtId="167" xfId="0" applyAlignment="1" applyFont="1" applyNumberForma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0" fontId="41" numFmtId="0" xfId="0" applyAlignment="1" applyFont="1">
      <alignment horizontal="center" vertical="center"/>
    </xf>
    <xf borderId="4" fillId="3" fontId="42" numFmtId="0" xfId="0" applyAlignment="1" applyBorder="1" applyFont="1">
      <alignment horizontal="center" readingOrder="0" vertical="center"/>
    </xf>
    <xf borderId="9" fillId="9" fontId="40" numFmtId="0" xfId="0" applyAlignment="1" applyBorder="1" applyFill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4" fillId="7" fontId="40" numFmtId="0" xfId="0" applyAlignment="1" applyBorder="1" applyFont="1">
      <alignment horizontal="center" readingOrder="0" vertical="center"/>
    </xf>
    <xf borderId="4" fillId="3" fontId="44" numFmtId="0" xfId="0" applyAlignment="1" applyBorder="1" applyFont="1">
      <alignment horizontal="center" readingOrder="1" shrinkToFit="0" vertical="center" wrapText="0"/>
    </xf>
    <xf borderId="9" fillId="3" fontId="45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readingOrder="2" vertical="center"/>
    </xf>
    <xf borderId="0" fillId="2" fontId="45" numFmtId="0" xfId="0" applyAlignment="1" applyFont="1">
      <alignment horizontal="center" readingOrder="0" vertical="center"/>
    </xf>
    <xf borderId="4" fillId="3" fontId="45" numFmtId="0" xfId="0" applyAlignment="1" applyBorder="1" applyFont="1">
      <alignment horizontal="center" readingOrder="0" vertical="center"/>
    </xf>
    <xf borderId="9" fillId="9" fontId="46" numFmtId="0" xfId="0" applyAlignment="1" applyBorder="1" applyFont="1">
      <alignment horizontal="center" readingOrder="0" vertical="center"/>
    </xf>
    <xf borderId="9" fillId="0" fontId="47" numFmtId="16" xfId="0" applyAlignment="1" applyBorder="1" applyFont="1" applyNumberFormat="1">
      <alignment horizontal="center" vertical="center"/>
    </xf>
    <xf borderId="9" fillId="2" fontId="27" numFmtId="0" xfId="0" applyAlignment="1" applyBorder="1" applyFont="1">
      <alignment horizontal="center" readingOrder="0" vertical="center"/>
    </xf>
    <xf borderId="9" fillId="5" fontId="40" numFmtId="168" xfId="0" applyAlignment="1" applyBorder="1" applyFont="1" applyNumberFormat="1">
      <alignment horizontal="center" readingOrder="0" vertical="center"/>
    </xf>
    <xf borderId="9" fillId="7" fontId="27" numFmtId="4" xfId="0" applyAlignment="1" applyBorder="1" applyFont="1" applyNumberForma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9" fillId="6" fontId="27" numFmtId="0" xfId="0" applyAlignment="1" applyBorder="1" applyFont="1">
      <alignment horizontal="center" readingOrder="0" vertical="center"/>
    </xf>
    <xf borderId="9" fillId="10" fontId="47" numFmtId="16" xfId="0" applyAlignment="1" applyBorder="1" applyFill="1" applyFont="1" applyNumberFormat="1">
      <alignment horizontal="center" vertical="center"/>
    </xf>
    <xf borderId="9" fillId="6" fontId="27" numFmtId="4" xfId="0" applyAlignment="1" applyBorder="1" applyFont="1" applyNumberFormat="1">
      <alignment horizontal="center" readingOrder="0" vertical="center"/>
    </xf>
    <xf borderId="9" fillId="6" fontId="27" numFmtId="49" xfId="0" applyAlignment="1" applyBorder="1" applyFont="1" applyNumberFormat="1">
      <alignment horizontal="center" readingOrder="0" vertical="center"/>
    </xf>
    <xf borderId="9" fillId="2" fontId="27" numFmtId="4" xfId="0" applyAlignment="1" applyBorder="1" applyFont="1" applyNumberFormat="1">
      <alignment horizontal="center" readingOrder="0" vertical="center"/>
    </xf>
    <xf borderId="9" fillId="2" fontId="27" numFmtId="49" xfId="0" applyAlignment="1" applyBorder="1" applyFont="1" applyNumberFormat="1">
      <alignment horizontal="center" readingOrder="0" vertical="center"/>
    </xf>
    <xf borderId="0" fillId="2" fontId="40" numFmtId="168" xfId="0" applyAlignment="1" applyFont="1" applyNumberFormat="1">
      <alignment horizontal="center" readingOrder="0" vertical="center"/>
    </xf>
    <xf borderId="9" fillId="7" fontId="27" numFmtId="49" xfId="0" applyAlignment="1" applyBorder="1" applyFont="1" applyNumberFormat="1">
      <alignment horizontal="center" readingOrder="0" vertical="center"/>
    </xf>
    <xf borderId="9" fillId="7" fontId="40" numFmtId="4" xfId="0" applyAlignment="1" applyBorder="1" applyFont="1" applyNumberFormat="1">
      <alignment horizontal="center" readingOrder="0" vertical="center"/>
    </xf>
    <xf borderId="9" fillId="11" fontId="48" numFmtId="0" xfId="0" applyAlignment="1" applyBorder="1" applyFill="1" applyFont="1">
      <alignment horizontal="center" readingOrder="0" vertical="center"/>
    </xf>
    <xf borderId="9" fillId="11" fontId="40" numFmtId="4" xfId="0" applyAlignment="1" applyBorder="1" applyFont="1" applyNumberFormat="1">
      <alignment horizontal="center" readingOrder="0" vertical="center"/>
    </xf>
    <xf borderId="0" fillId="2" fontId="48" numFmtId="0" xfId="0" applyAlignment="1" applyFont="1">
      <alignment horizontal="center" readingOrder="0" vertical="center"/>
    </xf>
    <xf borderId="0" fillId="2" fontId="40" numFmtId="0" xfId="0" applyAlignment="1" applyFont="1">
      <alignment horizontal="center" vertical="center"/>
    </xf>
    <xf borderId="9" fillId="7" fontId="27" numFmtId="0" xfId="0" applyAlignment="1" applyBorder="1" applyFont="1">
      <alignment horizontal="center" readingOrder="0" vertical="center"/>
    </xf>
    <xf borderId="4" fillId="4" fontId="42" numFmtId="0" xfId="0" applyAlignment="1" applyBorder="1" applyFont="1">
      <alignment horizontal="center" readingOrder="0" vertical="center"/>
    </xf>
    <xf borderId="9" fillId="9" fontId="27" numFmtId="0" xfId="0" applyAlignment="1" applyBorder="1" applyFont="1">
      <alignment horizontal="center" readingOrder="0" vertical="center"/>
    </xf>
    <xf borderId="9" fillId="7" fontId="27" numFmtId="0" xfId="0" applyAlignment="1" applyBorder="1" applyFont="1">
      <alignment horizontal="center" readingOrder="0" vertical="center"/>
    </xf>
    <xf borderId="4" fillId="3" fontId="49" numFmtId="0" xfId="0" applyAlignment="1" applyBorder="1" applyFont="1">
      <alignment horizontal="center" readingOrder="1" shrinkToFit="0" vertical="center" wrapText="0"/>
    </xf>
    <xf borderId="9" fillId="7" fontId="40" numFmtId="167" xfId="0" applyAlignment="1" applyBorder="1" applyFont="1" applyNumberFormat="1">
      <alignment horizontal="center" readingOrder="0" vertical="center"/>
    </xf>
    <xf borderId="6" fillId="2" fontId="39" numFmtId="0" xfId="0" applyAlignment="1" applyBorder="1" applyFont="1">
      <alignment horizontal="center" vertical="center"/>
    </xf>
    <xf borderId="9" fillId="3" fontId="43" numFmtId="0" xfId="0" applyAlignment="1" applyBorder="1" applyFont="1">
      <alignment horizontal="center" readingOrder="0" vertical="center"/>
    </xf>
    <xf borderId="9" fillId="5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sAq_ocpRh_I?t=18" TargetMode="External"/><Relationship Id="rId42" Type="http://schemas.openxmlformats.org/officeDocument/2006/relationships/hyperlink" Target="https://www.youtube.com/watch?v=6Fzep104f0s" TargetMode="External"/><Relationship Id="rId41" Type="http://schemas.openxmlformats.org/officeDocument/2006/relationships/hyperlink" Target="https://www.youtube.com/watch?v=6Fzep104f0s" TargetMode="External"/><Relationship Id="rId44" Type="http://schemas.openxmlformats.org/officeDocument/2006/relationships/hyperlink" Target="https://www.youtube.com/watch?v=6Fzep104f0s" TargetMode="External"/><Relationship Id="rId43" Type="http://schemas.openxmlformats.org/officeDocument/2006/relationships/hyperlink" Target="https://www.youtube.com/watch?v=6Fzep104f0s" TargetMode="External"/><Relationship Id="rId46" Type="http://schemas.openxmlformats.org/officeDocument/2006/relationships/hyperlink" Target="https://youtu.be/xQNrFHEMhI4?t=9" TargetMode="External"/><Relationship Id="rId45" Type="http://schemas.openxmlformats.org/officeDocument/2006/relationships/hyperlink" Target="https://youtu.be/xQNrFHEMhI4?t=9" TargetMode="External"/><Relationship Id="rId1" Type="http://schemas.openxmlformats.org/officeDocument/2006/relationships/hyperlink" Target="https://www.youtube.com/watch?v=MeIiIdhvXT4&amp;t=119s" TargetMode="External"/><Relationship Id="rId2" Type="http://schemas.openxmlformats.org/officeDocument/2006/relationships/hyperlink" Target="https://www.youtube.com/watch?v=MeIiIdhvXT4&amp;t=119s" TargetMode="External"/><Relationship Id="rId3" Type="http://schemas.openxmlformats.org/officeDocument/2006/relationships/hyperlink" Target="https://www.youtube.com/watch?v=MeIiIdhvXT4&amp;t=119s" TargetMode="External"/><Relationship Id="rId4" Type="http://schemas.openxmlformats.org/officeDocument/2006/relationships/hyperlink" Target="https://www.youtube.com/watch?v=MeIiIdhvXT4&amp;t=119s" TargetMode="External"/><Relationship Id="rId9" Type="http://schemas.openxmlformats.org/officeDocument/2006/relationships/hyperlink" Target="https://youtu.be/vRQpiTwUeyM?t=14" TargetMode="External"/><Relationship Id="rId48" Type="http://schemas.openxmlformats.org/officeDocument/2006/relationships/hyperlink" Target="https://youtu.be/xQNrFHEMhI4?t=9" TargetMode="External"/><Relationship Id="rId47" Type="http://schemas.openxmlformats.org/officeDocument/2006/relationships/hyperlink" Target="https://youtu.be/xQNrFHEMhI4?t=9" TargetMode="External"/><Relationship Id="rId49" Type="http://schemas.openxmlformats.org/officeDocument/2006/relationships/hyperlink" Target="https://youtu.be/Oxy31rMrTeo?t=47" TargetMode="External"/><Relationship Id="rId5" Type="http://schemas.openxmlformats.org/officeDocument/2006/relationships/hyperlink" Target="https://youtu.be/S_uZP4UH6J0?t=55" TargetMode="External"/><Relationship Id="rId6" Type="http://schemas.openxmlformats.org/officeDocument/2006/relationships/hyperlink" Target="https://youtu.be/S_uZP4UH6J0?t=55" TargetMode="External"/><Relationship Id="rId7" Type="http://schemas.openxmlformats.org/officeDocument/2006/relationships/hyperlink" Target="https://youtu.be/S_uZP4UH6J0?t=55" TargetMode="External"/><Relationship Id="rId8" Type="http://schemas.openxmlformats.org/officeDocument/2006/relationships/hyperlink" Target="https://youtu.be/S_uZP4UH6J0?t=55" TargetMode="External"/><Relationship Id="rId72" Type="http://schemas.openxmlformats.org/officeDocument/2006/relationships/drawing" Target="../drawings/drawing1.xml"/><Relationship Id="rId31" Type="http://schemas.openxmlformats.org/officeDocument/2006/relationships/hyperlink" Target="https://youtu.be/5n9TlaoRD58?t=196" TargetMode="External"/><Relationship Id="rId30" Type="http://schemas.openxmlformats.org/officeDocument/2006/relationships/hyperlink" Target="https://youtu.be/5n9TlaoRD58?t=196" TargetMode="External"/><Relationship Id="rId33" Type="http://schemas.openxmlformats.org/officeDocument/2006/relationships/hyperlink" Target="https://www.youtube.com/shorts/JxQPsGSTPA8" TargetMode="External"/><Relationship Id="rId32" Type="http://schemas.openxmlformats.org/officeDocument/2006/relationships/hyperlink" Target="https://youtu.be/5n9TlaoRD58?t=196" TargetMode="External"/><Relationship Id="rId35" Type="http://schemas.openxmlformats.org/officeDocument/2006/relationships/hyperlink" Target="https://www.youtube.com/shorts/JxQPsGSTPA8" TargetMode="External"/><Relationship Id="rId34" Type="http://schemas.openxmlformats.org/officeDocument/2006/relationships/hyperlink" Target="https://www.youtube.com/shorts/JxQPsGSTPA8" TargetMode="External"/><Relationship Id="rId71" Type="http://schemas.openxmlformats.org/officeDocument/2006/relationships/hyperlink" Target="https://www.youtube.com/watch?v=0lEADrqPPNM" TargetMode="External"/><Relationship Id="rId70" Type="http://schemas.openxmlformats.org/officeDocument/2006/relationships/hyperlink" Target="https://www.youtube.com/shorts/5MNZ2x9Qzsw" TargetMode="External"/><Relationship Id="rId37" Type="http://schemas.openxmlformats.org/officeDocument/2006/relationships/hyperlink" Target="https://youtu.be/sAq_ocpRh_I?t=18" TargetMode="External"/><Relationship Id="rId36" Type="http://schemas.openxmlformats.org/officeDocument/2006/relationships/hyperlink" Target="https://www.youtube.com/shorts/JxQPsGSTPA8" TargetMode="External"/><Relationship Id="rId39" Type="http://schemas.openxmlformats.org/officeDocument/2006/relationships/hyperlink" Target="https://youtu.be/sAq_ocpRh_I?t=18" TargetMode="External"/><Relationship Id="rId38" Type="http://schemas.openxmlformats.org/officeDocument/2006/relationships/hyperlink" Target="https://youtu.be/sAq_ocpRh_I?t=18" TargetMode="External"/><Relationship Id="rId62" Type="http://schemas.openxmlformats.org/officeDocument/2006/relationships/hyperlink" Target="https://youtu.be/GAQ-oohMhog?t=20" TargetMode="External"/><Relationship Id="rId61" Type="http://schemas.openxmlformats.org/officeDocument/2006/relationships/hyperlink" Target="https://youtu.be/GAQ-oohMhog?t=20" TargetMode="External"/><Relationship Id="rId20" Type="http://schemas.openxmlformats.org/officeDocument/2006/relationships/hyperlink" Target="https://www.youtube.com/watch?v=GmRSV_n2E_0&amp;t=31s&amp;ab_channel=ScottHermanFitness" TargetMode="External"/><Relationship Id="rId64" Type="http://schemas.openxmlformats.org/officeDocument/2006/relationships/hyperlink" Target="https://youtu.be/GAQ-oohMhog?t=20" TargetMode="External"/><Relationship Id="rId63" Type="http://schemas.openxmlformats.org/officeDocument/2006/relationships/hyperlink" Target="https://youtu.be/GAQ-oohMhog?t=20" TargetMode="External"/><Relationship Id="rId22" Type="http://schemas.openxmlformats.org/officeDocument/2006/relationships/hyperlink" Target="https://youtu.be/eDu68xpNsKE?t=365" TargetMode="External"/><Relationship Id="rId66" Type="http://schemas.openxmlformats.org/officeDocument/2006/relationships/hyperlink" Target="https://www.youtube.com/watch?v=61ara6KJdrU" TargetMode="External"/><Relationship Id="rId21" Type="http://schemas.openxmlformats.org/officeDocument/2006/relationships/hyperlink" Target="https://youtu.be/eDu68xpNsKE?t=365" TargetMode="External"/><Relationship Id="rId65" Type="http://schemas.openxmlformats.org/officeDocument/2006/relationships/hyperlink" Target="https://www.youtube.com/watch?v=61ara6KJdrU" TargetMode="External"/><Relationship Id="rId24" Type="http://schemas.openxmlformats.org/officeDocument/2006/relationships/hyperlink" Target="https://youtu.be/eDu68xpNsKE?t=365" TargetMode="External"/><Relationship Id="rId68" Type="http://schemas.openxmlformats.org/officeDocument/2006/relationships/hyperlink" Target="https://www.youtube.com/watch?v=61ara6KJdrU" TargetMode="External"/><Relationship Id="rId23" Type="http://schemas.openxmlformats.org/officeDocument/2006/relationships/hyperlink" Target="https://youtu.be/eDu68xpNsKE?t=365" TargetMode="External"/><Relationship Id="rId67" Type="http://schemas.openxmlformats.org/officeDocument/2006/relationships/hyperlink" Target="https://www.youtube.com/watch?v=61ara6KJdrU" TargetMode="External"/><Relationship Id="rId60" Type="http://schemas.openxmlformats.org/officeDocument/2006/relationships/hyperlink" Target="https://www.instagram.com/p/ClJq2kNAAv4/" TargetMode="External"/><Relationship Id="rId26" Type="http://schemas.openxmlformats.org/officeDocument/2006/relationships/hyperlink" Target="https://youtu.be/CAwf7n6Luuc?t=73" TargetMode="External"/><Relationship Id="rId25" Type="http://schemas.openxmlformats.org/officeDocument/2006/relationships/hyperlink" Target="https://youtu.be/CAwf7n6Luuc?t=73" TargetMode="External"/><Relationship Id="rId69" Type="http://schemas.openxmlformats.org/officeDocument/2006/relationships/hyperlink" Target="https://www.youtube.com/watch?v=uW3-Ue07H0M" TargetMode="External"/><Relationship Id="rId28" Type="http://schemas.openxmlformats.org/officeDocument/2006/relationships/hyperlink" Target="https://youtu.be/CAwf7n6Luuc?t=73" TargetMode="External"/><Relationship Id="rId27" Type="http://schemas.openxmlformats.org/officeDocument/2006/relationships/hyperlink" Target="https://youtu.be/CAwf7n6Luuc?t=73" TargetMode="External"/><Relationship Id="rId29" Type="http://schemas.openxmlformats.org/officeDocument/2006/relationships/hyperlink" Target="https://youtu.be/5n9TlaoRD58?t=196" TargetMode="External"/><Relationship Id="rId51" Type="http://schemas.openxmlformats.org/officeDocument/2006/relationships/hyperlink" Target="https://youtu.be/Oxy31rMrTeo?t=47" TargetMode="External"/><Relationship Id="rId50" Type="http://schemas.openxmlformats.org/officeDocument/2006/relationships/hyperlink" Target="https://youtu.be/Oxy31rMrTeo?t=47" TargetMode="External"/><Relationship Id="rId53" Type="http://schemas.openxmlformats.org/officeDocument/2006/relationships/hyperlink" Target="https://youtu.be/ig0NyNlSce4?t=57" TargetMode="External"/><Relationship Id="rId52" Type="http://schemas.openxmlformats.org/officeDocument/2006/relationships/hyperlink" Target="https://youtu.be/Oxy31rMrTeo?t=47" TargetMode="External"/><Relationship Id="rId11" Type="http://schemas.openxmlformats.org/officeDocument/2006/relationships/hyperlink" Target="https://youtu.be/vRQpiTwUeyM?t=14" TargetMode="External"/><Relationship Id="rId55" Type="http://schemas.openxmlformats.org/officeDocument/2006/relationships/hyperlink" Target="https://youtu.be/ig0NyNlSce4?t=57" TargetMode="External"/><Relationship Id="rId10" Type="http://schemas.openxmlformats.org/officeDocument/2006/relationships/hyperlink" Target="https://youtu.be/vRQpiTwUeyM?t=14" TargetMode="External"/><Relationship Id="rId54" Type="http://schemas.openxmlformats.org/officeDocument/2006/relationships/hyperlink" Target="https://youtu.be/ig0NyNlSce4?t=57" TargetMode="External"/><Relationship Id="rId13" Type="http://schemas.openxmlformats.org/officeDocument/2006/relationships/hyperlink" Target="https://youtu.be/1Tq3QdYUuHs?t=55" TargetMode="External"/><Relationship Id="rId57" Type="http://schemas.openxmlformats.org/officeDocument/2006/relationships/hyperlink" Target="https://www.instagram.com/p/ClJq2kNAAv4/" TargetMode="External"/><Relationship Id="rId12" Type="http://schemas.openxmlformats.org/officeDocument/2006/relationships/hyperlink" Target="https://youtu.be/vRQpiTwUeyM?t=14" TargetMode="External"/><Relationship Id="rId56" Type="http://schemas.openxmlformats.org/officeDocument/2006/relationships/hyperlink" Target="https://youtu.be/ig0NyNlSce4?t=57" TargetMode="External"/><Relationship Id="rId15" Type="http://schemas.openxmlformats.org/officeDocument/2006/relationships/hyperlink" Target="https://youtu.be/1Tq3QdYUuHs?t=55" TargetMode="External"/><Relationship Id="rId59" Type="http://schemas.openxmlformats.org/officeDocument/2006/relationships/hyperlink" Target="https://www.instagram.com/p/ClJq2kNAAv4/" TargetMode="External"/><Relationship Id="rId14" Type="http://schemas.openxmlformats.org/officeDocument/2006/relationships/hyperlink" Target="https://youtu.be/1Tq3QdYUuHs?t=55" TargetMode="External"/><Relationship Id="rId58" Type="http://schemas.openxmlformats.org/officeDocument/2006/relationships/hyperlink" Target="https://www.instagram.com/p/ClJq2kNAAv4/" TargetMode="External"/><Relationship Id="rId17" Type="http://schemas.openxmlformats.org/officeDocument/2006/relationships/hyperlink" Target="https://www.youtube.com/watch?v=GmRSV_n2E_0&amp;t=31s&amp;ab_channel=ScottHermanFitness" TargetMode="External"/><Relationship Id="rId16" Type="http://schemas.openxmlformats.org/officeDocument/2006/relationships/hyperlink" Target="https://youtu.be/1Tq3QdYUuHs?t=55" TargetMode="External"/><Relationship Id="rId19" Type="http://schemas.openxmlformats.org/officeDocument/2006/relationships/hyperlink" Target="https://www.youtube.com/watch?v=GmRSV_n2E_0&amp;t=31s&amp;ab_channel=ScottHermanFitness" TargetMode="External"/><Relationship Id="rId18" Type="http://schemas.openxmlformats.org/officeDocument/2006/relationships/hyperlink" Target="https://www.youtube.com/watch?v=GmRSV_n2E_0&amp;t=31s&amp;ab_channel=ScottHermanFitness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21.88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9.8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0.38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 t="s">
        <v>15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 t="s">
        <v>15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 t="s">
        <v>15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 t="s">
        <v>15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16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16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16</v>
      </c>
      <c r="AB13" s="27">
        <v>3.0</v>
      </c>
      <c r="AC13" s="28" t="s">
        <v>17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16</v>
      </c>
      <c r="AN13" s="27">
        <v>3.0</v>
      </c>
      <c r="AO13" s="28" t="s">
        <v>17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18</v>
      </c>
      <c r="D14" s="27">
        <v>3.0</v>
      </c>
      <c r="E14" s="28" t="s">
        <v>17</v>
      </c>
      <c r="F14" s="28">
        <v>8.0</v>
      </c>
      <c r="G14" s="30"/>
      <c r="H14" s="30"/>
      <c r="I14" s="35" t="s">
        <v>19</v>
      </c>
      <c r="J14" s="23"/>
      <c r="K14" s="31"/>
      <c r="L14" s="23"/>
      <c r="M14" s="32"/>
      <c r="N14" s="1"/>
      <c r="O14" s="26" t="s">
        <v>18</v>
      </c>
      <c r="P14" s="27">
        <v>3.0</v>
      </c>
      <c r="Q14" s="28" t="s">
        <v>17</v>
      </c>
      <c r="R14" s="28">
        <v>8.0</v>
      </c>
      <c r="S14" s="30"/>
      <c r="T14" s="30"/>
      <c r="U14" s="35" t="s">
        <v>19</v>
      </c>
      <c r="V14" s="23"/>
      <c r="W14" s="31"/>
      <c r="X14" s="23"/>
      <c r="Y14" s="24"/>
      <c r="Z14" s="1"/>
      <c r="AA14" s="26" t="s">
        <v>18</v>
      </c>
      <c r="AB14" s="27">
        <v>3.0</v>
      </c>
      <c r="AC14" s="28" t="s">
        <v>17</v>
      </c>
      <c r="AD14" s="28">
        <v>8.0</v>
      </c>
      <c r="AE14" s="30"/>
      <c r="AF14" s="30"/>
      <c r="AG14" s="35" t="s">
        <v>19</v>
      </c>
      <c r="AH14" s="23"/>
      <c r="AI14" s="31"/>
      <c r="AJ14" s="23"/>
      <c r="AK14" s="33"/>
      <c r="AL14" s="1"/>
      <c r="AM14" s="26" t="s">
        <v>18</v>
      </c>
      <c r="AN14" s="27">
        <v>3.0</v>
      </c>
      <c r="AO14" s="28" t="s">
        <v>17</v>
      </c>
      <c r="AP14" s="28">
        <v>8.0</v>
      </c>
      <c r="AQ14" s="30"/>
      <c r="AR14" s="30"/>
      <c r="AS14" s="35" t="s">
        <v>19</v>
      </c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20</v>
      </c>
      <c r="D15" s="27">
        <v>3.0</v>
      </c>
      <c r="E15" s="27" t="s">
        <v>17</v>
      </c>
      <c r="F15" s="28">
        <v>8.0</v>
      </c>
      <c r="G15" s="30"/>
      <c r="H15" s="30"/>
      <c r="I15" s="35" t="s">
        <v>19</v>
      </c>
      <c r="J15" s="23"/>
      <c r="K15" s="31"/>
      <c r="L15" s="23"/>
      <c r="M15" s="32"/>
      <c r="N15" s="1"/>
      <c r="O15" s="26" t="s">
        <v>20</v>
      </c>
      <c r="P15" s="27">
        <v>3.0</v>
      </c>
      <c r="Q15" s="27" t="s">
        <v>17</v>
      </c>
      <c r="R15" s="28">
        <v>8.0</v>
      </c>
      <c r="S15" s="30"/>
      <c r="T15" s="30"/>
      <c r="U15" s="35" t="s">
        <v>19</v>
      </c>
      <c r="V15" s="23"/>
      <c r="W15" s="31"/>
      <c r="X15" s="23"/>
      <c r="Y15" s="24"/>
      <c r="Z15" s="1"/>
      <c r="AA15" s="26" t="s">
        <v>20</v>
      </c>
      <c r="AB15" s="27">
        <v>3.0</v>
      </c>
      <c r="AC15" s="27" t="s">
        <v>17</v>
      </c>
      <c r="AD15" s="28">
        <v>8.0</v>
      </c>
      <c r="AE15" s="30"/>
      <c r="AF15" s="30"/>
      <c r="AG15" s="35" t="s">
        <v>19</v>
      </c>
      <c r="AH15" s="23"/>
      <c r="AI15" s="31"/>
      <c r="AJ15" s="23"/>
      <c r="AK15" s="33"/>
      <c r="AL15" s="1"/>
      <c r="AM15" s="26" t="s">
        <v>20</v>
      </c>
      <c r="AN15" s="27">
        <v>3.0</v>
      </c>
      <c r="AO15" s="27" t="s">
        <v>17</v>
      </c>
      <c r="AP15" s="28">
        <v>8.0</v>
      </c>
      <c r="AQ15" s="30"/>
      <c r="AR15" s="30"/>
      <c r="AS15" s="35" t="s">
        <v>19</v>
      </c>
      <c r="AT15" s="23"/>
      <c r="AU15" s="31"/>
      <c r="AV15" s="23"/>
      <c r="AW15" s="34"/>
      <c r="AX15" s="34"/>
    </row>
    <row r="16">
      <c r="A16" s="1"/>
      <c r="B16" s="1"/>
      <c r="C16" s="26" t="s">
        <v>21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21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26" t="s">
        <v>21</v>
      </c>
      <c r="AB16" s="27">
        <v>3.0</v>
      </c>
      <c r="AC16" s="27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21</v>
      </c>
      <c r="AN16" s="27">
        <v>3.0</v>
      </c>
      <c r="AO16" s="27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6"/>
      <c r="C17" s="26" t="s">
        <v>22</v>
      </c>
      <c r="D17" s="27">
        <v>3.0</v>
      </c>
      <c r="E17" s="28" t="s">
        <v>23</v>
      </c>
      <c r="F17" s="28">
        <v>8.0</v>
      </c>
      <c r="G17" s="30"/>
      <c r="H17" s="30"/>
      <c r="I17" s="31" t="s">
        <v>24</v>
      </c>
      <c r="J17" s="23"/>
      <c r="K17" s="31"/>
      <c r="L17" s="23"/>
      <c r="M17" s="5"/>
      <c r="N17" s="16"/>
      <c r="O17" s="26" t="s">
        <v>22</v>
      </c>
      <c r="P17" s="27">
        <v>3.0</v>
      </c>
      <c r="Q17" s="28" t="s">
        <v>23</v>
      </c>
      <c r="R17" s="28">
        <v>8.0</v>
      </c>
      <c r="S17" s="30"/>
      <c r="T17" s="30"/>
      <c r="U17" s="31" t="s">
        <v>24</v>
      </c>
      <c r="V17" s="23"/>
      <c r="W17" s="31"/>
      <c r="X17" s="23"/>
      <c r="Y17" s="4"/>
      <c r="Z17" s="16"/>
      <c r="AA17" s="26" t="s">
        <v>22</v>
      </c>
      <c r="AB17" s="27">
        <v>3.0</v>
      </c>
      <c r="AC17" s="28" t="s">
        <v>23</v>
      </c>
      <c r="AD17" s="28">
        <v>8.0</v>
      </c>
      <c r="AE17" s="30"/>
      <c r="AF17" s="30"/>
      <c r="AG17" s="31" t="s">
        <v>24</v>
      </c>
      <c r="AH17" s="23"/>
      <c r="AI17" s="31"/>
      <c r="AJ17" s="23"/>
      <c r="AK17" s="2"/>
      <c r="AL17" s="16"/>
      <c r="AM17" s="26" t="s">
        <v>22</v>
      </c>
      <c r="AN17" s="27">
        <v>3.0</v>
      </c>
      <c r="AO17" s="28" t="s">
        <v>23</v>
      </c>
      <c r="AP17" s="28">
        <v>8.0</v>
      </c>
      <c r="AQ17" s="30"/>
      <c r="AR17" s="30"/>
      <c r="AS17" s="31" t="s">
        <v>24</v>
      </c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6"/>
      <c r="AX18" s="36"/>
    </row>
    <row r="19" ht="20.25" customHeight="1">
      <c r="A19" s="1"/>
      <c r="B19" s="16"/>
      <c r="C19" s="37" t="s">
        <v>25</v>
      </c>
      <c r="D19" s="38"/>
      <c r="E19" s="38"/>
      <c r="F19" s="38"/>
      <c r="G19" s="38"/>
      <c r="H19" s="38"/>
      <c r="I19" s="38"/>
      <c r="J19" s="38"/>
      <c r="K19" s="38"/>
      <c r="L19" s="23"/>
      <c r="M19" s="5"/>
      <c r="N19" s="16"/>
      <c r="O19" s="37" t="s">
        <v>25</v>
      </c>
      <c r="P19" s="38"/>
      <c r="Q19" s="38"/>
      <c r="R19" s="38"/>
      <c r="S19" s="38"/>
      <c r="T19" s="38"/>
      <c r="U19" s="38"/>
      <c r="V19" s="38"/>
      <c r="W19" s="38"/>
      <c r="X19" s="23"/>
      <c r="Y19" s="4"/>
      <c r="Z19" s="16"/>
      <c r="AA19" s="37" t="s">
        <v>25</v>
      </c>
      <c r="AB19" s="38"/>
      <c r="AC19" s="38"/>
      <c r="AD19" s="38"/>
      <c r="AE19" s="38"/>
      <c r="AF19" s="38"/>
      <c r="AG19" s="38"/>
      <c r="AH19" s="38"/>
      <c r="AI19" s="38"/>
      <c r="AJ19" s="23"/>
      <c r="AK19" s="2"/>
      <c r="AL19" s="16"/>
      <c r="AM19" s="37" t="s">
        <v>25</v>
      </c>
      <c r="AN19" s="38"/>
      <c r="AO19" s="38"/>
      <c r="AP19" s="38"/>
      <c r="AQ19" s="38"/>
      <c r="AR19" s="38"/>
      <c r="AS19" s="38"/>
      <c r="AT19" s="38"/>
      <c r="AU19" s="38"/>
      <c r="AV19" s="23"/>
      <c r="AW19" s="39"/>
      <c r="AX19" s="39"/>
    </row>
    <row r="20" ht="20.25" customHeight="1">
      <c r="A20" s="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5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4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2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36"/>
      <c r="AX20" s="36"/>
    </row>
    <row r="21" ht="20.25" customHeight="1">
      <c r="A21" s="1"/>
      <c r="B21" s="4"/>
      <c r="C21" s="12" t="s">
        <v>26</v>
      </c>
      <c r="D21" s="40"/>
      <c r="E21" s="40"/>
      <c r="F21" s="1"/>
      <c r="G21" s="1"/>
      <c r="H21" s="1"/>
      <c r="I21" s="1"/>
      <c r="J21" s="1"/>
      <c r="K21" s="1"/>
      <c r="L21" s="1"/>
      <c r="M21" s="5"/>
      <c r="N21" s="4"/>
      <c r="O21" s="12" t="s">
        <v>26</v>
      </c>
      <c r="P21" s="40"/>
      <c r="Q21" s="40"/>
      <c r="R21" s="1"/>
      <c r="S21" s="1"/>
      <c r="T21" s="1"/>
      <c r="U21" s="1"/>
      <c r="V21" s="1"/>
      <c r="W21" s="1"/>
      <c r="X21" s="1"/>
      <c r="Y21" s="24"/>
      <c r="Z21" s="4"/>
      <c r="AA21" s="12" t="s">
        <v>26</v>
      </c>
      <c r="AB21" s="40"/>
      <c r="AC21" s="40"/>
      <c r="AD21" s="1"/>
      <c r="AE21" s="1"/>
      <c r="AF21" s="1"/>
      <c r="AG21" s="1"/>
      <c r="AH21" s="1"/>
      <c r="AI21" s="1"/>
      <c r="AJ21" s="1"/>
      <c r="AK21" s="3"/>
      <c r="AL21" s="4"/>
      <c r="AM21" s="12" t="s">
        <v>26</v>
      </c>
      <c r="AN21" s="40"/>
      <c r="AO21" s="40"/>
      <c r="AP21" s="1"/>
      <c r="AQ21" s="1"/>
      <c r="AR21" s="1"/>
      <c r="AS21" s="1"/>
      <c r="AT21" s="1"/>
      <c r="AU21" s="1"/>
      <c r="AV21" s="1"/>
      <c r="AW21" s="1"/>
      <c r="AX21" s="1"/>
    </row>
    <row r="22">
      <c r="A22" s="1"/>
      <c r="B22" s="12" t="s">
        <v>27</v>
      </c>
      <c r="C22" s="41" t="s">
        <v>6</v>
      </c>
      <c r="D22" s="21" t="s">
        <v>7</v>
      </c>
      <c r="E22" s="21" t="s">
        <v>8</v>
      </c>
      <c r="F22" s="20" t="s">
        <v>9</v>
      </c>
      <c r="G22" s="21" t="s">
        <v>10</v>
      </c>
      <c r="H22" s="21" t="s">
        <v>11</v>
      </c>
      <c r="I22" s="22" t="s">
        <v>12</v>
      </c>
      <c r="J22" s="23"/>
      <c r="K22" s="22" t="s">
        <v>13</v>
      </c>
      <c r="L22" s="23"/>
      <c r="M22" s="32"/>
      <c r="N22" s="12" t="s">
        <v>27</v>
      </c>
      <c r="O22" s="41" t="s">
        <v>6</v>
      </c>
      <c r="P22" s="21" t="s">
        <v>7</v>
      </c>
      <c r="Q22" s="21" t="s">
        <v>8</v>
      </c>
      <c r="R22" s="20" t="s">
        <v>9</v>
      </c>
      <c r="S22" s="21" t="s">
        <v>10</v>
      </c>
      <c r="T22" s="21" t="s">
        <v>11</v>
      </c>
      <c r="U22" s="22" t="s">
        <v>12</v>
      </c>
      <c r="V22" s="23"/>
      <c r="W22" s="22" t="s">
        <v>13</v>
      </c>
      <c r="X22" s="23"/>
      <c r="Y22" s="24"/>
      <c r="Z22" s="12" t="s">
        <v>27</v>
      </c>
      <c r="AA22" s="41" t="s">
        <v>6</v>
      </c>
      <c r="AB22" s="21" t="s">
        <v>7</v>
      </c>
      <c r="AC22" s="21" t="s">
        <v>8</v>
      </c>
      <c r="AD22" s="20" t="s">
        <v>9</v>
      </c>
      <c r="AE22" s="21" t="s">
        <v>10</v>
      </c>
      <c r="AF22" s="21" t="s">
        <v>11</v>
      </c>
      <c r="AG22" s="22" t="s">
        <v>12</v>
      </c>
      <c r="AH22" s="23"/>
      <c r="AI22" s="22" t="s">
        <v>13</v>
      </c>
      <c r="AJ22" s="23"/>
      <c r="AK22" s="33"/>
      <c r="AL22" s="12" t="s">
        <v>27</v>
      </c>
      <c r="AM22" s="41" t="s">
        <v>6</v>
      </c>
      <c r="AN22" s="21" t="s">
        <v>7</v>
      </c>
      <c r="AO22" s="21" t="s">
        <v>8</v>
      </c>
      <c r="AP22" s="20" t="s">
        <v>9</v>
      </c>
      <c r="AQ22" s="21" t="s">
        <v>10</v>
      </c>
      <c r="AR22" s="21" t="s">
        <v>11</v>
      </c>
      <c r="AS22" s="22" t="s">
        <v>12</v>
      </c>
      <c r="AT22" s="23"/>
      <c r="AU22" s="22" t="s">
        <v>13</v>
      </c>
      <c r="AV22" s="23"/>
      <c r="AW22" s="25"/>
      <c r="AX22" s="25"/>
    </row>
    <row r="23" ht="20.25" customHeight="1">
      <c r="A23" s="4"/>
      <c r="B23" s="1"/>
      <c r="C23" s="26" t="s">
        <v>28</v>
      </c>
      <c r="D23" s="42">
        <v>3.0</v>
      </c>
      <c r="E23" s="43" t="s">
        <v>17</v>
      </c>
      <c r="F23" s="43">
        <v>8.0</v>
      </c>
      <c r="G23" s="44"/>
      <c r="H23" s="45"/>
      <c r="I23" s="31"/>
      <c r="J23" s="23"/>
      <c r="K23" s="31"/>
      <c r="L23" s="23"/>
      <c r="M23" s="17"/>
      <c r="N23" s="1"/>
      <c r="O23" s="26" t="s">
        <v>28</v>
      </c>
      <c r="P23" s="42">
        <v>3.0</v>
      </c>
      <c r="Q23" s="43" t="s">
        <v>17</v>
      </c>
      <c r="R23" s="43">
        <v>8.0</v>
      </c>
      <c r="S23" s="44"/>
      <c r="T23" s="45"/>
      <c r="U23" s="31"/>
      <c r="V23" s="23"/>
      <c r="W23" s="31"/>
      <c r="X23" s="23"/>
      <c r="Y23" s="1"/>
      <c r="Z23" s="1"/>
      <c r="AA23" s="26" t="s">
        <v>28</v>
      </c>
      <c r="AB23" s="42">
        <v>3.0</v>
      </c>
      <c r="AC23" s="43" t="s">
        <v>17</v>
      </c>
      <c r="AD23" s="43">
        <v>8.0</v>
      </c>
      <c r="AE23" s="44"/>
      <c r="AF23" s="45"/>
      <c r="AG23" s="31"/>
      <c r="AH23" s="23"/>
      <c r="AI23" s="31"/>
      <c r="AJ23" s="23"/>
      <c r="AK23" s="33"/>
      <c r="AL23" s="1"/>
      <c r="AM23" s="26" t="s">
        <v>28</v>
      </c>
      <c r="AN23" s="42">
        <v>3.0</v>
      </c>
      <c r="AO23" s="43" t="s">
        <v>17</v>
      </c>
      <c r="AP23" s="43">
        <v>8.0</v>
      </c>
      <c r="AQ23" s="44"/>
      <c r="AR23" s="45"/>
      <c r="AS23" s="31"/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29</v>
      </c>
      <c r="D24" s="42">
        <v>3.0</v>
      </c>
      <c r="E24" s="43" t="s">
        <v>17</v>
      </c>
      <c r="F24" s="43">
        <v>8.0</v>
      </c>
      <c r="G24" s="30"/>
      <c r="H24" s="30"/>
      <c r="I24" s="31"/>
      <c r="J24" s="23"/>
      <c r="K24" s="31"/>
      <c r="L24" s="23"/>
      <c r="M24" s="32"/>
      <c r="N24" s="1"/>
      <c r="O24" s="26" t="s">
        <v>29</v>
      </c>
      <c r="P24" s="42">
        <v>3.0</v>
      </c>
      <c r="Q24" s="43" t="s">
        <v>17</v>
      </c>
      <c r="R24" s="43">
        <v>8.0</v>
      </c>
      <c r="S24" s="30"/>
      <c r="T24" s="30"/>
      <c r="U24" s="31"/>
      <c r="V24" s="23"/>
      <c r="W24" s="31"/>
      <c r="X24" s="23"/>
      <c r="Y24" s="24"/>
      <c r="Z24" s="1"/>
      <c r="AA24" s="26" t="s">
        <v>29</v>
      </c>
      <c r="AB24" s="42">
        <v>3.0</v>
      </c>
      <c r="AC24" s="43" t="s">
        <v>17</v>
      </c>
      <c r="AD24" s="43">
        <v>8.0</v>
      </c>
      <c r="AE24" s="30"/>
      <c r="AF24" s="30"/>
      <c r="AG24" s="31"/>
      <c r="AH24" s="23"/>
      <c r="AI24" s="31"/>
      <c r="AJ24" s="23"/>
      <c r="AK24" s="33"/>
      <c r="AL24" s="1"/>
      <c r="AM24" s="26" t="s">
        <v>29</v>
      </c>
      <c r="AN24" s="42">
        <v>3.0</v>
      </c>
      <c r="AO24" s="43" t="s">
        <v>17</v>
      </c>
      <c r="AP24" s="43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30</v>
      </c>
      <c r="D25" s="42">
        <v>3.0</v>
      </c>
      <c r="E25" s="43" t="s">
        <v>17</v>
      </c>
      <c r="F25" s="43">
        <v>8.0</v>
      </c>
      <c r="G25" s="30"/>
      <c r="H25" s="30"/>
      <c r="I25" s="35" t="s">
        <v>19</v>
      </c>
      <c r="J25" s="23"/>
      <c r="K25" s="31"/>
      <c r="L25" s="23"/>
      <c r="M25" s="32"/>
      <c r="N25" s="1"/>
      <c r="O25" s="26" t="s">
        <v>30</v>
      </c>
      <c r="P25" s="42">
        <v>3.0</v>
      </c>
      <c r="Q25" s="43" t="s">
        <v>17</v>
      </c>
      <c r="R25" s="43">
        <v>8.0</v>
      </c>
      <c r="S25" s="30"/>
      <c r="T25" s="30"/>
      <c r="U25" s="35" t="s">
        <v>19</v>
      </c>
      <c r="V25" s="23"/>
      <c r="W25" s="31"/>
      <c r="X25" s="23"/>
      <c r="Y25" s="24"/>
      <c r="Z25" s="1"/>
      <c r="AA25" s="26" t="s">
        <v>30</v>
      </c>
      <c r="AB25" s="42">
        <v>3.0</v>
      </c>
      <c r="AC25" s="43" t="s">
        <v>17</v>
      </c>
      <c r="AD25" s="43">
        <v>8.0</v>
      </c>
      <c r="AE25" s="30"/>
      <c r="AF25" s="30"/>
      <c r="AG25" s="35" t="s">
        <v>19</v>
      </c>
      <c r="AH25" s="23"/>
      <c r="AI25" s="31"/>
      <c r="AJ25" s="23"/>
      <c r="AK25" s="33"/>
      <c r="AL25" s="1"/>
      <c r="AM25" s="26" t="s">
        <v>30</v>
      </c>
      <c r="AN25" s="42">
        <v>3.0</v>
      </c>
      <c r="AO25" s="43" t="s">
        <v>17</v>
      </c>
      <c r="AP25" s="43">
        <v>8.0</v>
      </c>
      <c r="AQ25" s="30"/>
      <c r="AR25" s="30"/>
      <c r="AS25" s="35" t="s">
        <v>19</v>
      </c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31</v>
      </c>
      <c r="D26" s="42">
        <v>3.0</v>
      </c>
      <c r="E26" s="43" t="s">
        <v>17</v>
      </c>
      <c r="F26" s="43">
        <v>8.0</v>
      </c>
      <c r="G26" s="30"/>
      <c r="H26" s="30"/>
      <c r="I26" s="31"/>
      <c r="J26" s="23"/>
      <c r="K26" s="31"/>
      <c r="L26" s="23"/>
      <c r="M26" s="32"/>
      <c r="N26" s="1"/>
      <c r="O26" s="26" t="s">
        <v>31</v>
      </c>
      <c r="P26" s="42">
        <v>3.0</v>
      </c>
      <c r="Q26" s="43" t="s">
        <v>17</v>
      </c>
      <c r="R26" s="43">
        <v>8.0</v>
      </c>
      <c r="S26" s="30"/>
      <c r="T26" s="30"/>
      <c r="U26" s="31"/>
      <c r="V26" s="23"/>
      <c r="W26" s="31"/>
      <c r="X26" s="23"/>
      <c r="Y26" s="24"/>
      <c r="Z26" s="1"/>
      <c r="AA26" s="26" t="s">
        <v>31</v>
      </c>
      <c r="AB26" s="42">
        <v>3.0</v>
      </c>
      <c r="AC26" s="43" t="s">
        <v>17</v>
      </c>
      <c r="AD26" s="43">
        <v>8.0</v>
      </c>
      <c r="AE26" s="30"/>
      <c r="AF26" s="30"/>
      <c r="AG26" s="31"/>
      <c r="AH26" s="23"/>
      <c r="AI26" s="31"/>
      <c r="AJ26" s="23"/>
      <c r="AK26" s="33"/>
      <c r="AL26" s="1"/>
      <c r="AM26" s="26" t="s">
        <v>31</v>
      </c>
      <c r="AN26" s="42">
        <v>3.0</v>
      </c>
      <c r="AO26" s="43" t="s">
        <v>17</v>
      </c>
      <c r="AP26" s="43">
        <v>8.0</v>
      </c>
      <c r="AQ26" s="30"/>
      <c r="AR26" s="30"/>
      <c r="AS26" s="31"/>
      <c r="AT26" s="23"/>
      <c r="AU26" s="31"/>
      <c r="AV26" s="23"/>
      <c r="AW26" s="34"/>
      <c r="AX26" s="34"/>
    </row>
    <row r="27" ht="20.25" customHeight="1">
      <c r="A27" s="1"/>
      <c r="B27" s="1"/>
      <c r="C27" s="26" t="s">
        <v>32</v>
      </c>
      <c r="D27" s="42">
        <v>3.0</v>
      </c>
      <c r="E27" s="43" t="s">
        <v>17</v>
      </c>
      <c r="F27" s="43">
        <v>8.0</v>
      </c>
      <c r="G27" s="30"/>
      <c r="H27" s="30"/>
      <c r="I27" s="31"/>
      <c r="J27" s="23"/>
      <c r="K27" s="31"/>
      <c r="L27" s="23"/>
      <c r="M27" s="32"/>
      <c r="N27" s="1"/>
      <c r="O27" s="26" t="s">
        <v>32</v>
      </c>
      <c r="P27" s="42">
        <v>3.0</v>
      </c>
      <c r="Q27" s="43" t="s">
        <v>17</v>
      </c>
      <c r="R27" s="43">
        <v>8.0</v>
      </c>
      <c r="S27" s="30"/>
      <c r="T27" s="30"/>
      <c r="U27" s="31"/>
      <c r="V27" s="23"/>
      <c r="W27" s="31"/>
      <c r="X27" s="23"/>
      <c r="Y27" s="24"/>
      <c r="Z27" s="1"/>
      <c r="AA27" s="26" t="s">
        <v>32</v>
      </c>
      <c r="AB27" s="42">
        <v>3.0</v>
      </c>
      <c r="AC27" s="43" t="s">
        <v>17</v>
      </c>
      <c r="AD27" s="43">
        <v>8.0</v>
      </c>
      <c r="AE27" s="30"/>
      <c r="AF27" s="30"/>
      <c r="AG27" s="31"/>
      <c r="AH27" s="23"/>
      <c r="AI27" s="31"/>
      <c r="AJ27" s="23"/>
      <c r="AK27" s="33"/>
      <c r="AL27" s="1"/>
      <c r="AM27" s="26" t="s">
        <v>32</v>
      </c>
      <c r="AN27" s="42">
        <v>3.0</v>
      </c>
      <c r="AO27" s="43" t="s">
        <v>17</v>
      </c>
      <c r="AP27" s="43">
        <v>8.0</v>
      </c>
      <c r="AQ27" s="30"/>
      <c r="AR27" s="30"/>
      <c r="AS27" s="31"/>
      <c r="AT27" s="23"/>
      <c r="AU27" s="31"/>
      <c r="AV27" s="23"/>
      <c r="AW27" s="34"/>
      <c r="AX27" s="34"/>
    </row>
    <row r="28" ht="20.25" customHeight="1">
      <c r="A28" s="1"/>
      <c r="B28" s="1"/>
      <c r="C28" s="26" t="s">
        <v>33</v>
      </c>
      <c r="D28" s="43">
        <v>1.0</v>
      </c>
      <c r="E28" s="46" t="s">
        <v>34</v>
      </c>
      <c r="F28" s="46" t="s">
        <v>35</v>
      </c>
      <c r="G28" s="30"/>
      <c r="H28" s="30"/>
      <c r="I28" s="31" t="s">
        <v>36</v>
      </c>
      <c r="J28" s="23"/>
      <c r="K28" s="31"/>
      <c r="L28" s="23"/>
      <c r="M28" s="17"/>
      <c r="N28" s="1"/>
      <c r="O28" s="26" t="s">
        <v>33</v>
      </c>
      <c r="P28" s="43">
        <v>1.0</v>
      </c>
      <c r="Q28" s="46" t="s">
        <v>34</v>
      </c>
      <c r="R28" s="46" t="s">
        <v>35</v>
      </c>
      <c r="S28" s="30"/>
      <c r="T28" s="30"/>
      <c r="U28" s="31" t="s">
        <v>36</v>
      </c>
      <c r="V28" s="23"/>
      <c r="W28" s="31"/>
      <c r="X28" s="23"/>
      <c r="Y28" s="47"/>
      <c r="Z28" s="1"/>
      <c r="AA28" s="26" t="s">
        <v>33</v>
      </c>
      <c r="AB28" s="43">
        <v>1.0</v>
      </c>
      <c r="AC28" s="46" t="s">
        <v>34</v>
      </c>
      <c r="AD28" s="46" t="s">
        <v>35</v>
      </c>
      <c r="AE28" s="30"/>
      <c r="AF28" s="30"/>
      <c r="AG28" s="31" t="s">
        <v>36</v>
      </c>
      <c r="AH28" s="23"/>
      <c r="AI28" s="31"/>
      <c r="AJ28" s="23"/>
      <c r="AK28" s="48"/>
      <c r="AL28" s="1"/>
      <c r="AM28" s="26" t="s">
        <v>33</v>
      </c>
      <c r="AN28" s="43">
        <v>1.0</v>
      </c>
      <c r="AO28" s="46" t="s">
        <v>34</v>
      </c>
      <c r="AP28" s="46" t="s">
        <v>35</v>
      </c>
      <c r="AQ28" s="30"/>
      <c r="AR28" s="30"/>
      <c r="AS28" s="31" t="s">
        <v>36</v>
      </c>
      <c r="AT28" s="23"/>
      <c r="AU28" s="31"/>
      <c r="AV28" s="23"/>
      <c r="AW28" s="34"/>
      <c r="AX28" s="34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2"/>
      <c r="AL29" s="1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6"/>
      <c r="AX29" s="36"/>
    </row>
    <row r="30" ht="20.25" customHeight="1">
      <c r="A30" s="1"/>
      <c r="B30" s="1"/>
      <c r="C30" s="37" t="s">
        <v>25</v>
      </c>
      <c r="D30" s="38"/>
      <c r="E30" s="38"/>
      <c r="F30" s="38"/>
      <c r="G30" s="38"/>
      <c r="H30" s="38"/>
      <c r="I30" s="38"/>
      <c r="J30" s="38"/>
      <c r="K30" s="38"/>
      <c r="L30" s="23"/>
      <c r="M30" s="5"/>
      <c r="N30" s="1"/>
      <c r="O30" s="37" t="s">
        <v>25</v>
      </c>
      <c r="P30" s="38"/>
      <c r="Q30" s="38"/>
      <c r="R30" s="38"/>
      <c r="S30" s="38"/>
      <c r="T30" s="38"/>
      <c r="U30" s="38"/>
      <c r="V30" s="38"/>
      <c r="W30" s="38"/>
      <c r="X30" s="23"/>
      <c r="Y30" s="49"/>
      <c r="Z30" s="1"/>
      <c r="AA30" s="37" t="s">
        <v>25</v>
      </c>
      <c r="AB30" s="38"/>
      <c r="AC30" s="38"/>
      <c r="AD30" s="38"/>
      <c r="AE30" s="38"/>
      <c r="AF30" s="38"/>
      <c r="AG30" s="38"/>
      <c r="AH30" s="38"/>
      <c r="AI30" s="38"/>
      <c r="AJ30" s="23"/>
      <c r="AK30" s="3"/>
      <c r="AL30" s="1"/>
      <c r="AM30" s="37" t="s">
        <v>25</v>
      </c>
      <c r="AN30" s="38"/>
      <c r="AO30" s="38"/>
      <c r="AP30" s="38"/>
      <c r="AQ30" s="38"/>
      <c r="AR30" s="38"/>
      <c r="AS30" s="38"/>
      <c r="AT30" s="38"/>
      <c r="AU30" s="38"/>
      <c r="AV30" s="23"/>
      <c r="AW30" s="39"/>
      <c r="AX30" s="39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2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33"/>
      <c r="AL31" s="2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36"/>
      <c r="AX31" s="36"/>
    </row>
    <row r="32">
      <c r="A32" s="1"/>
      <c r="B32" s="16"/>
      <c r="C32" s="12" t="s">
        <v>37</v>
      </c>
      <c r="D32" s="40"/>
      <c r="E32" s="40"/>
      <c r="F32" s="1"/>
      <c r="G32" s="1"/>
      <c r="H32" s="1"/>
      <c r="I32" s="1"/>
      <c r="J32" s="1"/>
      <c r="K32" s="1"/>
      <c r="L32" s="1"/>
      <c r="M32" s="32"/>
      <c r="N32" s="16"/>
      <c r="O32" s="12" t="s">
        <v>37</v>
      </c>
      <c r="P32" s="40"/>
      <c r="Q32" s="40"/>
      <c r="R32" s="1"/>
      <c r="S32" s="1"/>
      <c r="T32" s="1"/>
      <c r="U32" s="1"/>
      <c r="V32" s="1"/>
      <c r="W32" s="1"/>
      <c r="X32" s="1"/>
      <c r="Y32" s="34"/>
      <c r="Z32" s="16"/>
      <c r="AA32" s="12" t="s">
        <v>37</v>
      </c>
      <c r="AB32" s="40"/>
      <c r="AC32" s="40"/>
      <c r="AD32" s="1"/>
      <c r="AE32" s="1"/>
      <c r="AF32" s="1"/>
      <c r="AG32" s="1"/>
      <c r="AH32" s="1"/>
      <c r="AI32" s="1"/>
      <c r="AJ32" s="1"/>
      <c r="AK32" s="33"/>
      <c r="AL32" s="16"/>
      <c r="AM32" s="12" t="s">
        <v>37</v>
      </c>
      <c r="AN32" s="40"/>
      <c r="AO32" s="40"/>
      <c r="AP32" s="1"/>
      <c r="AQ32" s="1"/>
      <c r="AR32" s="1"/>
      <c r="AS32" s="1"/>
      <c r="AT32" s="1"/>
      <c r="AU32" s="1"/>
      <c r="AV32" s="1"/>
      <c r="AW32" s="1"/>
      <c r="AX32" s="1"/>
    </row>
    <row r="33" ht="20.25" customHeight="1">
      <c r="A33" s="7"/>
      <c r="B33" s="50" t="s">
        <v>38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0" t="s">
        <v>38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50" t="s">
        <v>38</v>
      </c>
      <c r="AA33" s="21" t="s">
        <v>6</v>
      </c>
      <c r="AB33" s="21" t="s">
        <v>7</v>
      </c>
      <c r="AC33" s="21" t="s">
        <v>8</v>
      </c>
      <c r="AD33" s="20" t="s">
        <v>9</v>
      </c>
      <c r="AE33" s="21" t="s">
        <v>10</v>
      </c>
      <c r="AF33" s="21" t="s">
        <v>11</v>
      </c>
      <c r="AG33" s="22" t="s">
        <v>12</v>
      </c>
      <c r="AH33" s="23"/>
      <c r="AI33" s="22" t="s">
        <v>13</v>
      </c>
      <c r="AJ33" s="23"/>
      <c r="AK33" s="51"/>
      <c r="AL33" s="50" t="s">
        <v>38</v>
      </c>
      <c r="AM33" s="21" t="s">
        <v>6</v>
      </c>
      <c r="AN33" s="21" t="s">
        <v>7</v>
      </c>
      <c r="AO33" s="21" t="s">
        <v>8</v>
      </c>
      <c r="AP33" s="20" t="s">
        <v>9</v>
      </c>
      <c r="AQ33" s="21" t="s">
        <v>10</v>
      </c>
      <c r="AR33" s="21" t="s">
        <v>11</v>
      </c>
      <c r="AS33" s="22" t="s">
        <v>12</v>
      </c>
      <c r="AT33" s="23"/>
      <c r="AU33" s="22" t="s">
        <v>13</v>
      </c>
      <c r="AV33" s="23"/>
      <c r="AW33" s="25"/>
      <c r="AX33" s="25"/>
    </row>
    <row r="34" ht="20.25" customHeight="1">
      <c r="A34" s="52"/>
      <c r="B34" s="1"/>
      <c r="C34" s="26" t="s">
        <v>39</v>
      </c>
      <c r="D34" s="43">
        <v>3.0</v>
      </c>
      <c r="E34" s="43">
        <v>8.0</v>
      </c>
      <c r="F34" s="43">
        <v>8.0</v>
      </c>
      <c r="G34" s="44"/>
      <c r="H34" s="30"/>
      <c r="I34" s="31"/>
      <c r="J34" s="23"/>
      <c r="K34" s="31"/>
      <c r="L34" s="23"/>
      <c r="M34" s="5"/>
      <c r="N34" s="1"/>
      <c r="O34" s="26" t="s">
        <v>39</v>
      </c>
      <c r="P34" s="43">
        <v>3.0</v>
      </c>
      <c r="Q34" s="43">
        <v>8.0</v>
      </c>
      <c r="R34" s="43">
        <v>8.0</v>
      </c>
      <c r="S34" s="44"/>
      <c r="T34" s="30"/>
      <c r="U34" s="31"/>
      <c r="V34" s="23"/>
      <c r="W34" s="31"/>
      <c r="X34" s="23"/>
      <c r="Y34" s="24"/>
      <c r="Z34" s="1"/>
      <c r="AA34" s="26" t="s">
        <v>39</v>
      </c>
      <c r="AB34" s="43">
        <v>3.0</v>
      </c>
      <c r="AC34" s="43">
        <v>8.0</v>
      </c>
      <c r="AD34" s="43">
        <v>8.0</v>
      </c>
      <c r="AE34" s="44"/>
      <c r="AF34" s="30"/>
      <c r="AG34" s="31"/>
      <c r="AH34" s="23"/>
      <c r="AI34" s="31"/>
      <c r="AJ34" s="23"/>
      <c r="AK34" s="53"/>
      <c r="AL34" s="1"/>
      <c r="AM34" s="26" t="s">
        <v>39</v>
      </c>
      <c r="AN34" s="43">
        <v>3.0</v>
      </c>
      <c r="AO34" s="43">
        <v>8.0</v>
      </c>
      <c r="AP34" s="43">
        <v>8.0</v>
      </c>
      <c r="AQ34" s="44"/>
      <c r="AR34" s="30"/>
      <c r="AS34" s="31"/>
      <c r="AT34" s="23"/>
      <c r="AU34" s="31"/>
      <c r="AV34" s="23"/>
      <c r="AW34" s="34"/>
      <c r="AX34" s="34"/>
    </row>
    <row r="35" ht="20.25" customHeight="1">
      <c r="A35" s="4"/>
      <c r="B35" s="1"/>
      <c r="C35" s="26" t="s">
        <v>40</v>
      </c>
      <c r="D35" s="42">
        <v>3.0</v>
      </c>
      <c r="E35" s="43" t="s">
        <v>17</v>
      </c>
      <c r="F35" s="43">
        <v>8.0</v>
      </c>
      <c r="G35" s="30"/>
      <c r="H35" s="30"/>
      <c r="I35" s="31"/>
      <c r="J35" s="23"/>
      <c r="K35" s="31"/>
      <c r="L35" s="23"/>
      <c r="M35" s="32"/>
      <c r="N35" s="1"/>
      <c r="O35" s="26" t="s">
        <v>40</v>
      </c>
      <c r="P35" s="42">
        <v>3.0</v>
      </c>
      <c r="Q35" s="43" t="s">
        <v>17</v>
      </c>
      <c r="R35" s="43">
        <v>8.0</v>
      </c>
      <c r="S35" s="30"/>
      <c r="T35" s="30"/>
      <c r="U35" s="31"/>
      <c r="V35" s="23"/>
      <c r="W35" s="31"/>
      <c r="X35" s="23"/>
      <c r="Y35" s="34"/>
      <c r="Z35" s="1"/>
      <c r="AA35" s="26" t="s">
        <v>40</v>
      </c>
      <c r="AB35" s="42">
        <v>3.0</v>
      </c>
      <c r="AC35" s="43" t="s">
        <v>17</v>
      </c>
      <c r="AD35" s="43">
        <v>8.0</v>
      </c>
      <c r="AE35" s="30"/>
      <c r="AF35" s="30"/>
      <c r="AG35" s="31"/>
      <c r="AH35" s="23"/>
      <c r="AI35" s="31"/>
      <c r="AJ35" s="23"/>
      <c r="AK35" s="33"/>
      <c r="AL35" s="1"/>
      <c r="AM35" s="26" t="s">
        <v>40</v>
      </c>
      <c r="AN35" s="42">
        <v>3.0</v>
      </c>
      <c r="AO35" s="43" t="s">
        <v>17</v>
      </c>
      <c r="AP35" s="43">
        <v>8.0</v>
      </c>
      <c r="AQ35" s="30"/>
      <c r="AR35" s="30"/>
      <c r="AS35" s="31"/>
      <c r="AT35" s="23"/>
      <c r="AU35" s="31"/>
      <c r="AV35" s="23"/>
      <c r="AW35" s="34"/>
      <c r="AX35" s="34"/>
    </row>
    <row r="36" ht="20.25" customHeight="1">
      <c r="A36" s="1"/>
      <c r="B36" s="1"/>
      <c r="C36" s="26" t="s">
        <v>41</v>
      </c>
      <c r="D36" s="43">
        <v>3.0</v>
      </c>
      <c r="E36" s="42" t="s">
        <v>17</v>
      </c>
      <c r="F36" s="43">
        <v>8.0</v>
      </c>
      <c r="G36" s="30"/>
      <c r="H36" s="54"/>
      <c r="I36" s="31"/>
      <c r="J36" s="23"/>
      <c r="K36" s="31"/>
      <c r="L36" s="23"/>
      <c r="M36" s="32"/>
      <c r="N36" s="1"/>
      <c r="O36" s="26" t="s">
        <v>41</v>
      </c>
      <c r="P36" s="43">
        <v>3.0</v>
      </c>
      <c r="Q36" s="42" t="s">
        <v>17</v>
      </c>
      <c r="R36" s="43">
        <v>8.0</v>
      </c>
      <c r="S36" s="30"/>
      <c r="T36" s="54"/>
      <c r="U36" s="31"/>
      <c r="V36" s="23"/>
      <c r="W36" s="31"/>
      <c r="X36" s="23"/>
      <c r="Y36" s="1"/>
      <c r="Z36" s="1"/>
      <c r="AA36" s="26" t="s">
        <v>41</v>
      </c>
      <c r="AB36" s="43">
        <v>3.0</v>
      </c>
      <c r="AC36" s="42" t="s">
        <v>17</v>
      </c>
      <c r="AD36" s="43">
        <v>8.0</v>
      </c>
      <c r="AE36" s="30"/>
      <c r="AF36" s="54"/>
      <c r="AG36" s="31"/>
      <c r="AH36" s="23"/>
      <c r="AI36" s="31"/>
      <c r="AJ36" s="23"/>
      <c r="AK36" s="33"/>
      <c r="AL36" s="1"/>
      <c r="AM36" s="26" t="s">
        <v>41</v>
      </c>
      <c r="AN36" s="43">
        <v>3.0</v>
      </c>
      <c r="AO36" s="42" t="s">
        <v>17</v>
      </c>
      <c r="AP36" s="43">
        <v>8.0</v>
      </c>
      <c r="AQ36" s="30"/>
      <c r="AR36" s="54"/>
      <c r="AS36" s="31"/>
      <c r="AT36" s="23"/>
      <c r="AU36" s="31"/>
      <c r="AV36" s="23"/>
      <c r="AW36" s="34"/>
      <c r="AX36" s="34"/>
    </row>
    <row r="37" ht="20.25" customHeight="1">
      <c r="A37" s="1"/>
      <c r="B37" s="1"/>
      <c r="C37" s="26" t="s">
        <v>42</v>
      </c>
      <c r="D37" s="43">
        <v>3.0</v>
      </c>
      <c r="E37" s="42" t="s">
        <v>17</v>
      </c>
      <c r="F37" s="43">
        <v>8.0</v>
      </c>
      <c r="G37" s="30"/>
      <c r="H37" s="54"/>
      <c r="I37" s="31"/>
      <c r="J37" s="23"/>
      <c r="K37" s="31"/>
      <c r="L37" s="23"/>
      <c r="M37" s="32"/>
      <c r="N37" s="1"/>
      <c r="O37" s="26" t="s">
        <v>42</v>
      </c>
      <c r="P37" s="43">
        <v>3.0</v>
      </c>
      <c r="Q37" s="42" t="s">
        <v>17</v>
      </c>
      <c r="R37" s="43">
        <v>8.0</v>
      </c>
      <c r="S37" s="30"/>
      <c r="T37" s="54"/>
      <c r="U37" s="31"/>
      <c r="V37" s="23"/>
      <c r="W37" s="31"/>
      <c r="X37" s="23"/>
      <c r="Y37" s="1"/>
      <c r="Z37" s="1"/>
      <c r="AA37" s="26" t="s">
        <v>42</v>
      </c>
      <c r="AB37" s="43">
        <v>3.0</v>
      </c>
      <c r="AC37" s="42" t="s">
        <v>17</v>
      </c>
      <c r="AD37" s="43">
        <v>8.0</v>
      </c>
      <c r="AE37" s="30"/>
      <c r="AF37" s="54"/>
      <c r="AG37" s="31"/>
      <c r="AH37" s="23"/>
      <c r="AI37" s="31"/>
      <c r="AJ37" s="23"/>
      <c r="AK37" s="33"/>
      <c r="AL37" s="1"/>
      <c r="AM37" s="26" t="s">
        <v>42</v>
      </c>
      <c r="AN37" s="43">
        <v>3.0</v>
      </c>
      <c r="AO37" s="42" t="s">
        <v>17</v>
      </c>
      <c r="AP37" s="43">
        <v>8.0</v>
      </c>
      <c r="AQ37" s="30"/>
      <c r="AR37" s="54"/>
      <c r="AS37" s="31"/>
      <c r="AT37" s="23"/>
      <c r="AU37" s="31"/>
      <c r="AV37" s="23"/>
      <c r="AW37" s="34"/>
      <c r="AX37" s="34"/>
    </row>
    <row r="38" ht="20.25" customHeight="1">
      <c r="A38" s="1"/>
      <c r="B38" s="16"/>
      <c r="C38" s="26" t="s">
        <v>43</v>
      </c>
      <c r="D38" s="42">
        <v>3.0</v>
      </c>
      <c r="E38" s="42" t="s">
        <v>17</v>
      </c>
      <c r="F38" s="43">
        <v>8.0</v>
      </c>
      <c r="G38" s="30"/>
      <c r="H38" s="30"/>
      <c r="I38" s="31"/>
      <c r="J38" s="23"/>
      <c r="K38" s="31"/>
      <c r="L38" s="23"/>
      <c r="M38" s="5"/>
      <c r="N38" s="16"/>
      <c r="O38" s="26" t="s">
        <v>43</v>
      </c>
      <c r="P38" s="42">
        <v>3.0</v>
      </c>
      <c r="Q38" s="42" t="s">
        <v>17</v>
      </c>
      <c r="R38" s="43">
        <v>8.0</v>
      </c>
      <c r="S38" s="30"/>
      <c r="T38" s="30"/>
      <c r="U38" s="31"/>
      <c r="V38" s="23"/>
      <c r="W38" s="31"/>
      <c r="X38" s="23"/>
      <c r="Y38" s="49"/>
      <c r="Z38" s="16"/>
      <c r="AA38" s="26" t="s">
        <v>43</v>
      </c>
      <c r="AB38" s="42">
        <v>3.0</v>
      </c>
      <c r="AC38" s="42" t="s">
        <v>17</v>
      </c>
      <c r="AD38" s="43">
        <v>8.0</v>
      </c>
      <c r="AE38" s="30"/>
      <c r="AF38" s="30"/>
      <c r="AG38" s="31"/>
      <c r="AH38" s="23"/>
      <c r="AI38" s="31"/>
      <c r="AJ38" s="23"/>
      <c r="AK38" s="3"/>
      <c r="AL38" s="16"/>
      <c r="AM38" s="26" t="s">
        <v>43</v>
      </c>
      <c r="AN38" s="42">
        <v>3.0</v>
      </c>
      <c r="AO38" s="42" t="s">
        <v>17</v>
      </c>
      <c r="AP38" s="43">
        <v>8.0</v>
      </c>
      <c r="AQ38" s="30"/>
      <c r="AR38" s="30"/>
      <c r="AS38" s="31"/>
      <c r="AT38" s="23"/>
      <c r="AU38" s="31"/>
      <c r="AV38" s="23"/>
      <c r="AW38" s="34"/>
      <c r="AX38" s="34"/>
    </row>
    <row r="39" ht="20.25" customHeight="1">
      <c r="A39" s="4"/>
      <c r="B39" s="16"/>
      <c r="C39" s="26" t="s">
        <v>44</v>
      </c>
      <c r="D39" s="42">
        <v>3.0</v>
      </c>
      <c r="E39" s="43" t="s">
        <v>17</v>
      </c>
      <c r="F39" s="43">
        <v>8.0</v>
      </c>
      <c r="G39" s="30"/>
      <c r="H39" s="55"/>
      <c r="I39" s="31"/>
      <c r="J39" s="23"/>
      <c r="K39" s="31"/>
      <c r="L39" s="23"/>
      <c r="M39" s="32"/>
      <c r="N39" s="16"/>
      <c r="O39" s="26" t="s">
        <v>44</v>
      </c>
      <c r="P39" s="42">
        <v>3.0</v>
      </c>
      <c r="Q39" s="43" t="s">
        <v>17</v>
      </c>
      <c r="R39" s="43">
        <v>8.0</v>
      </c>
      <c r="S39" s="30"/>
      <c r="T39" s="55"/>
      <c r="U39" s="31"/>
      <c r="V39" s="23"/>
      <c r="W39" s="31"/>
      <c r="X39" s="23"/>
      <c r="Y39" s="34"/>
      <c r="Z39" s="16"/>
      <c r="AA39" s="26" t="s">
        <v>44</v>
      </c>
      <c r="AB39" s="42">
        <v>3.0</v>
      </c>
      <c r="AC39" s="43" t="s">
        <v>17</v>
      </c>
      <c r="AD39" s="43">
        <v>8.0</v>
      </c>
      <c r="AE39" s="30"/>
      <c r="AF39" s="55"/>
      <c r="AG39" s="31"/>
      <c r="AH39" s="23"/>
      <c r="AI39" s="31"/>
      <c r="AJ39" s="23"/>
      <c r="AK39" s="33"/>
      <c r="AL39" s="16"/>
      <c r="AM39" s="26" t="s">
        <v>44</v>
      </c>
      <c r="AN39" s="42">
        <v>3.0</v>
      </c>
      <c r="AO39" s="43" t="s">
        <v>17</v>
      </c>
      <c r="AP39" s="43">
        <v>8.0</v>
      </c>
      <c r="AQ39" s="30"/>
      <c r="AR39" s="55"/>
      <c r="AS39" s="31"/>
      <c r="AT39" s="23"/>
      <c r="AU39" s="31"/>
      <c r="AV39" s="23"/>
      <c r="AW39" s="34"/>
      <c r="AX39" s="34"/>
    </row>
    <row r="40" ht="20.25" customHeight="1">
      <c r="A40" s="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5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2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2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36"/>
      <c r="AX40" s="36"/>
    </row>
    <row r="41" ht="20.25" customHeight="1">
      <c r="A41" s="1"/>
      <c r="B41" s="1"/>
      <c r="C41" s="37" t="s">
        <v>45</v>
      </c>
      <c r="D41" s="38"/>
      <c r="E41" s="38"/>
      <c r="F41" s="38"/>
      <c r="G41" s="38"/>
      <c r="H41" s="38"/>
      <c r="I41" s="38"/>
      <c r="J41" s="38"/>
      <c r="K41" s="38"/>
      <c r="L41" s="23"/>
      <c r="M41" s="5"/>
      <c r="N41" s="1"/>
      <c r="O41" s="37" t="s">
        <v>45</v>
      </c>
      <c r="P41" s="38"/>
      <c r="Q41" s="38"/>
      <c r="R41" s="38"/>
      <c r="S41" s="38"/>
      <c r="T41" s="38"/>
      <c r="U41" s="38"/>
      <c r="V41" s="38"/>
      <c r="W41" s="38"/>
      <c r="X41" s="23"/>
      <c r="Y41" s="2"/>
      <c r="Z41" s="1"/>
      <c r="AA41" s="37" t="s">
        <v>45</v>
      </c>
      <c r="AB41" s="38"/>
      <c r="AC41" s="38"/>
      <c r="AD41" s="38"/>
      <c r="AE41" s="38"/>
      <c r="AF41" s="38"/>
      <c r="AG41" s="38"/>
      <c r="AH41" s="38"/>
      <c r="AI41" s="38"/>
      <c r="AJ41" s="23"/>
      <c r="AK41" s="2"/>
      <c r="AL41" s="1"/>
      <c r="AM41" s="37" t="s">
        <v>45</v>
      </c>
      <c r="AN41" s="38"/>
      <c r="AO41" s="38"/>
      <c r="AP41" s="38"/>
      <c r="AQ41" s="38"/>
      <c r="AR41" s="38"/>
      <c r="AS41" s="38"/>
      <c r="AT41" s="38"/>
      <c r="AU41" s="38"/>
      <c r="AV41" s="23"/>
      <c r="AW41" s="39"/>
      <c r="AX41" s="39"/>
    </row>
    <row r="42" ht="20.25" customHeight="1">
      <c r="A42" s="1"/>
      <c r="B42" s="16"/>
      <c r="C42" s="16"/>
      <c r="D42" s="16"/>
      <c r="E42" s="16"/>
      <c r="F42" s="16"/>
      <c r="G42" s="56"/>
      <c r="H42" s="1"/>
      <c r="I42" s="1"/>
      <c r="J42" s="1"/>
      <c r="K42" s="1"/>
      <c r="L42" s="1"/>
      <c r="M42" s="5"/>
      <c r="N42" s="16"/>
      <c r="O42" s="16"/>
      <c r="P42" s="16"/>
      <c r="Q42" s="16"/>
      <c r="R42" s="16"/>
      <c r="S42" s="56"/>
      <c r="T42" s="1"/>
      <c r="U42" s="1"/>
      <c r="V42" s="1"/>
      <c r="W42" s="1"/>
      <c r="X42" s="1"/>
      <c r="Y42" s="57"/>
      <c r="Z42" s="18"/>
      <c r="AA42" s="18"/>
      <c r="AB42" s="18"/>
      <c r="AC42" s="18"/>
      <c r="AD42" s="18"/>
      <c r="AE42" s="11"/>
      <c r="AF42" s="11"/>
      <c r="AG42" s="11"/>
      <c r="AH42" s="11"/>
      <c r="AI42" s="11"/>
      <c r="AJ42" s="11"/>
      <c r="AK42" s="2"/>
      <c r="AL42" s="18"/>
      <c r="AM42" s="18"/>
      <c r="AN42" s="18"/>
      <c r="AO42" s="18"/>
      <c r="AP42" s="18"/>
      <c r="AQ42" s="11"/>
      <c r="AR42" s="11"/>
      <c r="AS42" s="11"/>
      <c r="AT42" s="11"/>
      <c r="AU42" s="11"/>
      <c r="AV42" s="11"/>
      <c r="AW42" s="11"/>
      <c r="AX42" s="11"/>
    </row>
    <row r="43" ht="20.25" customHeight="1">
      <c r="A43" s="1"/>
      <c r="B43" s="16"/>
      <c r="C43" s="16"/>
      <c r="D43" s="16"/>
      <c r="E43" s="16"/>
      <c r="F43" s="16"/>
      <c r="G43" s="56"/>
      <c r="H43" s="58"/>
      <c r="I43" s="1"/>
      <c r="J43" s="1"/>
      <c r="K43" s="1"/>
      <c r="L43" s="1"/>
      <c r="M43" s="5"/>
      <c r="N43" s="2"/>
      <c r="O43" s="2"/>
      <c r="P43" s="2"/>
      <c r="Q43" s="2"/>
      <c r="R43" s="2"/>
      <c r="S43" s="2"/>
      <c r="T43" s="58"/>
      <c r="U43" s="1"/>
      <c r="V43" s="1"/>
      <c r="W43" s="1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</row>
    <row r="44" ht="20.25" customHeight="1">
      <c r="A44" s="1"/>
      <c r="B44" s="59" t="s">
        <v>46</v>
      </c>
      <c r="C44" s="9"/>
      <c r="D44" s="9"/>
      <c r="E44" s="9"/>
      <c r="F44" s="10"/>
      <c r="G44" s="60"/>
      <c r="H44" s="1"/>
      <c r="I44" s="1"/>
      <c r="J44" s="1"/>
      <c r="K44" s="1"/>
      <c r="L44" s="1"/>
      <c r="M44" s="5"/>
      <c r="N44" s="2"/>
      <c r="O44" s="2"/>
      <c r="P44" s="2"/>
      <c r="Q44" s="2"/>
      <c r="R44" s="2"/>
      <c r="S44" s="2"/>
      <c r="T44" s="1"/>
      <c r="U44" s="1"/>
      <c r="V44" s="1"/>
      <c r="W44" s="1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</row>
    <row r="45" ht="20.25" customHeight="1">
      <c r="A45" s="1"/>
      <c r="B45" s="13"/>
      <c r="C45" s="14"/>
      <c r="D45" s="14"/>
      <c r="E45" s="14"/>
      <c r="F45" s="15"/>
      <c r="G45" s="60"/>
      <c r="H45" s="1"/>
      <c r="I45" s="1"/>
      <c r="J45" s="1"/>
      <c r="K45" s="1"/>
      <c r="L45" s="1"/>
      <c r="M45" s="5"/>
      <c r="N45" s="2"/>
      <c r="O45" s="2"/>
      <c r="P45" s="2"/>
      <c r="Q45" s="2"/>
      <c r="R45" s="2"/>
      <c r="S45" s="2"/>
      <c r="T45" s="1"/>
      <c r="U45" s="1"/>
      <c r="V45" s="1"/>
      <c r="W45" s="1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</row>
    <row r="46" ht="20.25" customHeight="1">
      <c r="A46" s="1"/>
      <c r="B46" s="61" t="s">
        <v>6</v>
      </c>
      <c r="C46" s="9"/>
      <c r="D46" s="10"/>
      <c r="E46" s="62" t="s">
        <v>7</v>
      </c>
      <c r="F46" s="62" t="s">
        <v>47</v>
      </c>
      <c r="G46" s="7"/>
      <c r="H46" s="1"/>
      <c r="I46" s="1"/>
      <c r="J46" s="1"/>
      <c r="K46" s="1"/>
      <c r="L46" s="1"/>
      <c r="M46" s="5"/>
      <c r="N46" s="2"/>
      <c r="O46" s="2"/>
      <c r="P46" s="2"/>
      <c r="Q46" s="2"/>
      <c r="R46" s="2"/>
      <c r="S46" s="2"/>
      <c r="T46" s="1"/>
      <c r="U46" s="1"/>
      <c r="V46" s="1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ht="20.25" customHeight="1">
      <c r="A47" s="1"/>
      <c r="B47" s="13"/>
      <c r="C47" s="14"/>
      <c r="D47" s="15"/>
      <c r="E47" s="63"/>
      <c r="F47" s="63"/>
      <c r="G47" s="7"/>
      <c r="H47" s="1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1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ht="20.25" customHeight="1">
      <c r="A48" s="1"/>
      <c r="B48" s="64" t="s">
        <v>48</v>
      </c>
      <c r="C48" s="9"/>
      <c r="D48" s="9"/>
      <c r="E48" s="9"/>
      <c r="F48" s="10"/>
      <c r="G48" s="65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1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13"/>
      <c r="C49" s="14"/>
      <c r="D49" s="14"/>
      <c r="E49" s="14"/>
      <c r="F49" s="15"/>
      <c r="G49" s="65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1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6"/>
      <c r="B50" s="66" t="s">
        <v>49</v>
      </c>
      <c r="C50" s="9"/>
      <c r="D50" s="10"/>
      <c r="E50" s="67">
        <v>1.0</v>
      </c>
      <c r="F50" s="68" t="s">
        <v>50</v>
      </c>
      <c r="G50" s="69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1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13"/>
      <c r="C51" s="14"/>
      <c r="D51" s="15"/>
      <c r="E51" s="63"/>
      <c r="F51" s="63"/>
      <c r="G51" s="69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1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66" t="s">
        <v>51</v>
      </c>
      <c r="C52" s="9"/>
      <c r="D52" s="10"/>
      <c r="E52" s="67">
        <v>1.0</v>
      </c>
      <c r="F52" s="68" t="s">
        <v>52</v>
      </c>
      <c r="G52" s="2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3"/>
      <c r="C53" s="14"/>
      <c r="D53" s="15"/>
      <c r="E53" s="63"/>
      <c r="F53" s="63"/>
      <c r="G53" s="2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70" t="s">
        <v>53</v>
      </c>
      <c r="C54" s="9"/>
      <c r="D54" s="10"/>
      <c r="E54" s="71">
        <v>1.0</v>
      </c>
      <c r="F54" s="72" t="s">
        <v>52</v>
      </c>
      <c r="G54" s="2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5"/>
      <c r="E55" s="63"/>
      <c r="F55" s="63"/>
      <c r="G55" s="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2"/>
      <c r="C56" s="2"/>
      <c r="D56" s="3"/>
      <c r="E56" s="3"/>
      <c r="F56" s="2"/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2"/>
      <c r="C57" s="2"/>
      <c r="D57" s="3"/>
      <c r="E57" s="3"/>
      <c r="F57" s="2"/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2"/>
      <c r="C58" s="2"/>
      <c r="D58" s="3"/>
      <c r="E58" s="3"/>
      <c r="F58" s="2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73"/>
      <c r="C59" s="2"/>
      <c r="D59" s="3"/>
      <c r="E59" s="3"/>
      <c r="F59" s="2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73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73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73"/>
      <c r="C62" s="74"/>
      <c r="D62" s="3"/>
      <c r="E62" s="3"/>
      <c r="F62" s="2"/>
      <c r="G62" s="4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73"/>
      <c r="C63" s="2"/>
      <c r="D63" s="3"/>
      <c r="E63" s="3"/>
      <c r="F63" s="2"/>
      <c r="G63" s="4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4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4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4"/>
      <c r="C66" s="4"/>
      <c r="D66" s="75"/>
      <c r="E66" s="75"/>
      <c r="F66" s="4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4"/>
      <c r="C67" s="4"/>
      <c r="D67" s="75"/>
      <c r="E67" s="75"/>
      <c r="F67" s="4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4"/>
      <c r="C68" s="4"/>
      <c r="D68" s="75"/>
      <c r="E68" s="75"/>
      <c r="F68" s="4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4"/>
      <c r="C69" s="4"/>
      <c r="D69" s="75"/>
      <c r="E69" s="75"/>
      <c r="F69" s="4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4"/>
      <c r="C70" s="4"/>
      <c r="D70" s="75"/>
      <c r="E70" s="75"/>
      <c r="F70" s="4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2"/>
      <c r="H72" s="1"/>
      <c r="I72" s="1"/>
      <c r="J72" s="1"/>
      <c r="K72" s="1"/>
      <c r="L72" s="1"/>
      <c r="M72" s="5"/>
      <c r="N72" s="1"/>
      <c r="O72" s="2"/>
      <c r="P72" s="2"/>
      <c r="Q72" s="2"/>
      <c r="R72" s="2"/>
      <c r="S72" s="2"/>
      <c r="T72" s="1"/>
      <c r="U72" s="1"/>
      <c r="V72" s="1"/>
      <c r="W72" s="1"/>
      <c r="X72" s="1"/>
      <c r="Y72" s="1"/>
      <c r="Z72" s="1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"/>
      <c r="C73" s="2"/>
      <c r="D73" s="3"/>
      <c r="E73" s="3"/>
      <c r="F73" s="2"/>
      <c r="G73" s="2"/>
      <c r="H73" s="1"/>
      <c r="I73" s="1"/>
      <c r="J73" s="1"/>
      <c r="K73" s="1"/>
      <c r="L73" s="1"/>
      <c r="M73" s="5"/>
      <c r="N73" s="1"/>
      <c r="O73" s="2"/>
      <c r="P73" s="2"/>
      <c r="Q73" s="2"/>
      <c r="R73" s="2"/>
      <c r="S73" s="2"/>
      <c r="T73" s="1"/>
      <c r="U73" s="1"/>
      <c r="V73" s="1"/>
      <c r="W73" s="1"/>
      <c r="X73" s="1"/>
      <c r="Y73" s="1"/>
      <c r="Z73" s="1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1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1"/>
      <c r="P80" s="1"/>
      <c r="Q80" s="1"/>
      <c r="R80" s="1"/>
      <c r="S80" s="1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1"/>
      <c r="P81" s="1"/>
      <c r="Q81" s="1"/>
      <c r="R81" s="1"/>
      <c r="S81" s="1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1"/>
      <c r="D85" s="40"/>
      <c r="E85" s="40"/>
      <c r="F85" s="1"/>
      <c r="G85" s="1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1"/>
      <c r="D86" s="40"/>
      <c r="E86" s="40"/>
      <c r="F86" s="1"/>
      <c r="G86" s="1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1"/>
      <c r="D87" s="40"/>
      <c r="E87" s="40"/>
      <c r="F87" s="1"/>
      <c r="G87" s="1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1"/>
      <c r="D88" s="40"/>
      <c r="E88" s="40"/>
      <c r="F88" s="1"/>
      <c r="G88" s="1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40"/>
      <c r="E89" s="40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40"/>
      <c r="E90" s="40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40"/>
      <c r="E91" s="40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40"/>
      <c r="E92" s="40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40"/>
      <c r="E93" s="40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40"/>
      <c r="E94" s="40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0"/>
      <c r="E95" s="40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0"/>
      <c r="E96" s="40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0"/>
      <c r="E97" s="40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2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ht="20.25" customHeight="1">
      <c r="A98" s="1"/>
      <c r="B98" s="2"/>
      <c r="C98" s="1"/>
      <c r="D98" s="40"/>
      <c r="E98" s="40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2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ht="20.25" customHeight="1">
      <c r="A99" s="1"/>
      <c r="B99" s="2"/>
      <c r="C99" s="1"/>
      <c r="D99" s="40"/>
      <c r="E99" s="40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2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ht="20.25" customHeight="1">
      <c r="A100" s="1"/>
      <c r="B100" s="2"/>
      <c r="C100" s="1"/>
      <c r="D100" s="40"/>
      <c r="E100" s="40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2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ht="20.25" customHeight="1">
      <c r="A101" s="1"/>
      <c r="B101" s="2"/>
      <c r="C101" s="1"/>
      <c r="D101" s="40"/>
      <c r="E101" s="40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40"/>
      <c r="E102" s="40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40"/>
      <c r="E103" s="40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40"/>
      <c r="E104" s="40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40"/>
      <c r="E105" s="40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40"/>
      <c r="E106" s="40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40"/>
      <c r="E107" s="40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0"/>
      <c r="E108" s="40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0"/>
      <c r="E109" s="40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0"/>
      <c r="E110" s="40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0"/>
      <c r="E111" s="40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0"/>
      <c r="E112" s="40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0"/>
      <c r="E113" s="40"/>
      <c r="F113" s="1"/>
      <c r="G113" s="1"/>
      <c r="H113" s="1"/>
      <c r="I113" s="1"/>
      <c r="J113" s="1"/>
      <c r="K113" s="1"/>
      <c r="L113" s="1"/>
      <c r="M113" s="5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0"/>
      <c r="E114" s="40"/>
      <c r="F114" s="1"/>
      <c r="G114" s="1"/>
      <c r="H114" s="1"/>
      <c r="I114" s="1"/>
      <c r="J114" s="1"/>
      <c r="K114" s="1"/>
      <c r="L114" s="1"/>
      <c r="M114" s="5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0"/>
      <c r="E115" s="40"/>
      <c r="F115" s="1"/>
      <c r="G115" s="1"/>
      <c r="H115" s="1"/>
      <c r="I115" s="1"/>
      <c r="J115" s="1"/>
      <c r="K115" s="1"/>
      <c r="L115" s="1"/>
      <c r="M115" s="5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0"/>
      <c r="E116" s="40"/>
      <c r="F116" s="1"/>
      <c r="G116" s="1"/>
      <c r="H116" s="1"/>
      <c r="I116" s="1"/>
      <c r="J116" s="1"/>
      <c r="K116" s="1"/>
      <c r="L116" s="1"/>
      <c r="M116" s="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0"/>
      <c r="E117" s="40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0"/>
      <c r="E118" s="40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0"/>
      <c r="E119" s="40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0"/>
      <c r="E120" s="40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0"/>
      <c r="E121" s="40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0"/>
      <c r="E122" s="40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0"/>
      <c r="E123" s="40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0"/>
      <c r="E124" s="40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0"/>
      <c r="E125" s="40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0"/>
      <c r="E126" s="40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0"/>
      <c r="E127" s="40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0"/>
      <c r="E128" s="40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0"/>
      <c r="E129" s="40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0"/>
      <c r="E130" s="40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0"/>
      <c r="E131" s="40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0"/>
      <c r="E132" s="40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0"/>
      <c r="E133" s="40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0"/>
      <c r="E134" s="40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0"/>
      <c r="E135" s="40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0"/>
      <c r="E136" s="40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0"/>
      <c r="E137" s="40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0"/>
      <c r="E138" s="40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0"/>
      <c r="E139" s="40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0"/>
      <c r="E140" s="40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0"/>
      <c r="E141" s="40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0"/>
      <c r="E142" s="40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0"/>
      <c r="E143" s="40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0"/>
      <c r="E144" s="40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0"/>
      <c r="E145" s="40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0"/>
      <c r="E146" s="40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0"/>
      <c r="E147" s="40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0"/>
      <c r="E148" s="40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0"/>
      <c r="E149" s="40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76"/>
      <c r="D150" s="40"/>
      <c r="E150" s="40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76"/>
      <c r="D151" s="40"/>
      <c r="E151" s="40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76"/>
      <c r="D152" s="40"/>
      <c r="E152" s="40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76"/>
      <c r="D153" s="40"/>
      <c r="E153" s="40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76"/>
      <c r="D154" s="40"/>
      <c r="E154" s="40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76"/>
      <c r="D155" s="40"/>
      <c r="E155" s="40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76"/>
      <c r="D156" s="40"/>
      <c r="E156" s="40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6"/>
      <c r="D157" s="40"/>
      <c r="E157" s="40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6"/>
      <c r="D158" s="40"/>
      <c r="E158" s="40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6"/>
      <c r="D159" s="40"/>
      <c r="E159" s="40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51"/>
      <c r="C160" s="53"/>
      <c r="D160" s="40"/>
      <c r="E160" s="40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51"/>
      <c r="C161" s="53"/>
      <c r="D161" s="40"/>
      <c r="E161" s="40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51"/>
      <c r="C162" s="53"/>
      <c r="D162" s="40"/>
      <c r="E162" s="40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77" t="s">
        <v>54</v>
      </c>
      <c r="C163" s="78" t="s">
        <v>55</v>
      </c>
      <c r="D163" s="40"/>
      <c r="E163" s="40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77" t="s">
        <v>56</v>
      </c>
      <c r="C164" s="78" t="s">
        <v>57</v>
      </c>
      <c r="D164" s="40"/>
      <c r="E164" s="40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77" t="s">
        <v>58</v>
      </c>
      <c r="C165" s="79">
        <v>24.0</v>
      </c>
      <c r="D165" s="40"/>
      <c r="E165" s="40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77" t="s">
        <v>59</v>
      </c>
      <c r="C166" s="79">
        <v>174.5</v>
      </c>
      <c r="D166" s="40"/>
      <c r="E166" s="40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77" t="s">
        <v>60</v>
      </c>
      <c r="C167" s="79">
        <v>78.0</v>
      </c>
      <c r="D167" s="40"/>
      <c r="E167" s="40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77" t="s">
        <v>61</v>
      </c>
      <c r="C168" s="80" t="s">
        <v>62</v>
      </c>
      <c r="D168" s="40"/>
      <c r="E168" s="40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77" t="s">
        <v>63</v>
      </c>
      <c r="C169" s="80" t="s">
        <v>64</v>
      </c>
      <c r="D169" s="40"/>
      <c r="E169" s="40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7" t="s">
        <v>65</v>
      </c>
      <c r="C170" s="80" t="s">
        <v>66</v>
      </c>
      <c r="D170" s="40"/>
      <c r="E170" s="40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7" t="s">
        <v>67</v>
      </c>
      <c r="C171" s="80" t="s">
        <v>68</v>
      </c>
      <c r="D171" s="40"/>
      <c r="E171" s="40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7" t="s">
        <v>69</v>
      </c>
      <c r="C172" s="80" t="s">
        <v>70</v>
      </c>
      <c r="D172" s="40"/>
      <c r="E172" s="40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51"/>
      <c r="B173" s="77" t="s">
        <v>71</v>
      </c>
      <c r="C173" s="79" t="s">
        <v>72</v>
      </c>
      <c r="D173" s="81"/>
      <c r="E173" s="81"/>
      <c r="F173" s="51"/>
      <c r="G173" s="51"/>
      <c r="H173" s="51"/>
      <c r="I173" s="51"/>
      <c r="J173" s="51"/>
      <c r="K173" s="51"/>
      <c r="L173" s="51"/>
      <c r="M173" s="5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</row>
    <row r="174" ht="20.25" customHeight="1">
      <c r="A174" s="51"/>
      <c r="B174" s="77" t="s">
        <v>73</v>
      </c>
      <c r="C174" s="79">
        <v>0.0</v>
      </c>
      <c r="D174" s="81"/>
      <c r="E174" s="81"/>
      <c r="F174" s="51"/>
      <c r="G174" s="51"/>
      <c r="H174" s="51"/>
      <c r="I174" s="51"/>
      <c r="J174" s="51"/>
      <c r="K174" s="51"/>
      <c r="L174" s="51"/>
      <c r="M174" s="5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</row>
    <row r="175" ht="20.25" customHeight="1">
      <c r="A175" s="51"/>
      <c r="B175" s="77" t="s">
        <v>74</v>
      </c>
      <c r="C175" s="80" t="s">
        <v>75</v>
      </c>
      <c r="D175" s="81"/>
      <c r="E175" s="81"/>
      <c r="F175" s="51"/>
      <c r="G175" s="51"/>
      <c r="H175" s="51"/>
      <c r="I175" s="51"/>
      <c r="J175" s="51"/>
      <c r="K175" s="51"/>
      <c r="L175" s="51"/>
      <c r="M175" s="5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</row>
    <row r="176" ht="20.25" customHeight="1">
      <c r="A176" s="51"/>
      <c r="B176" s="77" t="s">
        <v>76</v>
      </c>
      <c r="C176" s="78" t="s">
        <v>77</v>
      </c>
      <c r="D176" s="81"/>
      <c r="E176" s="81"/>
      <c r="F176" s="51"/>
      <c r="G176" s="51"/>
      <c r="H176" s="51"/>
      <c r="I176" s="51"/>
      <c r="J176" s="51"/>
      <c r="K176" s="51"/>
      <c r="L176" s="51"/>
      <c r="M176" s="5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</row>
    <row r="177" ht="20.25" customHeight="1">
      <c r="A177" s="51"/>
      <c r="B177" s="82"/>
      <c r="C177" s="82"/>
      <c r="D177" s="81"/>
      <c r="E177" s="81"/>
      <c r="F177" s="51"/>
      <c r="G177" s="51"/>
      <c r="H177" s="51"/>
      <c r="I177" s="51"/>
      <c r="J177" s="51"/>
      <c r="K177" s="51"/>
      <c r="L177" s="51"/>
      <c r="M177" s="5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</row>
    <row r="178" ht="20.25" customHeight="1">
      <c r="A178" s="51"/>
      <c r="B178" s="82"/>
      <c r="C178" s="82"/>
      <c r="D178" s="81"/>
      <c r="E178" s="81"/>
      <c r="F178" s="51"/>
      <c r="G178" s="51"/>
      <c r="H178" s="51"/>
      <c r="I178" s="51"/>
      <c r="J178" s="51"/>
      <c r="K178" s="51"/>
      <c r="L178" s="51"/>
      <c r="M178" s="5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</row>
    <row r="179" ht="20.25" customHeight="1">
      <c r="A179" s="51"/>
      <c r="B179" s="82"/>
      <c r="C179" s="82"/>
      <c r="D179" s="81"/>
      <c r="E179" s="81"/>
      <c r="F179" s="51"/>
      <c r="G179" s="51"/>
      <c r="H179" s="51"/>
      <c r="I179" s="51"/>
      <c r="J179" s="51"/>
      <c r="K179" s="51"/>
      <c r="L179" s="51"/>
      <c r="M179" s="5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</row>
    <row r="180" ht="20.25" customHeight="1">
      <c r="A180" s="51"/>
      <c r="B180" s="82"/>
      <c r="C180" s="83"/>
      <c r="D180" s="81"/>
      <c r="E180" s="81"/>
      <c r="F180" s="51"/>
      <c r="G180" s="51"/>
      <c r="H180" s="51"/>
      <c r="I180" s="51"/>
      <c r="J180" s="51"/>
      <c r="K180" s="51"/>
      <c r="L180" s="51"/>
      <c r="M180" s="5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</row>
    <row r="181" ht="20.25" customHeight="1">
      <c r="A181" s="51"/>
      <c r="B181" s="51"/>
      <c r="C181" s="51"/>
      <c r="D181" s="81"/>
      <c r="E181" s="81"/>
      <c r="F181" s="51"/>
      <c r="G181" s="51"/>
      <c r="H181" s="51"/>
      <c r="I181" s="51"/>
      <c r="J181" s="51"/>
      <c r="K181" s="51"/>
      <c r="L181" s="51"/>
      <c r="M181" s="5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</row>
    <row r="182" ht="20.25" customHeight="1">
      <c r="A182" s="1"/>
      <c r="B182" s="51"/>
      <c r="C182" s="51"/>
      <c r="D182" s="40"/>
      <c r="E182" s="40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ht="20.25" customHeight="1">
      <c r="A183" s="1"/>
      <c r="B183" s="51"/>
      <c r="C183" s="51"/>
      <c r="D183" s="40"/>
      <c r="E183" s="40"/>
      <c r="F183" s="1"/>
      <c r="G183" s="1"/>
      <c r="H183" s="1"/>
      <c r="I183" s="1"/>
      <c r="J183" s="1"/>
      <c r="K183" s="1"/>
      <c r="L183" s="1"/>
      <c r="M183" s="5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ht="20.25" customHeight="1">
      <c r="A184" s="1"/>
      <c r="B184" s="2"/>
      <c r="C184" s="76"/>
      <c r="D184" s="40"/>
      <c r="E184" s="40"/>
      <c r="F184" s="1"/>
      <c r="G184" s="1"/>
      <c r="H184" s="1"/>
      <c r="I184" s="1"/>
      <c r="J184" s="1"/>
      <c r="K184" s="1"/>
      <c r="L184" s="1"/>
      <c r="M184" s="5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ht="20.25" customHeight="1">
      <c r="A185" s="1"/>
      <c r="B185" s="2"/>
      <c r="C185" s="76"/>
      <c r="D185" s="40"/>
      <c r="E185" s="40"/>
      <c r="F185" s="1"/>
      <c r="G185" s="1"/>
      <c r="H185" s="1"/>
      <c r="I185" s="1"/>
      <c r="J185" s="1"/>
      <c r="K185" s="1"/>
      <c r="L185" s="1"/>
      <c r="M185" s="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ht="20.25" customHeight="1">
      <c r="A186" s="1"/>
      <c r="B186" s="2"/>
      <c r="C186" s="76"/>
      <c r="D186" s="40"/>
      <c r="E186" s="40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2"/>
      <c r="C187" s="76"/>
      <c r="D187" s="40"/>
      <c r="E187" s="40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76"/>
      <c r="D188" s="40"/>
      <c r="E188" s="40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76"/>
      <c r="D189" s="40"/>
      <c r="E189" s="40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76"/>
      <c r="D190" s="40"/>
      <c r="E190" s="40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6"/>
      <c r="D191" s="40"/>
      <c r="E191" s="40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6"/>
      <c r="D192" s="40"/>
      <c r="E192" s="40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6"/>
      <c r="D193" s="40"/>
      <c r="E193" s="40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6"/>
      <c r="D194" s="40"/>
      <c r="E194" s="40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6"/>
      <c r="D195" s="40"/>
      <c r="E195" s="40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6"/>
      <c r="D196" s="40"/>
      <c r="E196" s="40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6"/>
      <c r="D197" s="40"/>
      <c r="E197" s="40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6"/>
      <c r="D198" s="40"/>
      <c r="E198" s="40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6"/>
      <c r="D199" s="40"/>
      <c r="E199" s="40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6"/>
      <c r="D200" s="40"/>
      <c r="E200" s="40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6"/>
      <c r="D201" s="40"/>
      <c r="E201" s="40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6"/>
      <c r="D202" s="40"/>
      <c r="E202" s="40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6"/>
      <c r="D203" s="40"/>
      <c r="E203" s="40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6"/>
      <c r="D204" s="40"/>
      <c r="E204" s="40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6"/>
      <c r="D205" s="40"/>
      <c r="E205" s="40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6"/>
      <c r="D206" s="40"/>
      <c r="E206" s="40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6"/>
      <c r="D207" s="40"/>
      <c r="E207" s="40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6"/>
      <c r="D208" s="40"/>
      <c r="E208" s="40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6"/>
      <c r="D209" s="40"/>
      <c r="E209" s="40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6"/>
      <c r="D210" s="40"/>
      <c r="E210" s="40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6"/>
      <c r="D211" s="40"/>
      <c r="E211" s="40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6"/>
      <c r="D212" s="40"/>
      <c r="E212" s="40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6"/>
      <c r="D213" s="40"/>
      <c r="E213" s="40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6"/>
      <c r="D214" s="40"/>
      <c r="E214" s="40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6"/>
      <c r="D215" s="40"/>
      <c r="E215" s="40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6"/>
      <c r="D216" s="40"/>
      <c r="E216" s="40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6"/>
      <c r="D217" s="40"/>
      <c r="E217" s="40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6"/>
      <c r="D218" s="40"/>
      <c r="E218" s="40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6"/>
      <c r="D219" s="40"/>
      <c r="E219" s="40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6"/>
      <c r="D220" s="40"/>
      <c r="E220" s="40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6"/>
      <c r="D221" s="40"/>
      <c r="E221" s="40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6"/>
      <c r="D222" s="40"/>
      <c r="E222" s="40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6"/>
      <c r="D223" s="40"/>
      <c r="E223" s="40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6"/>
      <c r="D224" s="40"/>
      <c r="E224" s="40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6"/>
      <c r="D225" s="40"/>
      <c r="E225" s="40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6"/>
      <c r="D226" s="40"/>
      <c r="E226" s="40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6"/>
      <c r="D227" s="40"/>
      <c r="E227" s="40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6"/>
      <c r="D228" s="40"/>
      <c r="E228" s="40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6"/>
      <c r="D229" s="40"/>
      <c r="E229" s="40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6"/>
      <c r="D230" s="40"/>
      <c r="E230" s="40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6"/>
      <c r="D231" s="40"/>
      <c r="E231" s="40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6"/>
      <c r="D232" s="40"/>
      <c r="E232" s="40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6"/>
      <c r="D233" s="40"/>
      <c r="E233" s="40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6"/>
      <c r="D234" s="40"/>
      <c r="E234" s="40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6"/>
      <c r="D235" s="40"/>
      <c r="E235" s="40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6"/>
      <c r="D236" s="40"/>
      <c r="E236" s="40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6"/>
      <c r="D237" s="40"/>
      <c r="E237" s="40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6"/>
      <c r="D238" s="40"/>
      <c r="E238" s="40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6"/>
      <c r="D239" s="40"/>
      <c r="E239" s="40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6"/>
      <c r="D240" s="40"/>
      <c r="E240" s="40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6"/>
      <c r="D241" s="40"/>
      <c r="E241" s="40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6"/>
      <c r="D242" s="40"/>
      <c r="E242" s="40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6"/>
      <c r="D243" s="40"/>
      <c r="E243" s="40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6"/>
      <c r="D244" s="40"/>
      <c r="E244" s="40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6"/>
      <c r="D245" s="40"/>
      <c r="E245" s="40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6"/>
      <c r="D246" s="40"/>
      <c r="E246" s="40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6"/>
      <c r="D247" s="40"/>
      <c r="E247" s="40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6"/>
      <c r="D248" s="40"/>
      <c r="E248" s="40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6"/>
      <c r="D249" s="40"/>
      <c r="E249" s="40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6"/>
      <c r="D250" s="40"/>
      <c r="E250" s="40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6"/>
      <c r="D251" s="40"/>
      <c r="E251" s="40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6"/>
      <c r="D252" s="40"/>
      <c r="E252" s="40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6"/>
      <c r="D253" s="40"/>
      <c r="E253" s="40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6"/>
      <c r="D254" s="40"/>
      <c r="E254" s="40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6"/>
      <c r="D255" s="40"/>
      <c r="E255" s="40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6"/>
      <c r="D256" s="40"/>
      <c r="E256" s="40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6"/>
      <c r="D257" s="40"/>
      <c r="E257" s="40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6"/>
      <c r="D258" s="40"/>
      <c r="E258" s="40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6"/>
      <c r="D259" s="40"/>
      <c r="E259" s="40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6"/>
      <c r="D260" s="40"/>
      <c r="E260" s="40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6"/>
      <c r="D261" s="40"/>
      <c r="E261" s="40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6"/>
      <c r="D262" s="40"/>
      <c r="E262" s="40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6"/>
      <c r="D263" s="40"/>
      <c r="E263" s="40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6"/>
      <c r="D264" s="40"/>
      <c r="E264" s="40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6"/>
      <c r="D265" s="40"/>
      <c r="E265" s="40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6"/>
      <c r="D266" s="40"/>
      <c r="E266" s="40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6"/>
      <c r="D267" s="40"/>
      <c r="E267" s="40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6"/>
      <c r="D268" s="40"/>
      <c r="E268" s="40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6"/>
      <c r="D269" s="40"/>
      <c r="E269" s="40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6"/>
      <c r="D270" s="40"/>
      <c r="E270" s="40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6"/>
      <c r="D271" s="40"/>
      <c r="E271" s="40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6"/>
      <c r="D272" s="40"/>
      <c r="E272" s="40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6"/>
      <c r="D273" s="40"/>
      <c r="E273" s="40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6"/>
      <c r="D274" s="40"/>
      <c r="E274" s="40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6"/>
      <c r="D275" s="40"/>
      <c r="E275" s="40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6"/>
      <c r="D276" s="40"/>
      <c r="E276" s="40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6"/>
      <c r="D277" s="40"/>
      <c r="E277" s="40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6"/>
      <c r="D278" s="40"/>
      <c r="E278" s="40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6"/>
      <c r="D279" s="40"/>
      <c r="E279" s="40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6"/>
      <c r="D280" s="40"/>
      <c r="E280" s="40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6"/>
      <c r="D281" s="40"/>
      <c r="E281" s="40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6"/>
      <c r="D282" s="40"/>
      <c r="E282" s="40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6"/>
      <c r="D283" s="40"/>
      <c r="E283" s="40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6"/>
      <c r="D284" s="40"/>
      <c r="E284" s="40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6"/>
      <c r="D285" s="40"/>
      <c r="E285" s="40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6"/>
      <c r="D286" s="40"/>
      <c r="E286" s="40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6"/>
      <c r="D287" s="40"/>
      <c r="E287" s="40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6"/>
      <c r="D288" s="40"/>
      <c r="E288" s="40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6"/>
      <c r="D289" s="40"/>
      <c r="E289" s="40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6"/>
      <c r="D290" s="40"/>
      <c r="E290" s="40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6"/>
      <c r="D291" s="40"/>
      <c r="E291" s="40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6"/>
      <c r="D292" s="40"/>
      <c r="E292" s="40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6"/>
      <c r="D293" s="40"/>
      <c r="E293" s="40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6"/>
      <c r="D294" s="40"/>
      <c r="E294" s="40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6"/>
      <c r="D295" s="40"/>
      <c r="E295" s="40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6"/>
      <c r="D296" s="40"/>
      <c r="E296" s="40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6"/>
      <c r="D297" s="40"/>
      <c r="E297" s="40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6"/>
      <c r="D298" s="40"/>
      <c r="E298" s="40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6"/>
      <c r="D299" s="40"/>
      <c r="E299" s="40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6"/>
      <c r="D300" s="40"/>
      <c r="E300" s="40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6"/>
      <c r="D301" s="40"/>
      <c r="E301" s="40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6"/>
      <c r="D302" s="40"/>
      <c r="E302" s="40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6"/>
      <c r="D303" s="40"/>
      <c r="E303" s="40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6"/>
      <c r="D304" s="40"/>
      <c r="E304" s="40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6"/>
      <c r="D305" s="40"/>
      <c r="E305" s="40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6"/>
      <c r="D306" s="40"/>
      <c r="E306" s="40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6"/>
      <c r="D307" s="40"/>
      <c r="E307" s="40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6"/>
      <c r="D308" s="40"/>
      <c r="E308" s="40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6"/>
      <c r="D309" s="40"/>
      <c r="E309" s="40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6"/>
      <c r="D310" s="40"/>
      <c r="E310" s="40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6"/>
      <c r="D311" s="40"/>
      <c r="E311" s="40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6"/>
      <c r="D312" s="40"/>
      <c r="E312" s="40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6"/>
      <c r="D313" s="40"/>
      <c r="E313" s="40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6"/>
      <c r="D314" s="40"/>
      <c r="E314" s="40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6"/>
      <c r="D315" s="40"/>
      <c r="E315" s="40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6"/>
      <c r="D316" s="40"/>
      <c r="E316" s="40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6"/>
      <c r="D317" s="40"/>
      <c r="E317" s="40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6"/>
      <c r="D318" s="40"/>
      <c r="E318" s="40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6"/>
      <c r="D319" s="40"/>
      <c r="E319" s="40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6"/>
      <c r="D320" s="40"/>
      <c r="E320" s="40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6"/>
      <c r="D321" s="40"/>
      <c r="E321" s="40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6"/>
      <c r="D322" s="40"/>
      <c r="E322" s="40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6"/>
      <c r="D323" s="40"/>
      <c r="E323" s="40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6"/>
      <c r="D324" s="40"/>
      <c r="E324" s="40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6"/>
      <c r="D325" s="40"/>
      <c r="E325" s="40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6"/>
      <c r="D326" s="40"/>
      <c r="E326" s="40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6"/>
      <c r="D327" s="40"/>
      <c r="E327" s="40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6"/>
      <c r="D328" s="40"/>
      <c r="E328" s="40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6"/>
      <c r="D329" s="40"/>
      <c r="E329" s="40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6"/>
      <c r="D330" s="40"/>
      <c r="E330" s="40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6"/>
      <c r="D331" s="40"/>
      <c r="E331" s="40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6"/>
      <c r="D332" s="40"/>
      <c r="E332" s="40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6"/>
      <c r="D333" s="40"/>
      <c r="E333" s="40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6"/>
      <c r="D334" s="40"/>
      <c r="E334" s="40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6"/>
      <c r="D335" s="40"/>
      <c r="E335" s="40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6"/>
      <c r="D336" s="40"/>
      <c r="E336" s="40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6"/>
      <c r="D337" s="40"/>
      <c r="E337" s="40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6"/>
      <c r="D338" s="40"/>
      <c r="E338" s="40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6"/>
      <c r="D339" s="40"/>
      <c r="E339" s="40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6"/>
      <c r="D340" s="40"/>
      <c r="E340" s="40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6"/>
      <c r="D341" s="40"/>
      <c r="E341" s="40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6"/>
      <c r="D342" s="40"/>
      <c r="E342" s="40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6"/>
      <c r="D343" s="40"/>
      <c r="E343" s="40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6"/>
      <c r="D344" s="40"/>
      <c r="E344" s="40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6"/>
      <c r="D345" s="40"/>
      <c r="E345" s="40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6"/>
      <c r="D346" s="40"/>
      <c r="E346" s="40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6"/>
      <c r="D347" s="40"/>
      <c r="E347" s="40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6"/>
      <c r="D348" s="40"/>
      <c r="E348" s="40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6"/>
      <c r="D349" s="40"/>
      <c r="E349" s="40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6"/>
      <c r="D350" s="40"/>
      <c r="E350" s="40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6"/>
      <c r="D351" s="40"/>
      <c r="E351" s="40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6"/>
      <c r="D352" s="40"/>
      <c r="E352" s="40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6"/>
      <c r="D353" s="40"/>
      <c r="E353" s="40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6"/>
      <c r="D354" s="40"/>
      <c r="E354" s="40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6"/>
      <c r="D355" s="40"/>
      <c r="E355" s="40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6"/>
      <c r="D356" s="40"/>
      <c r="E356" s="40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6"/>
      <c r="D357" s="40"/>
      <c r="E357" s="40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6"/>
      <c r="D358" s="40"/>
      <c r="E358" s="40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6"/>
      <c r="D359" s="40"/>
      <c r="E359" s="40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6"/>
      <c r="D360" s="40"/>
      <c r="E360" s="40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6"/>
      <c r="D361" s="40"/>
      <c r="E361" s="40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6"/>
      <c r="D362" s="40"/>
      <c r="E362" s="40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6"/>
      <c r="D363" s="40"/>
      <c r="E363" s="40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6"/>
      <c r="D364" s="40"/>
      <c r="E364" s="40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6"/>
      <c r="D365" s="40"/>
      <c r="E365" s="40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6"/>
      <c r="D366" s="40"/>
      <c r="E366" s="40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6"/>
      <c r="D367" s="40"/>
      <c r="E367" s="40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6"/>
      <c r="D368" s="40"/>
      <c r="E368" s="40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6"/>
      <c r="D369" s="40"/>
      <c r="E369" s="40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6"/>
      <c r="D370" s="40"/>
      <c r="E370" s="40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6"/>
      <c r="D371" s="40"/>
      <c r="E371" s="40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6"/>
      <c r="D372" s="40"/>
      <c r="E372" s="40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6"/>
      <c r="D373" s="40"/>
      <c r="E373" s="40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6"/>
      <c r="D374" s="40"/>
      <c r="E374" s="40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6"/>
      <c r="D375" s="40"/>
      <c r="E375" s="40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6"/>
      <c r="D376" s="40"/>
      <c r="E376" s="40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6"/>
      <c r="D377" s="40"/>
      <c r="E377" s="40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6"/>
      <c r="D378" s="40"/>
      <c r="E378" s="40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6"/>
      <c r="D379" s="40"/>
      <c r="E379" s="40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6"/>
      <c r="D380" s="40"/>
      <c r="E380" s="40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6"/>
      <c r="D381" s="40"/>
      <c r="E381" s="40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6"/>
      <c r="D382" s="40"/>
      <c r="E382" s="40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6"/>
      <c r="D383" s="40"/>
      <c r="E383" s="40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6"/>
      <c r="D384" s="40"/>
      <c r="E384" s="40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6"/>
      <c r="D385" s="40"/>
      <c r="E385" s="40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6"/>
      <c r="D386" s="40"/>
      <c r="E386" s="40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6"/>
      <c r="D387" s="40"/>
      <c r="E387" s="40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6"/>
      <c r="D388" s="40"/>
      <c r="E388" s="40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6"/>
      <c r="D389" s="40"/>
      <c r="E389" s="40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6"/>
      <c r="D390" s="40"/>
      <c r="E390" s="40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6"/>
      <c r="D391" s="40"/>
      <c r="E391" s="40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6"/>
      <c r="D392" s="40"/>
      <c r="E392" s="40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6"/>
      <c r="D393" s="40"/>
      <c r="E393" s="40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6"/>
      <c r="D394" s="40"/>
      <c r="E394" s="40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6"/>
      <c r="D395" s="40"/>
      <c r="E395" s="40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6"/>
      <c r="D396" s="40"/>
      <c r="E396" s="40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6"/>
      <c r="D397" s="40"/>
      <c r="E397" s="40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6"/>
      <c r="D398" s="40"/>
      <c r="E398" s="40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6"/>
      <c r="D399" s="40"/>
      <c r="E399" s="40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6"/>
      <c r="D400" s="40"/>
      <c r="E400" s="40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6"/>
      <c r="D401" s="40"/>
      <c r="E401" s="40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6"/>
      <c r="D402" s="40"/>
      <c r="E402" s="40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6"/>
      <c r="D403" s="40"/>
      <c r="E403" s="40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6"/>
      <c r="D404" s="40"/>
      <c r="E404" s="40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6"/>
      <c r="D405" s="40"/>
      <c r="E405" s="40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6"/>
      <c r="D406" s="40"/>
      <c r="E406" s="40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6"/>
      <c r="D407" s="40"/>
      <c r="E407" s="40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6"/>
      <c r="D408" s="40"/>
      <c r="E408" s="40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6"/>
      <c r="D409" s="40"/>
      <c r="E409" s="40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6"/>
      <c r="D410" s="40"/>
      <c r="E410" s="40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6"/>
      <c r="D411" s="40"/>
      <c r="E411" s="40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6"/>
      <c r="D412" s="40"/>
      <c r="E412" s="40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6"/>
      <c r="D413" s="40"/>
      <c r="E413" s="40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6"/>
      <c r="D414" s="40"/>
      <c r="E414" s="40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6"/>
      <c r="D415" s="40"/>
      <c r="E415" s="40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6"/>
      <c r="D416" s="40"/>
      <c r="E416" s="40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6"/>
      <c r="D417" s="40"/>
      <c r="E417" s="40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6"/>
      <c r="D418" s="40"/>
      <c r="E418" s="40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6"/>
      <c r="D419" s="40"/>
      <c r="E419" s="40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6"/>
      <c r="D420" s="40"/>
      <c r="E420" s="40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6"/>
      <c r="D421" s="40"/>
      <c r="E421" s="40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6"/>
      <c r="D422" s="40"/>
      <c r="E422" s="40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6"/>
      <c r="D423" s="40"/>
      <c r="E423" s="40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6"/>
      <c r="D424" s="40"/>
      <c r="E424" s="40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6"/>
      <c r="D425" s="40"/>
      <c r="E425" s="40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6"/>
      <c r="D426" s="40"/>
      <c r="E426" s="40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6"/>
      <c r="D427" s="40"/>
      <c r="E427" s="40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6"/>
      <c r="D428" s="40"/>
      <c r="E428" s="40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6"/>
      <c r="D429" s="40"/>
      <c r="E429" s="40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6"/>
      <c r="D430" s="40"/>
      <c r="E430" s="40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6"/>
      <c r="D431" s="40"/>
      <c r="E431" s="40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6"/>
      <c r="D432" s="40"/>
      <c r="E432" s="40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6"/>
      <c r="D433" s="40"/>
      <c r="E433" s="40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6"/>
      <c r="D434" s="40"/>
      <c r="E434" s="40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6"/>
      <c r="D435" s="40"/>
      <c r="E435" s="40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6"/>
      <c r="D436" s="40"/>
      <c r="E436" s="40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6"/>
      <c r="D437" s="40"/>
      <c r="E437" s="40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6"/>
      <c r="D438" s="40"/>
      <c r="E438" s="40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6"/>
      <c r="D439" s="40"/>
      <c r="E439" s="40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6"/>
      <c r="D440" s="40"/>
      <c r="E440" s="40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6"/>
      <c r="D441" s="40"/>
      <c r="E441" s="40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6"/>
      <c r="D442" s="40"/>
      <c r="E442" s="40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6"/>
      <c r="D443" s="40"/>
      <c r="E443" s="40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6"/>
      <c r="D444" s="40"/>
      <c r="E444" s="40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6"/>
      <c r="D445" s="40"/>
      <c r="E445" s="40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6"/>
      <c r="D446" s="40"/>
      <c r="E446" s="40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6"/>
      <c r="D447" s="40"/>
      <c r="E447" s="40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6"/>
      <c r="D448" s="40"/>
      <c r="E448" s="40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6"/>
      <c r="D449" s="40"/>
      <c r="E449" s="40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6"/>
      <c r="D450" s="40"/>
      <c r="E450" s="40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6"/>
      <c r="D451" s="40"/>
      <c r="E451" s="40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6"/>
      <c r="D452" s="40"/>
      <c r="E452" s="40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6"/>
      <c r="D453" s="40"/>
      <c r="E453" s="40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6"/>
      <c r="D454" s="40"/>
      <c r="E454" s="40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6"/>
      <c r="D455" s="40"/>
      <c r="E455" s="40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6"/>
      <c r="D456" s="40"/>
      <c r="E456" s="40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6"/>
      <c r="D457" s="40"/>
      <c r="E457" s="40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6"/>
      <c r="D458" s="40"/>
      <c r="E458" s="40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6"/>
      <c r="D459" s="40"/>
      <c r="E459" s="40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6"/>
      <c r="D460" s="40"/>
      <c r="E460" s="40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6"/>
      <c r="D461" s="40"/>
      <c r="E461" s="40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6"/>
      <c r="D462" s="40"/>
      <c r="E462" s="40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6"/>
      <c r="D463" s="40"/>
      <c r="E463" s="40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6"/>
      <c r="D464" s="40"/>
      <c r="E464" s="40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6"/>
      <c r="D465" s="40"/>
      <c r="E465" s="40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6"/>
      <c r="D466" s="40"/>
      <c r="E466" s="40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6"/>
      <c r="D467" s="40"/>
      <c r="E467" s="40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6"/>
      <c r="D468" s="40"/>
      <c r="E468" s="40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6"/>
      <c r="D469" s="40"/>
      <c r="E469" s="40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6"/>
      <c r="D470" s="40"/>
      <c r="E470" s="40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6"/>
      <c r="D471" s="40"/>
      <c r="E471" s="40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6"/>
      <c r="D472" s="40"/>
      <c r="E472" s="40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6"/>
      <c r="D473" s="40"/>
      <c r="E473" s="40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6"/>
      <c r="D474" s="40"/>
      <c r="E474" s="40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6"/>
      <c r="D475" s="40"/>
      <c r="E475" s="40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6"/>
      <c r="D476" s="40"/>
      <c r="E476" s="40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6"/>
      <c r="D477" s="40"/>
      <c r="E477" s="40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6"/>
      <c r="D478" s="40"/>
      <c r="E478" s="40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6"/>
      <c r="D479" s="40"/>
      <c r="E479" s="40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6"/>
      <c r="D480" s="40"/>
      <c r="E480" s="40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6"/>
      <c r="D481" s="40"/>
      <c r="E481" s="40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6"/>
      <c r="D482" s="40"/>
      <c r="E482" s="40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6"/>
      <c r="D483" s="40"/>
      <c r="E483" s="40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6"/>
      <c r="D484" s="40"/>
      <c r="E484" s="40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6"/>
      <c r="D485" s="40"/>
      <c r="E485" s="40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6"/>
      <c r="D486" s="40"/>
      <c r="E486" s="40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6"/>
      <c r="D487" s="40"/>
      <c r="E487" s="40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6"/>
      <c r="D488" s="40"/>
      <c r="E488" s="40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6"/>
      <c r="D489" s="40"/>
      <c r="E489" s="40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6"/>
      <c r="D490" s="40"/>
      <c r="E490" s="40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6"/>
      <c r="D491" s="40"/>
      <c r="E491" s="40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6"/>
      <c r="D492" s="40"/>
      <c r="E492" s="40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6"/>
      <c r="D493" s="40"/>
      <c r="E493" s="40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6"/>
      <c r="D494" s="40"/>
      <c r="E494" s="40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6"/>
      <c r="D495" s="40"/>
      <c r="E495" s="40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6"/>
      <c r="D496" s="40"/>
      <c r="E496" s="40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6"/>
      <c r="D497" s="40"/>
      <c r="E497" s="40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6"/>
      <c r="D498" s="40"/>
      <c r="E498" s="40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6"/>
      <c r="D499" s="40"/>
      <c r="E499" s="40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6"/>
      <c r="D500" s="40"/>
      <c r="E500" s="40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6"/>
      <c r="D501" s="40"/>
      <c r="E501" s="40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6"/>
      <c r="D502" s="40"/>
      <c r="E502" s="40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6"/>
      <c r="D503" s="40"/>
      <c r="E503" s="40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6"/>
      <c r="D504" s="40"/>
      <c r="E504" s="40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6"/>
      <c r="D505" s="40"/>
      <c r="E505" s="40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6"/>
      <c r="D506" s="40"/>
      <c r="E506" s="40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6"/>
      <c r="D507" s="40"/>
      <c r="E507" s="40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6"/>
      <c r="D508" s="40"/>
      <c r="E508" s="40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6"/>
      <c r="D509" s="40"/>
      <c r="E509" s="40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6"/>
      <c r="D510" s="40"/>
      <c r="E510" s="40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6"/>
      <c r="D511" s="40"/>
      <c r="E511" s="40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6"/>
      <c r="D512" s="40"/>
      <c r="E512" s="40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6"/>
      <c r="D513" s="40"/>
      <c r="E513" s="40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6"/>
      <c r="D514" s="40"/>
      <c r="E514" s="40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6"/>
      <c r="D515" s="40"/>
      <c r="E515" s="40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6"/>
      <c r="D516" s="40"/>
      <c r="E516" s="40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6"/>
      <c r="D517" s="40"/>
      <c r="E517" s="40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6"/>
      <c r="D518" s="40"/>
      <c r="E518" s="40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6"/>
      <c r="D519" s="40"/>
      <c r="E519" s="40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6"/>
      <c r="D520" s="40"/>
      <c r="E520" s="40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6"/>
      <c r="D521" s="40"/>
      <c r="E521" s="40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6"/>
      <c r="D522" s="40"/>
      <c r="E522" s="40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6"/>
      <c r="D523" s="40"/>
      <c r="E523" s="40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6"/>
      <c r="D524" s="40"/>
      <c r="E524" s="40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6"/>
      <c r="D525" s="40"/>
      <c r="E525" s="40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6"/>
      <c r="D526" s="40"/>
      <c r="E526" s="40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6"/>
      <c r="D527" s="40"/>
      <c r="E527" s="40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6"/>
      <c r="D528" s="40"/>
      <c r="E528" s="40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6"/>
      <c r="D529" s="40"/>
      <c r="E529" s="40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6"/>
      <c r="D530" s="40"/>
      <c r="E530" s="40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6"/>
      <c r="D531" s="40"/>
      <c r="E531" s="40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6"/>
      <c r="D532" s="40"/>
      <c r="E532" s="40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6"/>
      <c r="D533" s="40"/>
      <c r="E533" s="40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6"/>
      <c r="D534" s="40"/>
      <c r="E534" s="40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6"/>
      <c r="D535" s="40"/>
      <c r="E535" s="40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6"/>
      <c r="D536" s="40"/>
      <c r="E536" s="40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6"/>
      <c r="D537" s="40"/>
      <c r="E537" s="40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6"/>
      <c r="D538" s="40"/>
      <c r="E538" s="40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6"/>
      <c r="D539" s="40"/>
      <c r="E539" s="40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6"/>
      <c r="D540" s="40"/>
      <c r="E540" s="40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6"/>
      <c r="D541" s="40"/>
      <c r="E541" s="40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6"/>
      <c r="D542" s="40"/>
      <c r="E542" s="40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6"/>
      <c r="D543" s="40"/>
      <c r="E543" s="40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6"/>
      <c r="D544" s="40"/>
      <c r="E544" s="40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6"/>
      <c r="D545" s="40"/>
      <c r="E545" s="40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6"/>
      <c r="D546" s="40"/>
      <c r="E546" s="40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6"/>
      <c r="D547" s="40"/>
      <c r="E547" s="40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6"/>
      <c r="D548" s="40"/>
      <c r="E548" s="40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6"/>
      <c r="D549" s="40"/>
      <c r="E549" s="40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6"/>
      <c r="D550" s="40"/>
      <c r="E550" s="40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6"/>
      <c r="D551" s="40"/>
      <c r="E551" s="40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6"/>
      <c r="D552" s="40"/>
      <c r="E552" s="40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6"/>
      <c r="D553" s="40"/>
      <c r="E553" s="40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6"/>
      <c r="D554" s="40"/>
      <c r="E554" s="40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6"/>
      <c r="D555" s="40"/>
      <c r="E555" s="40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6"/>
      <c r="D556" s="40"/>
      <c r="E556" s="40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6"/>
      <c r="D557" s="40"/>
      <c r="E557" s="40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6"/>
      <c r="D558" s="40"/>
      <c r="E558" s="40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6"/>
      <c r="D559" s="40"/>
      <c r="E559" s="40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6"/>
      <c r="D560" s="40"/>
      <c r="E560" s="40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6"/>
      <c r="D561" s="40"/>
      <c r="E561" s="40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6"/>
      <c r="D562" s="40"/>
      <c r="E562" s="40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6"/>
      <c r="D563" s="40"/>
      <c r="E563" s="40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6"/>
      <c r="D564" s="40"/>
      <c r="E564" s="40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6"/>
      <c r="D565" s="40"/>
      <c r="E565" s="40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6"/>
      <c r="D566" s="40"/>
      <c r="E566" s="40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6"/>
      <c r="D567" s="40"/>
      <c r="E567" s="40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6"/>
      <c r="D568" s="40"/>
      <c r="E568" s="40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6"/>
      <c r="D569" s="40"/>
      <c r="E569" s="40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6"/>
      <c r="D570" s="40"/>
      <c r="E570" s="40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6"/>
      <c r="D571" s="40"/>
      <c r="E571" s="40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6"/>
      <c r="D572" s="40"/>
      <c r="E572" s="40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6"/>
      <c r="D573" s="40"/>
      <c r="E573" s="40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6"/>
      <c r="D574" s="40"/>
      <c r="E574" s="40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6"/>
      <c r="D575" s="40"/>
      <c r="E575" s="40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6"/>
      <c r="D576" s="40"/>
      <c r="E576" s="40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6"/>
      <c r="D577" s="40"/>
      <c r="E577" s="40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6"/>
      <c r="D578" s="40"/>
      <c r="E578" s="40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6"/>
      <c r="D579" s="40"/>
      <c r="E579" s="40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6"/>
      <c r="D580" s="40"/>
      <c r="E580" s="40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6"/>
      <c r="D581" s="40"/>
      <c r="E581" s="40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6"/>
      <c r="D582" s="40"/>
      <c r="E582" s="40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6"/>
      <c r="D583" s="40"/>
      <c r="E583" s="40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6"/>
      <c r="D584" s="40"/>
      <c r="E584" s="40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6"/>
      <c r="D585" s="40"/>
      <c r="E585" s="40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6"/>
      <c r="D586" s="40"/>
      <c r="E586" s="40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6"/>
      <c r="D587" s="40"/>
      <c r="E587" s="40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6"/>
      <c r="D588" s="40"/>
      <c r="E588" s="40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6"/>
      <c r="D589" s="40"/>
      <c r="E589" s="40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6"/>
      <c r="D590" s="40"/>
      <c r="E590" s="40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6"/>
      <c r="D591" s="40"/>
      <c r="E591" s="40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6"/>
      <c r="D592" s="40"/>
      <c r="E592" s="40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6"/>
      <c r="D593" s="40"/>
      <c r="E593" s="40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6"/>
      <c r="D594" s="40"/>
      <c r="E594" s="40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6"/>
      <c r="D595" s="40"/>
      <c r="E595" s="40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6"/>
      <c r="D596" s="40"/>
      <c r="E596" s="40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6"/>
      <c r="D597" s="40"/>
      <c r="E597" s="40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6"/>
      <c r="D598" s="40"/>
      <c r="E598" s="40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6"/>
      <c r="D599" s="40"/>
      <c r="E599" s="40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6"/>
      <c r="D600" s="40"/>
      <c r="E600" s="40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6"/>
      <c r="D601" s="40"/>
      <c r="E601" s="40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6"/>
      <c r="D602" s="40"/>
      <c r="E602" s="40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6"/>
      <c r="D603" s="40"/>
      <c r="E603" s="40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6"/>
      <c r="D604" s="40"/>
      <c r="E604" s="40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6"/>
      <c r="D605" s="40"/>
      <c r="E605" s="40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6"/>
      <c r="D606" s="40"/>
      <c r="E606" s="40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6"/>
      <c r="D607" s="40"/>
      <c r="E607" s="40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6"/>
      <c r="D608" s="40"/>
      <c r="E608" s="40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6"/>
      <c r="D609" s="40"/>
      <c r="E609" s="40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6"/>
      <c r="D610" s="40"/>
      <c r="E610" s="40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6"/>
      <c r="D611" s="40"/>
      <c r="E611" s="40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6"/>
      <c r="D612" s="40"/>
      <c r="E612" s="40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6"/>
      <c r="D613" s="40"/>
      <c r="E613" s="40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6"/>
      <c r="D614" s="40"/>
      <c r="E614" s="40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6"/>
      <c r="D615" s="40"/>
      <c r="E615" s="40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6"/>
      <c r="D616" s="40"/>
      <c r="E616" s="40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6"/>
      <c r="D617" s="40"/>
      <c r="E617" s="40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6"/>
      <c r="D618" s="40"/>
      <c r="E618" s="40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6"/>
      <c r="D619" s="40"/>
      <c r="E619" s="40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6"/>
      <c r="D620" s="40"/>
      <c r="E620" s="40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6"/>
      <c r="D621" s="40"/>
      <c r="E621" s="40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6"/>
      <c r="D622" s="40"/>
      <c r="E622" s="40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6"/>
      <c r="D623" s="40"/>
      <c r="E623" s="40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6"/>
      <c r="D624" s="40"/>
      <c r="E624" s="40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6"/>
      <c r="D625" s="40"/>
      <c r="E625" s="40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6"/>
      <c r="D626" s="40"/>
      <c r="E626" s="40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6"/>
      <c r="D627" s="40"/>
      <c r="E627" s="40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6"/>
      <c r="D628" s="40"/>
      <c r="E628" s="40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6"/>
      <c r="D629" s="40"/>
      <c r="E629" s="40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6"/>
      <c r="D630" s="40"/>
      <c r="E630" s="40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6"/>
      <c r="D631" s="40"/>
      <c r="E631" s="40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6"/>
      <c r="D632" s="40"/>
      <c r="E632" s="40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6"/>
      <c r="D633" s="40"/>
      <c r="E633" s="40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6"/>
      <c r="D634" s="40"/>
      <c r="E634" s="40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6"/>
      <c r="D635" s="40"/>
      <c r="E635" s="40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6"/>
      <c r="D636" s="40"/>
      <c r="E636" s="40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6"/>
      <c r="D637" s="40"/>
      <c r="E637" s="40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6"/>
      <c r="D638" s="40"/>
      <c r="E638" s="40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6"/>
      <c r="D639" s="40"/>
      <c r="E639" s="40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6"/>
      <c r="D640" s="40"/>
      <c r="E640" s="40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6"/>
      <c r="D641" s="40"/>
      <c r="E641" s="40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6"/>
      <c r="D642" s="40"/>
      <c r="E642" s="40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6"/>
      <c r="D643" s="40"/>
      <c r="E643" s="40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6"/>
      <c r="D644" s="40"/>
      <c r="E644" s="40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6"/>
      <c r="D645" s="40"/>
      <c r="E645" s="40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6"/>
      <c r="D646" s="40"/>
      <c r="E646" s="40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6"/>
      <c r="D647" s="40"/>
      <c r="E647" s="40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6"/>
      <c r="D648" s="40"/>
      <c r="E648" s="40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6"/>
      <c r="D649" s="40"/>
      <c r="E649" s="40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6"/>
      <c r="D650" s="40"/>
      <c r="E650" s="40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6"/>
      <c r="D651" s="40"/>
      <c r="E651" s="40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6"/>
      <c r="D652" s="40"/>
      <c r="E652" s="40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6"/>
      <c r="D653" s="40"/>
      <c r="E653" s="40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6"/>
      <c r="D654" s="40"/>
      <c r="E654" s="40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6"/>
      <c r="D655" s="40"/>
      <c r="E655" s="40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6"/>
      <c r="D656" s="40"/>
      <c r="E656" s="40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6"/>
      <c r="D657" s="40"/>
      <c r="E657" s="40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6"/>
      <c r="D658" s="40"/>
      <c r="E658" s="40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6"/>
      <c r="D659" s="40"/>
      <c r="E659" s="40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6"/>
      <c r="D660" s="40"/>
      <c r="E660" s="40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6"/>
      <c r="D661" s="40"/>
      <c r="E661" s="40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6"/>
      <c r="D662" s="40"/>
      <c r="E662" s="40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6"/>
      <c r="D663" s="40"/>
      <c r="E663" s="40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6"/>
      <c r="D664" s="40"/>
      <c r="E664" s="40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6"/>
      <c r="D665" s="40"/>
      <c r="E665" s="40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6"/>
      <c r="D666" s="40"/>
      <c r="E666" s="40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6"/>
      <c r="D667" s="40"/>
      <c r="E667" s="40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6"/>
      <c r="D668" s="40"/>
      <c r="E668" s="40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6"/>
      <c r="D669" s="40"/>
      <c r="E669" s="40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6"/>
      <c r="D670" s="40"/>
      <c r="E670" s="40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6"/>
      <c r="D671" s="40"/>
      <c r="E671" s="40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6"/>
      <c r="D672" s="40"/>
      <c r="E672" s="40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6"/>
      <c r="D673" s="40"/>
      <c r="E673" s="40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6"/>
      <c r="D674" s="40"/>
      <c r="E674" s="40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6"/>
      <c r="D675" s="40"/>
      <c r="E675" s="40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6"/>
      <c r="D676" s="40"/>
      <c r="E676" s="40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6"/>
      <c r="D677" s="40"/>
      <c r="E677" s="40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6"/>
      <c r="D678" s="40"/>
      <c r="E678" s="40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6"/>
      <c r="D679" s="40"/>
      <c r="E679" s="40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6"/>
      <c r="D680" s="40"/>
      <c r="E680" s="40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6"/>
      <c r="D681" s="40"/>
      <c r="E681" s="40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6"/>
      <c r="D682" s="40"/>
      <c r="E682" s="40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6"/>
      <c r="D683" s="40"/>
      <c r="E683" s="40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6"/>
      <c r="D684" s="40"/>
      <c r="E684" s="40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6"/>
      <c r="D685" s="40"/>
      <c r="E685" s="40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6"/>
      <c r="D686" s="40"/>
      <c r="E686" s="40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6"/>
      <c r="D687" s="40"/>
      <c r="E687" s="40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6"/>
      <c r="D688" s="40"/>
      <c r="E688" s="40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6"/>
      <c r="D689" s="40"/>
      <c r="E689" s="40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6"/>
      <c r="D690" s="40"/>
      <c r="E690" s="40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6"/>
      <c r="D691" s="40"/>
      <c r="E691" s="40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6"/>
      <c r="D692" s="40"/>
      <c r="E692" s="40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6"/>
      <c r="D693" s="40"/>
      <c r="E693" s="40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6"/>
      <c r="D694" s="40"/>
      <c r="E694" s="40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6"/>
      <c r="D695" s="40"/>
      <c r="E695" s="40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6"/>
      <c r="D696" s="40"/>
      <c r="E696" s="40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6"/>
      <c r="D697" s="40"/>
      <c r="E697" s="40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6"/>
      <c r="D698" s="40"/>
      <c r="E698" s="40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6"/>
      <c r="D699" s="40"/>
      <c r="E699" s="40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6"/>
      <c r="D700" s="40"/>
      <c r="E700" s="40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6"/>
      <c r="D701" s="40"/>
      <c r="E701" s="40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6"/>
      <c r="D702" s="40"/>
      <c r="E702" s="40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6"/>
      <c r="D703" s="40"/>
      <c r="E703" s="40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6"/>
      <c r="D704" s="40"/>
      <c r="E704" s="40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6"/>
      <c r="D705" s="40"/>
      <c r="E705" s="40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6"/>
      <c r="D706" s="40"/>
      <c r="E706" s="40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6"/>
      <c r="D707" s="40"/>
      <c r="E707" s="40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6"/>
      <c r="D708" s="40"/>
      <c r="E708" s="40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6"/>
      <c r="D709" s="40"/>
      <c r="E709" s="40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6"/>
      <c r="D710" s="40"/>
      <c r="E710" s="40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6"/>
      <c r="D711" s="40"/>
      <c r="E711" s="40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6"/>
      <c r="D712" s="40"/>
      <c r="E712" s="40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6"/>
      <c r="D713" s="40"/>
      <c r="E713" s="40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6"/>
      <c r="D714" s="40"/>
      <c r="E714" s="40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6"/>
      <c r="D715" s="40"/>
      <c r="E715" s="40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6"/>
      <c r="D716" s="40"/>
      <c r="E716" s="40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6"/>
      <c r="D717" s="40"/>
      <c r="E717" s="40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6"/>
      <c r="D718" s="40"/>
      <c r="E718" s="40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6"/>
      <c r="D719" s="40"/>
      <c r="E719" s="40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6"/>
      <c r="D720" s="40"/>
      <c r="E720" s="40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6"/>
      <c r="D721" s="40"/>
      <c r="E721" s="40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6"/>
      <c r="D722" s="40"/>
      <c r="E722" s="40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6"/>
      <c r="D723" s="40"/>
      <c r="E723" s="40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6"/>
      <c r="D724" s="40"/>
      <c r="E724" s="40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6"/>
      <c r="D725" s="40"/>
      <c r="E725" s="40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6"/>
      <c r="D726" s="40"/>
      <c r="E726" s="40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6"/>
      <c r="D727" s="40"/>
      <c r="E727" s="40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6"/>
      <c r="D728" s="40"/>
      <c r="E728" s="40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6"/>
      <c r="D729" s="40"/>
      <c r="E729" s="40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6"/>
      <c r="D730" s="40"/>
      <c r="E730" s="40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6"/>
      <c r="D731" s="40"/>
      <c r="E731" s="40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6"/>
      <c r="D732" s="40"/>
      <c r="E732" s="40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6"/>
      <c r="D733" s="40"/>
      <c r="E733" s="40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6"/>
      <c r="D734" s="40"/>
      <c r="E734" s="40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6"/>
      <c r="D735" s="40"/>
      <c r="E735" s="40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6"/>
      <c r="D736" s="40"/>
      <c r="E736" s="40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6"/>
      <c r="D737" s="40"/>
      <c r="E737" s="40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6"/>
      <c r="D738" s="40"/>
      <c r="E738" s="40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6"/>
      <c r="D739" s="40"/>
      <c r="E739" s="40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6"/>
      <c r="D740" s="40"/>
      <c r="E740" s="40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6"/>
      <c r="D741" s="40"/>
      <c r="E741" s="40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6"/>
      <c r="D742" s="40"/>
      <c r="E742" s="40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6"/>
      <c r="D743" s="40"/>
      <c r="E743" s="40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6"/>
      <c r="D744" s="40"/>
      <c r="E744" s="40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6"/>
      <c r="D745" s="40"/>
      <c r="E745" s="40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6"/>
      <c r="D746" s="40"/>
      <c r="E746" s="40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6"/>
      <c r="D747" s="40"/>
      <c r="E747" s="40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6"/>
      <c r="D748" s="40"/>
      <c r="E748" s="40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6"/>
      <c r="D749" s="40"/>
      <c r="E749" s="40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6"/>
      <c r="D750" s="40"/>
      <c r="E750" s="40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6"/>
      <c r="D751" s="40"/>
      <c r="E751" s="40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6"/>
      <c r="D752" s="40"/>
      <c r="E752" s="40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6"/>
      <c r="D753" s="40"/>
      <c r="E753" s="40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6"/>
      <c r="D754" s="40"/>
      <c r="E754" s="40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6"/>
      <c r="D755" s="40"/>
      <c r="E755" s="40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6"/>
      <c r="D756" s="40"/>
      <c r="E756" s="40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6"/>
      <c r="D757" s="40"/>
      <c r="E757" s="40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6"/>
      <c r="D758" s="40"/>
      <c r="E758" s="40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6"/>
      <c r="D759" s="40"/>
      <c r="E759" s="40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6"/>
      <c r="D760" s="40"/>
      <c r="E760" s="40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6"/>
      <c r="D761" s="40"/>
      <c r="E761" s="40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6"/>
      <c r="D762" s="40"/>
      <c r="E762" s="40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6"/>
      <c r="D763" s="40"/>
      <c r="E763" s="40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6"/>
      <c r="D764" s="40"/>
      <c r="E764" s="40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6"/>
      <c r="D765" s="40"/>
      <c r="E765" s="40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6"/>
      <c r="D766" s="40"/>
      <c r="E766" s="40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6"/>
      <c r="D767" s="40"/>
      <c r="E767" s="40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6"/>
      <c r="D768" s="40"/>
      <c r="E768" s="40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6"/>
      <c r="D769" s="40"/>
      <c r="E769" s="40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6"/>
      <c r="D770" s="40"/>
      <c r="E770" s="40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6"/>
      <c r="D771" s="40"/>
      <c r="E771" s="40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6"/>
      <c r="D772" s="40"/>
      <c r="E772" s="40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6"/>
      <c r="D773" s="40"/>
      <c r="E773" s="40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6"/>
      <c r="D774" s="40"/>
      <c r="E774" s="40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6"/>
      <c r="D775" s="40"/>
      <c r="E775" s="40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6"/>
      <c r="D776" s="40"/>
      <c r="E776" s="40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6"/>
      <c r="D777" s="40"/>
      <c r="E777" s="40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6"/>
      <c r="D778" s="40"/>
      <c r="E778" s="40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6"/>
      <c r="D779" s="40"/>
      <c r="E779" s="40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6"/>
      <c r="D780" s="40"/>
      <c r="E780" s="40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6"/>
      <c r="D781" s="40"/>
      <c r="E781" s="40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6"/>
      <c r="D782" s="40"/>
      <c r="E782" s="40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6"/>
      <c r="D783" s="40"/>
      <c r="E783" s="40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6"/>
      <c r="D784" s="40"/>
      <c r="E784" s="40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6"/>
      <c r="D785" s="40"/>
      <c r="E785" s="40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6"/>
      <c r="D786" s="40"/>
      <c r="E786" s="40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6"/>
      <c r="D787" s="40"/>
      <c r="E787" s="40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6"/>
      <c r="D788" s="40"/>
      <c r="E788" s="40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6"/>
      <c r="D789" s="40"/>
      <c r="E789" s="40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6"/>
      <c r="D790" s="40"/>
      <c r="E790" s="40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6"/>
      <c r="D791" s="40"/>
      <c r="E791" s="40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6"/>
      <c r="D792" s="40"/>
      <c r="E792" s="40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6"/>
      <c r="D793" s="40"/>
      <c r="E793" s="40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6"/>
      <c r="D794" s="40"/>
      <c r="E794" s="40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6"/>
      <c r="D795" s="40"/>
      <c r="E795" s="40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6"/>
      <c r="D796" s="40"/>
      <c r="E796" s="40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6"/>
      <c r="D797" s="40"/>
      <c r="E797" s="40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6"/>
      <c r="D798" s="40"/>
      <c r="E798" s="40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6"/>
      <c r="D799" s="40"/>
      <c r="E799" s="40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6"/>
      <c r="D800" s="40"/>
      <c r="E800" s="40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6"/>
      <c r="D801" s="40"/>
      <c r="E801" s="40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6"/>
      <c r="D802" s="40"/>
      <c r="E802" s="40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6"/>
      <c r="D803" s="40"/>
      <c r="E803" s="40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6"/>
      <c r="D804" s="40"/>
      <c r="E804" s="40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6"/>
      <c r="D805" s="40"/>
      <c r="E805" s="40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6"/>
      <c r="D806" s="40"/>
      <c r="E806" s="40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6"/>
      <c r="D807" s="40"/>
      <c r="E807" s="40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6"/>
      <c r="D808" s="40"/>
      <c r="E808" s="40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6"/>
      <c r="D809" s="40"/>
      <c r="E809" s="40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6"/>
      <c r="D810" s="40"/>
      <c r="E810" s="40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6"/>
      <c r="D811" s="40"/>
      <c r="E811" s="40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6"/>
      <c r="D812" s="40"/>
      <c r="E812" s="40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6"/>
      <c r="D813" s="40"/>
      <c r="E813" s="40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6"/>
      <c r="D814" s="40"/>
      <c r="E814" s="40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6"/>
      <c r="D815" s="40"/>
      <c r="E815" s="40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6"/>
      <c r="D816" s="40"/>
      <c r="E816" s="40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6"/>
      <c r="D817" s="40"/>
      <c r="E817" s="40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6"/>
      <c r="D818" s="40"/>
      <c r="E818" s="40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6"/>
      <c r="D819" s="40"/>
      <c r="E819" s="40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6"/>
      <c r="D820" s="40"/>
      <c r="E820" s="40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6"/>
      <c r="D821" s="40"/>
      <c r="E821" s="40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6"/>
      <c r="D822" s="40"/>
      <c r="E822" s="40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6"/>
      <c r="D823" s="40"/>
      <c r="E823" s="40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6"/>
      <c r="D824" s="40"/>
      <c r="E824" s="40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6"/>
      <c r="D825" s="40"/>
      <c r="E825" s="40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6"/>
      <c r="D826" s="40"/>
      <c r="E826" s="40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6"/>
      <c r="D827" s="40"/>
      <c r="E827" s="40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6"/>
      <c r="D828" s="40"/>
      <c r="E828" s="40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6"/>
      <c r="D829" s="40"/>
      <c r="E829" s="40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6"/>
      <c r="D830" s="40"/>
      <c r="E830" s="40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6"/>
      <c r="D831" s="40"/>
      <c r="E831" s="40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6"/>
      <c r="D832" s="40"/>
      <c r="E832" s="40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6"/>
      <c r="D833" s="40"/>
      <c r="E833" s="40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6"/>
      <c r="D834" s="40"/>
      <c r="E834" s="40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6"/>
      <c r="D835" s="40"/>
      <c r="E835" s="40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6"/>
      <c r="D836" s="40"/>
      <c r="E836" s="40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6"/>
      <c r="D837" s="40"/>
      <c r="E837" s="40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6"/>
      <c r="D838" s="40"/>
      <c r="E838" s="40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6"/>
      <c r="D839" s="40"/>
      <c r="E839" s="40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6"/>
      <c r="D840" s="40"/>
      <c r="E840" s="40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6"/>
      <c r="D841" s="40"/>
      <c r="E841" s="40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6"/>
      <c r="D842" s="40"/>
      <c r="E842" s="40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6"/>
      <c r="D843" s="40"/>
      <c r="E843" s="40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6"/>
      <c r="D844" s="40"/>
      <c r="E844" s="40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6"/>
      <c r="D845" s="40"/>
      <c r="E845" s="40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6"/>
      <c r="D846" s="40"/>
      <c r="E846" s="40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6"/>
      <c r="D847" s="40"/>
      <c r="E847" s="40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6"/>
      <c r="D848" s="40"/>
      <c r="E848" s="40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6"/>
      <c r="D849" s="40"/>
      <c r="E849" s="40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6"/>
      <c r="D850" s="40"/>
      <c r="E850" s="40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6"/>
      <c r="D851" s="40"/>
      <c r="E851" s="40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6"/>
      <c r="D852" s="40"/>
      <c r="E852" s="40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6"/>
      <c r="D853" s="40"/>
      <c r="E853" s="40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6"/>
      <c r="D854" s="40"/>
      <c r="E854" s="40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6"/>
      <c r="D855" s="40"/>
      <c r="E855" s="40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6"/>
      <c r="D856" s="40"/>
      <c r="E856" s="40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6"/>
      <c r="D857" s="40"/>
      <c r="E857" s="40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6"/>
      <c r="D858" s="40"/>
      <c r="E858" s="40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6"/>
      <c r="D859" s="40"/>
      <c r="E859" s="40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6"/>
      <c r="D860" s="40"/>
      <c r="E860" s="40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6"/>
      <c r="D861" s="40"/>
      <c r="E861" s="40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6"/>
      <c r="D862" s="40"/>
      <c r="E862" s="40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6"/>
      <c r="D863" s="40"/>
      <c r="E863" s="40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6"/>
      <c r="D864" s="40"/>
      <c r="E864" s="40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6"/>
      <c r="D865" s="40"/>
      <c r="E865" s="40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6"/>
      <c r="D866" s="40"/>
      <c r="E866" s="40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6"/>
      <c r="D867" s="40"/>
      <c r="E867" s="40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6"/>
      <c r="D868" s="40"/>
      <c r="E868" s="40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6"/>
      <c r="D869" s="40"/>
      <c r="E869" s="40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6"/>
      <c r="D870" s="40"/>
      <c r="E870" s="40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6"/>
      <c r="D871" s="40"/>
      <c r="E871" s="40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6"/>
      <c r="D872" s="40"/>
      <c r="E872" s="40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6"/>
      <c r="D873" s="40"/>
      <c r="E873" s="40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6"/>
      <c r="D874" s="40"/>
      <c r="E874" s="40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6"/>
      <c r="D875" s="40"/>
      <c r="E875" s="40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6"/>
      <c r="D876" s="40"/>
      <c r="E876" s="40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6"/>
      <c r="D877" s="40"/>
      <c r="E877" s="40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6"/>
      <c r="D878" s="40"/>
      <c r="E878" s="40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6"/>
      <c r="D879" s="40"/>
      <c r="E879" s="40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6"/>
      <c r="D880" s="40"/>
      <c r="E880" s="40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6"/>
      <c r="D881" s="40"/>
      <c r="E881" s="40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6"/>
      <c r="D882" s="40"/>
      <c r="E882" s="40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6"/>
      <c r="D883" s="40"/>
      <c r="E883" s="40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6"/>
      <c r="D884" s="40"/>
      <c r="E884" s="40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6"/>
      <c r="D885" s="40"/>
      <c r="E885" s="40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6"/>
      <c r="D886" s="40"/>
      <c r="E886" s="40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6"/>
      <c r="D887" s="40"/>
      <c r="E887" s="40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6"/>
      <c r="D888" s="40"/>
      <c r="E888" s="40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6"/>
      <c r="D889" s="40"/>
      <c r="E889" s="40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6"/>
      <c r="D890" s="40"/>
      <c r="E890" s="40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6"/>
      <c r="D891" s="40"/>
      <c r="E891" s="40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6"/>
      <c r="D892" s="40"/>
      <c r="E892" s="40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6"/>
      <c r="D893" s="40"/>
      <c r="E893" s="40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6"/>
      <c r="D894" s="40"/>
      <c r="E894" s="40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6"/>
      <c r="D895" s="40"/>
      <c r="E895" s="40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6"/>
      <c r="D896" s="40"/>
      <c r="E896" s="40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6"/>
      <c r="D897" s="40"/>
      <c r="E897" s="40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6"/>
      <c r="D898" s="40"/>
      <c r="E898" s="40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6"/>
      <c r="D899" s="40"/>
      <c r="E899" s="40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6"/>
      <c r="D900" s="40"/>
      <c r="E900" s="40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6"/>
      <c r="D901" s="40"/>
      <c r="E901" s="40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6"/>
      <c r="D902" s="40"/>
      <c r="E902" s="40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6"/>
      <c r="D903" s="40"/>
      <c r="E903" s="40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6"/>
      <c r="D904" s="40"/>
      <c r="E904" s="40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6"/>
      <c r="D905" s="40"/>
      <c r="E905" s="40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6"/>
      <c r="D906" s="40"/>
      <c r="E906" s="40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6"/>
      <c r="D907" s="40"/>
      <c r="E907" s="40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6"/>
      <c r="D908" s="40"/>
      <c r="E908" s="40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6"/>
      <c r="D909" s="40"/>
      <c r="E909" s="40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6"/>
      <c r="D910" s="40"/>
      <c r="E910" s="40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6"/>
      <c r="D911" s="40"/>
      <c r="E911" s="40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6"/>
      <c r="D912" s="40"/>
      <c r="E912" s="40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6"/>
      <c r="D913" s="40"/>
      <c r="E913" s="40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6"/>
      <c r="D914" s="40"/>
      <c r="E914" s="40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6"/>
      <c r="D915" s="40"/>
      <c r="E915" s="40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6"/>
      <c r="D916" s="40"/>
      <c r="E916" s="40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6"/>
      <c r="D917" s="40"/>
      <c r="E917" s="40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6"/>
      <c r="D918" s="40"/>
      <c r="E918" s="40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6"/>
      <c r="D919" s="40"/>
      <c r="E919" s="40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6"/>
      <c r="D920" s="40"/>
      <c r="E920" s="40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6"/>
      <c r="D921" s="40"/>
      <c r="E921" s="40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6"/>
      <c r="D922" s="40"/>
      <c r="E922" s="40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6"/>
      <c r="D923" s="40"/>
      <c r="E923" s="40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6"/>
      <c r="D924" s="40"/>
      <c r="E924" s="40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6"/>
      <c r="D925" s="40"/>
      <c r="E925" s="40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6"/>
      <c r="D926" s="40"/>
      <c r="E926" s="40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6"/>
      <c r="D927" s="40"/>
      <c r="E927" s="40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6"/>
      <c r="D928" s="40"/>
      <c r="E928" s="40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6"/>
      <c r="D929" s="40"/>
      <c r="E929" s="40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6"/>
      <c r="D930" s="40"/>
      <c r="E930" s="40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6"/>
      <c r="D931" s="40"/>
      <c r="E931" s="40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6"/>
      <c r="D932" s="40"/>
      <c r="E932" s="40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6"/>
      <c r="D933" s="40"/>
      <c r="E933" s="40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6"/>
      <c r="D934" s="40"/>
      <c r="E934" s="40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6"/>
      <c r="D935" s="40"/>
      <c r="E935" s="40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6"/>
      <c r="D936" s="40"/>
      <c r="E936" s="40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6"/>
      <c r="D937" s="40"/>
      <c r="E937" s="40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6"/>
      <c r="D938" s="40"/>
      <c r="E938" s="40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6"/>
      <c r="D939" s="40"/>
      <c r="E939" s="40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6"/>
      <c r="D940" s="40"/>
      <c r="E940" s="40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6"/>
      <c r="D941" s="40"/>
      <c r="E941" s="40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6"/>
      <c r="D942" s="40"/>
      <c r="E942" s="40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6"/>
      <c r="D943" s="40"/>
      <c r="E943" s="40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6"/>
      <c r="D944" s="40"/>
      <c r="E944" s="40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6"/>
      <c r="D945" s="40"/>
      <c r="E945" s="40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6"/>
      <c r="D946" s="40"/>
      <c r="E946" s="40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6"/>
      <c r="D947" s="40"/>
      <c r="E947" s="40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6"/>
      <c r="D948" s="40"/>
      <c r="E948" s="40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6"/>
      <c r="D949" s="40"/>
      <c r="E949" s="40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6"/>
      <c r="D950" s="40"/>
      <c r="E950" s="40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6"/>
      <c r="D951" s="40"/>
      <c r="E951" s="40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6"/>
      <c r="D952" s="40"/>
      <c r="E952" s="40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6"/>
      <c r="D953" s="40"/>
      <c r="E953" s="40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6"/>
      <c r="D954" s="40"/>
      <c r="E954" s="40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6"/>
      <c r="D955" s="40"/>
      <c r="E955" s="40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6"/>
      <c r="D956" s="40"/>
      <c r="E956" s="40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6"/>
      <c r="D957" s="40"/>
      <c r="E957" s="40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4"/>
      <c r="C958" s="4"/>
      <c r="D958" s="40"/>
      <c r="E958" s="40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4"/>
      <c r="AS958" s="4"/>
      <c r="AT958" s="4"/>
      <c r="AU958" s="4"/>
      <c r="AV958" s="4"/>
      <c r="AW958" s="4"/>
      <c r="AX958" s="4"/>
    </row>
    <row r="959" ht="20.25" customHeight="1">
      <c r="A959" s="1"/>
      <c r="B959" s="4"/>
      <c r="C959" s="4"/>
      <c r="D959" s="40"/>
      <c r="E959" s="40"/>
      <c r="F959" s="1"/>
      <c r="G959" s="1"/>
      <c r="H959" s="1"/>
      <c r="I959" s="4"/>
      <c r="J959" s="4"/>
      <c r="K959" s="4"/>
      <c r="L959" s="4"/>
      <c r="M959" s="5"/>
      <c r="N959" s="1"/>
      <c r="O959" s="1"/>
      <c r="P959" s="1"/>
      <c r="Q959" s="1"/>
      <c r="R959" s="1"/>
      <c r="S959" s="1"/>
      <c r="T959" s="4"/>
      <c r="U959" s="4"/>
      <c r="V959" s="4"/>
      <c r="W959" s="4"/>
      <c r="X959" s="1"/>
      <c r="Y959" s="1"/>
      <c r="Z959" s="1"/>
      <c r="AA959" s="1"/>
      <c r="AB959" s="1"/>
      <c r="AC959" s="1"/>
      <c r="AD959" s="1"/>
      <c r="AE959" s="1"/>
      <c r="AF959" s="4"/>
      <c r="AG959" s="4"/>
      <c r="AH959" s="4"/>
      <c r="AI959" s="4"/>
      <c r="AJ959" s="1"/>
      <c r="AK959" s="1"/>
      <c r="AL959" s="1"/>
      <c r="AM959" s="1"/>
      <c r="AN959" s="1"/>
      <c r="AO959" s="1"/>
      <c r="AP959" s="1"/>
      <c r="AQ959" s="1"/>
      <c r="AR959" s="4"/>
      <c r="AS959" s="4"/>
      <c r="AT959" s="4"/>
      <c r="AU959" s="4"/>
      <c r="AV959" s="4"/>
      <c r="AW959" s="4"/>
      <c r="AX959" s="4"/>
    </row>
    <row r="960" ht="20.25" customHeight="1">
      <c r="A960" s="1"/>
      <c r="B960" s="4"/>
      <c r="C960" s="4"/>
      <c r="D960" s="40"/>
      <c r="E960" s="40"/>
      <c r="F960" s="1"/>
      <c r="G960" s="1"/>
      <c r="H960" s="1"/>
      <c r="I960" s="4"/>
      <c r="J960" s="4"/>
      <c r="K960" s="4"/>
      <c r="L960" s="4"/>
      <c r="M960" s="5"/>
      <c r="N960" s="1"/>
      <c r="O960" s="1"/>
      <c r="P960" s="1"/>
      <c r="Q960" s="1"/>
      <c r="R960" s="1"/>
      <c r="S960" s="1"/>
      <c r="T960" s="4"/>
      <c r="U960" s="4"/>
      <c r="V960" s="4"/>
      <c r="W960" s="4"/>
      <c r="X960" s="1"/>
      <c r="Y960" s="1"/>
      <c r="Z960" s="1"/>
      <c r="AA960" s="1"/>
      <c r="AB960" s="1"/>
      <c r="AC960" s="1"/>
      <c r="AD960" s="1"/>
      <c r="AE960" s="1"/>
      <c r="AF960" s="4"/>
      <c r="AG960" s="4"/>
      <c r="AH960" s="4"/>
      <c r="AI960" s="4"/>
      <c r="AJ960" s="1"/>
      <c r="AK960" s="1"/>
      <c r="AL960" s="1"/>
      <c r="AM960" s="1"/>
      <c r="AN960" s="1"/>
      <c r="AO960" s="1"/>
      <c r="AP960" s="1"/>
      <c r="AQ960" s="1"/>
      <c r="AR960" s="4"/>
      <c r="AS960" s="4"/>
      <c r="AT960" s="4"/>
      <c r="AU960" s="4"/>
      <c r="AV960" s="4"/>
      <c r="AW960" s="4"/>
      <c r="AX960" s="4"/>
    </row>
    <row r="961" ht="20.25" customHeight="1">
      <c r="A961" s="1"/>
      <c r="B961" s="4"/>
      <c r="C961" s="4"/>
      <c r="D961" s="40"/>
      <c r="E961" s="40"/>
      <c r="F961" s="1"/>
      <c r="G961" s="1"/>
      <c r="H961" s="1"/>
      <c r="I961" s="4"/>
      <c r="J961" s="4"/>
      <c r="K961" s="4"/>
      <c r="L961" s="4"/>
      <c r="M961" s="5"/>
      <c r="N961" s="1"/>
      <c r="O961" s="1"/>
      <c r="P961" s="1"/>
      <c r="Q961" s="1"/>
      <c r="R961" s="1"/>
      <c r="S961" s="1"/>
      <c r="T961" s="4"/>
      <c r="U961" s="4"/>
      <c r="V961" s="4"/>
      <c r="W961" s="4"/>
      <c r="X961" s="1"/>
      <c r="Y961" s="1"/>
      <c r="Z961" s="1"/>
      <c r="AA961" s="1"/>
      <c r="AB961" s="1"/>
      <c r="AC961" s="1"/>
      <c r="AD961" s="1"/>
      <c r="AE961" s="1"/>
      <c r="AF961" s="4"/>
      <c r="AG961" s="4"/>
      <c r="AH961" s="4"/>
      <c r="AI961" s="4"/>
      <c r="AJ961" s="1"/>
      <c r="AK961" s="1"/>
      <c r="AL961" s="1"/>
      <c r="AM961" s="1"/>
      <c r="AN961" s="1"/>
      <c r="AO961" s="1"/>
      <c r="AP961" s="1"/>
      <c r="AQ961" s="1"/>
      <c r="AR961" s="4"/>
      <c r="AS961" s="4"/>
      <c r="AT961" s="4"/>
      <c r="AU961" s="4"/>
      <c r="AV961" s="4"/>
      <c r="AW961" s="4"/>
      <c r="AX961" s="4"/>
    </row>
    <row r="962" ht="20.25" customHeight="1">
      <c r="A962" s="1"/>
      <c r="B962" s="4"/>
      <c r="C962" s="4"/>
      <c r="D962" s="40"/>
      <c r="E962" s="40"/>
      <c r="F962" s="1"/>
      <c r="G962" s="1"/>
      <c r="H962" s="1"/>
      <c r="I962" s="4"/>
      <c r="J962" s="4"/>
      <c r="K962" s="4"/>
      <c r="L962" s="4"/>
      <c r="M962" s="5"/>
      <c r="N962" s="1"/>
      <c r="O962" s="1"/>
      <c r="P962" s="1"/>
      <c r="Q962" s="1"/>
      <c r="R962" s="1"/>
      <c r="S962" s="1"/>
      <c r="T962" s="4"/>
      <c r="U962" s="4"/>
      <c r="V962" s="4"/>
      <c r="W962" s="4"/>
      <c r="X962" s="1"/>
      <c r="Y962" s="1"/>
      <c r="Z962" s="1"/>
      <c r="AA962" s="1"/>
      <c r="AB962" s="1"/>
      <c r="AC962" s="1"/>
      <c r="AD962" s="1"/>
      <c r="AE962" s="1"/>
      <c r="AF962" s="4"/>
      <c r="AG962" s="4"/>
      <c r="AH962" s="4"/>
      <c r="AI962" s="4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40"/>
      <c r="E963" s="40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40"/>
      <c r="E964" s="40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40"/>
      <c r="E965" s="40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40"/>
      <c r="E966" s="40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40"/>
      <c r="E967" s="40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40"/>
      <c r="E968" s="40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</sheetData>
  <mergeCells count="199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17:J17"/>
    <mergeCell ref="K17:L17"/>
    <mergeCell ref="C19:L19"/>
    <mergeCell ref="O19:X19"/>
    <mergeCell ref="AA19:AJ19"/>
    <mergeCell ref="AM19:AV19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I25:J25"/>
    <mergeCell ref="K25:L25"/>
    <mergeCell ref="U25:V25"/>
    <mergeCell ref="W25:X25"/>
    <mergeCell ref="AG25:AH25"/>
    <mergeCell ref="AI25:AJ25"/>
    <mergeCell ref="AS25:AT25"/>
    <mergeCell ref="AU25:AV25"/>
    <mergeCell ref="I13:J13"/>
    <mergeCell ref="I14:J14"/>
    <mergeCell ref="K14:L14"/>
    <mergeCell ref="I15:J15"/>
    <mergeCell ref="K15:L15"/>
    <mergeCell ref="I16:J16"/>
    <mergeCell ref="K16:L16"/>
    <mergeCell ref="AS27:AT27"/>
    <mergeCell ref="AU27:AV27"/>
    <mergeCell ref="U33:V33"/>
    <mergeCell ref="W33:X33"/>
    <mergeCell ref="I34:J34"/>
    <mergeCell ref="K34:L34"/>
    <mergeCell ref="W34:X34"/>
    <mergeCell ref="K35:L35"/>
    <mergeCell ref="W35:X35"/>
    <mergeCell ref="W39:X39"/>
    <mergeCell ref="O41:X41"/>
    <mergeCell ref="U34:V34"/>
    <mergeCell ref="U35:V35"/>
    <mergeCell ref="U37:V37"/>
    <mergeCell ref="W37:X37"/>
    <mergeCell ref="U38:V38"/>
    <mergeCell ref="W38:X38"/>
    <mergeCell ref="U39:V39"/>
    <mergeCell ref="I37:J37"/>
    <mergeCell ref="K37:L37"/>
    <mergeCell ref="I38:J38"/>
    <mergeCell ref="K38:L38"/>
    <mergeCell ref="I39:J39"/>
    <mergeCell ref="K39:L39"/>
    <mergeCell ref="C41:L41"/>
    <mergeCell ref="B50:D51"/>
    <mergeCell ref="B52:D53"/>
    <mergeCell ref="E52:E53"/>
    <mergeCell ref="F52:F53"/>
    <mergeCell ref="B54:D55"/>
    <mergeCell ref="E54:E55"/>
    <mergeCell ref="F54:F55"/>
    <mergeCell ref="B44:F45"/>
    <mergeCell ref="B46:D47"/>
    <mergeCell ref="E46:E47"/>
    <mergeCell ref="F46:F47"/>
    <mergeCell ref="B48:F49"/>
    <mergeCell ref="E50:E51"/>
    <mergeCell ref="F50:F51"/>
    <mergeCell ref="AS36:AT36"/>
    <mergeCell ref="AS37:AT37"/>
    <mergeCell ref="AS33:AT33"/>
    <mergeCell ref="AU33:AV33"/>
    <mergeCell ref="AS34:AT34"/>
    <mergeCell ref="AU34:AV34"/>
    <mergeCell ref="AS35:AT35"/>
    <mergeCell ref="AU35:AV35"/>
    <mergeCell ref="AU36:AV36"/>
    <mergeCell ref="AU37:AV37"/>
    <mergeCell ref="K26:L26"/>
    <mergeCell ref="U26:V26"/>
    <mergeCell ref="W26:X26"/>
    <mergeCell ref="AG26:AH26"/>
    <mergeCell ref="AI26:AJ26"/>
    <mergeCell ref="AS26:AT26"/>
    <mergeCell ref="AU26:AV26"/>
    <mergeCell ref="I26:J26"/>
    <mergeCell ref="I27:J27"/>
    <mergeCell ref="K27:L27"/>
    <mergeCell ref="U27:V27"/>
    <mergeCell ref="W27:X27"/>
    <mergeCell ref="AG27:AH27"/>
    <mergeCell ref="AI27:AJ27"/>
    <mergeCell ref="I28:J28"/>
    <mergeCell ref="U28:V28"/>
    <mergeCell ref="W28:X28"/>
    <mergeCell ref="AG28:AH28"/>
    <mergeCell ref="AI28:AJ28"/>
    <mergeCell ref="AS28:AT28"/>
    <mergeCell ref="AU28:AV28"/>
    <mergeCell ref="K28:L28"/>
    <mergeCell ref="C30:L30"/>
    <mergeCell ref="O30:X30"/>
    <mergeCell ref="AA30:AJ30"/>
    <mergeCell ref="AM30:AV30"/>
    <mergeCell ref="I33:J33"/>
    <mergeCell ref="K33:L33"/>
    <mergeCell ref="I35:J35"/>
    <mergeCell ref="I36:J36"/>
    <mergeCell ref="K36:L36"/>
    <mergeCell ref="U36:V36"/>
    <mergeCell ref="W36:X36"/>
    <mergeCell ref="AG36:AH36"/>
    <mergeCell ref="AG37:AH37"/>
    <mergeCell ref="AG38:AH38"/>
    <mergeCell ref="AG39:AH39"/>
    <mergeCell ref="AI39:AJ39"/>
    <mergeCell ref="AA41:AJ41"/>
    <mergeCell ref="AI37:AJ37"/>
    <mergeCell ref="AI38:AJ38"/>
    <mergeCell ref="AS38:AT38"/>
    <mergeCell ref="AU38:AV38"/>
    <mergeCell ref="AS39:AT39"/>
    <mergeCell ref="AU39:AV39"/>
    <mergeCell ref="AM41:AV41"/>
    <mergeCell ref="AG33:AH33"/>
    <mergeCell ref="AI33:AJ33"/>
    <mergeCell ref="AG34:AH34"/>
    <mergeCell ref="AI34:AJ34"/>
    <mergeCell ref="AG35:AH35"/>
    <mergeCell ref="AI35:AJ35"/>
    <mergeCell ref="AI36:AJ36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3"/>
    <hyperlink r:id="rId26" ref="O23"/>
    <hyperlink r:id="rId27" ref="AA23"/>
    <hyperlink r:id="rId28" ref="AM23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34"/>
    <hyperlink r:id="rId46" ref="O34"/>
    <hyperlink r:id="rId47" ref="AA34"/>
    <hyperlink r:id="rId48" ref="AM34"/>
    <hyperlink r:id="rId49" ref="C35"/>
    <hyperlink r:id="rId50" ref="O35"/>
    <hyperlink r:id="rId51" ref="AA35"/>
    <hyperlink r:id="rId52" ref="AM35"/>
    <hyperlink r:id="rId53" ref="C36"/>
    <hyperlink r:id="rId54" ref="O36"/>
    <hyperlink r:id="rId55" ref="AA36"/>
    <hyperlink r:id="rId56" ref="AM36"/>
    <hyperlink r:id="rId57" ref="C37"/>
    <hyperlink r:id="rId58" ref="O37"/>
    <hyperlink r:id="rId59" ref="AA37"/>
    <hyperlink r:id="rId60" ref="AM37"/>
    <hyperlink r:id="rId61" ref="C38"/>
    <hyperlink r:id="rId62" ref="O38"/>
    <hyperlink r:id="rId63" ref="AA38"/>
    <hyperlink r:id="rId64" ref="AM38"/>
    <hyperlink r:id="rId65" ref="C39"/>
    <hyperlink r:id="rId66" ref="O39"/>
    <hyperlink r:id="rId67" ref="AA39"/>
    <hyperlink r:id="rId68" ref="AM39"/>
    <hyperlink r:id="rId69" ref="B50"/>
    <hyperlink r:id="rId70" ref="B52"/>
    <hyperlink r:id="rId71" ref="B54"/>
  </hyperlinks>
  <printOptions/>
  <pageMargins bottom="0.75" footer="0.0" header="0.0" left="0.7" right="0.7" top="0.75"/>
  <pageSetup orientation="portrait"/>
  <drawing r:id="rId7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78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78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84" t="s">
        <v>78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84" t="s">
        <v>78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85" t="s">
        <v>6</v>
      </c>
      <c r="AB11" s="85" t="s">
        <v>7</v>
      </c>
      <c r="AC11" s="85" t="s">
        <v>8</v>
      </c>
      <c r="AD11" s="85" t="s">
        <v>9</v>
      </c>
      <c r="AE11" s="85" t="s">
        <v>10</v>
      </c>
      <c r="AF11" s="86" t="s">
        <v>11</v>
      </c>
      <c r="AG11" s="87" t="s">
        <v>12</v>
      </c>
      <c r="AH11" s="23"/>
      <c r="AI11" s="87" t="s">
        <v>13</v>
      </c>
      <c r="AJ11" s="23"/>
      <c r="AK11" s="2"/>
      <c r="AL11" s="19" t="s">
        <v>5</v>
      </c>
      <c r="AM11" s="85" t="s">
        <v>6</v>
      </c>
      <c r="AN11" s="85" t="s">
        <v>7</v>
      </c>
      <c r="AO11" s="85" t="s">
        <v>8</v>
      </c>
      <c r="AP11" s="85" t="s">
        <v>9</v>
      </c>
      <c r="AQ11" s="85" t="s">
        <v>10</v>
      </c>
      <c r="AR11" s="86" t="s">
        <v>11</v>
      </c>
      <c r="AS11" s="87" t="s">
        <v>12</v>
      </c>
      <c r="AT11" s="23"/>
      <c r="AU11" s="87" t="s">
        <v>13</v>
      </c>
      <c r="AV11" s="23"/>
    </row>
    <row r="12" ht="20.25" customHeight="1">
      <c r="A12" s="1"/>
      <c r="B12" s="1"/>
      <c r="C12" s="88" t="s">
        <v>29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88" t="s">
        <v>29</v>
      </c>
      <c r="P12" s="27">
        <v>3.0</v>
      </c>
      <c r="Q12" s="28">
        <v>8.0</v>
      </c>
      <c r="R12" s="28">
        <v>8.0</v>
      </c>
      <c r="S12" s="44"/>
      <c r="T12" s="30"/>
      <c r="U12" s="31"/>
      <c r="V12" s="23"/>
      <c r="W12" s="31"/>
      <c r="X12" s="23"/>
      <c r="Y12" s="1"/>
      <c r="Z12" s="11"/>
      <c r="AA12" s="89" t="s">
        <v>29</v>
      </c>
      <c r="AB12" s="42">
        <v>3.0</v>
      </c>
      <c r="AC12" s="90">
        <v>8.0</v>
      </c>
      <c r="AD12" s="90">
        <v>8.0</v>
      </c>
      <c r="AE12" s="91"/>
      <c r="AF12" s="91"/>
      <c r="AG12" s="92"/>
      <c r="AH12" s="23"/>
      <c r="AI12" s="92"/>
      <c r="AJ12" s="23"/>
      <c r="AK12" s="33"/>
      <c r="AL12" s="11"/>
      <c r="AM12" s="89" t="s">
        <v>29</v>
      </c>
      <c r="AN12" s="42">
        <v>3.0</v>
      </c>
      <c r="AO12" s="90">
        <v>8.0</v>
      </c>
      <c r="AP12" s="90">
        <v>8.0</v>
      </c>
      <c r="AQ12" s="91"/>
      <c r="AR12" s="91"/>
      <c r="AS12" s="92"/>
      <c r="AT12" s="23"/>
      <c r="AU12" s="92"/>
      <c r="AV12" s="23"/>
    </row>
    <row r="13" ht="20.25" customHeight="1">
      <c r="A13" s="4"/>
      <c r="B13" s="1"/>
      <c r="C13" s="89" t="s">
        <v>79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89" t="s">
        <v>79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89" t="s">
        <v>79</v>
      </c>
      <c r="AB13" s="42">
        <v>3.0</v>
      </c>
      <c r="AC13" s="90" t="s">
        <v>17</v>
      </c>
      <c r="AD13" s="90">
        <v>8.0</v>
      </c>
      <c r="AE13" s="91"/>
      <c r="AF13" s="91"/>
      <c r="AG13" s="92"/>
      <c r="AH13" s="23"/>
      <c r="AI13" s="92"/>
      <c r="AJ13" s="23"/>
      <c r="AK13" s="33"/>
      <c r="AL13" s="11"/>
      <c r="AM13" s="89" t="s">
        <v>79</v>
      </c>
      <c r="AN13" s="42">
        <v>3.0</v>
      </c>
      <c r="AO13" s="90" t="s">
        <v>17</v>
      </c>
      <c r="AP13" s="90">
        <v>8.0</v>
      </c>
      <c r="AQ13" s="91"/>
      <c r="AR13" s="91"/>
      <c r="AS13" s="92"/>
      <c r="AT13" s="23"/>
      <c r="AU13" s="92"/>
      <c r="AV13" s="23"/>
    </row>
    <row r="14" ht="20.25" customHeight="1">
      <c r="A14" s="4"/>
      <c r="B14" s="1"/>
      <c r="C14" s="89" t="s">
        <v>41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89" t="s">
        <v>41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93"/>
      <c r="AA14" s="89" t="s">
        <v>41</v>
      </c>
      <c r="AB14" s="42">
        <v>3.0</v>
      </c>
      <c r="AC14" s="90" t="s">
        <v>17</v>
      </c>
      <c r="AD14" s="90">
        <v>8.0</v>
      </c>
      <c r="AE14" s="91"/>
      <c r="AF14" s="91"/>
      <c r="AG14" s="92"/>
      <c r="AH14" s="23"/>
      <c r="AI14" s="92"/>
      <c r="AJ14" s="23"/>
      <c r="AK14" s="33"/>
      <c r="AL14" s="93"/>
      <c r="AM14" s="89" t="s">
        <v>41</v>
      </c>
      <c r="AN14" s="42">
        <v>3.0</v>
      </c>
      <c r="AO14" s="90" t="s">
        <v>17</v>
      </c>
      <c r="AP14" s="90">
        <v>8.0</v>
      </c>
      <c r="AQ14" s="91"/>
      <c r="AR14" s="91"/>
      <c r="AS14" s="92"/>
      <c r="AT14" s="23"/>
      <c r="AU14" s="92"/>
      <c r="AV14" s="23"/>
    </row>
    <row r="15" ht="20.25" customHeight="1">
      <c r="A15" s="1"/>
      <c r="B15" s="1"/>
      <c r="C15" s="89" t="s">
        <v>80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89" t="s">
        <v>80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93"/>
      <c r="AA15" s="89" t="s">
        <v>80</v>
      </c>
      <c r="AB15" s="42">
        <v>3.0</v>
      </c>
      <c r="AC15" s="42" t="s">
        <v>17</v>
      </c>
      <c r="AD15" s="90">
        <v>8.0</v>
      </c>
      <c r="AE15" s="91"/>
      <c r="AF15" s="91"/>
      <c r="AG15" s="92"/>
      <c r="AH15" s="23"/>
      <c r="AI15" s="92"/>
      <c r="AJ15" s="23"/>
      <c r="AK15" s="33"/>
      <c r="AL15" s="93"/>
      <c r="AM15" s="89" t="s">
        <v>80</v>
      </c>
      <c r="AN15" s="42">
        <v>3.0</v>
      </c>
      <c r="AO15" s="42" t="s">
        <v>17</v>
      </c>
      <c r="AP15" s="90">
        <v>8.0</v>
      </c>
      <c r="AQ15" s="91"/>
      <c r="AR15" s="91"/>
      <c r="AS15" s="92"/>
      <c r="AT15" s="23"/>
      <c r="AU15" s="92"/>
      <c r="AV15" s="23"/>
    </row>
    <row r="16">
      <c r="A16" s="1"/>
      <c r="B16" s="1"/>
      <c r="C16" s="89" t="s">
        <v>32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89" t="s">
        <v>32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89" t="s">
        <v>32</v>
      </c>
      <c r="AB16" s="42">
        <v>3.0</v>
      </c>
      <c r="AC16" s="42" t="s">
        <v>17</v>
      </c>
      <c r="AD16" s="90">
        <v>8.0</v>
      </c>
      <c r="AE16" s="91"/>
      <c r="AF16" s="91"/>
      <c r="AG16" s="92"/>
      <c r="AH16" s="23"/>
      <c r="AI16" s="92"/>
      <c r="AJ16" s="23"/>
      <c r="AK16" s="33"/>
      <c r="AL16" s="11"/>
      <c r="AM16" s="89" t="s">
        <v>32</v>
      </c>
      <c r="AN16" s="42">
        <v>3.0</v>
      </c>
      <c r="AO16" s="42" t="s">
        <v>17</v>
      </c>
      <c r="AP16" s="90">
        <v>8.0</v>
      </c>
      <c r="AQ16" s="91"/>
      <c r="AR16" s="91"/>
      <c r="AS16" s="92"/>
      <c r="AT16" s="23"/>
      <c r="AU16" s="92"/>
      <c r="AV16" s="23"/>
    </row>
    <row r="17" ht="20.25" customHeight="1">
      <c r="A17" s="1"/>
      <c r="B17" s="1"/>
      <c r="C17" s="89" t="s">
        <v>22</v>
      </c>
      <c r="D17" s="27">
        <v>3.0</v>
      </c>
      <c r="E17" s="28" t="s">
        <v>23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89" t="s">
        <v>22</v>
      </c>
      <c r="P17" s="27">
        <v>3.0</v>
      </c>
      <c r="Q17" s="28" t="s">
        <v>23</v>
      </c>
      <c r="R17" s="28">
        <v>8.0</v>
      </c>
      <c r="S17" s="30"/>
      <c r="T17" s="30"/>
      <c r="U17" s="31"/>
      <c r="V17" s="23"/>
      <c r="W17" s="31"/>
      <c r="X17" s="23"/>
      <c r="Y17" s="24"/>
      <c r="Z17" s="93"/>
      <c r="AA17" s="89" t="s">
        <v>22</v>
      </c>
      <c r="AB17" s="42">
        <v>3.0</v>
      </c>
      <c r="AC17" s="90" t="s">
        <v>23</v>
      </c>
      <c r="AD17" s="90">
        <v>8.0</v>
      </c>
      <c r="AE17" s="91"/>
      <c r="AF17" s="91"/>
      <c r="AG17" s="92"/>
      <c r="AH17" s="23"/>
      <c r="AI17" s="92"/>
      <c r="AJ17" s="23"/>
      <c r="AK17" s="33"/>
      <c r="AL17" s="93"/>
      <c r="AM17" s="89" t="s">
        <v>22</v>
      </c>
      <c r="AN17" s="42">
        <v>3.0</v>
      </c>
      <c r="AO17" s="90" t="s">
        <v>23</v>
      </c>
      <c r="AP17" s="90">
        <v>8.0</v>
      </c>
      <c r="AQ17" s="91"/>
      <c r="AR17" s="91"/>
      <c r="AS17" s="92"/>
      <c r="AT17" s="23"/>
      <c r="AU17" s="92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94"/>
      <c r="AA18" s="95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94"/>
      <c r="AM18" s="95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81</v>
      </c>
      <c r="D19" s="40"/>
      <c r="E19" s="40"/>
      <c r="F19" s="1"/>
      <c r="G19" s="1"/>
      <c r="H19" s="1"/>
      <c r="I19" s="1"/>
      <c r="J19" s="1"/>
      <c r="K19" s="1"/>
      <c r="L19" s="1"/>
      <c r="M19" s="5"/>
      <c r="N19" s="4"/>
      <c r="O19" s="12" t="s">
        <v>81</v>
      </c>
      <c r="P19" s="40"/>
      <c r="Q19" s="40"/>
      <c r="R19" s="1"/>
      <c r="S19" s="1"/>
      <c r="T19" s="1"/>
      <c r="U19" s="1"/>
      <c r="V19" s="1"/>
      <c r="W19" s="1"/>
      <c r="X19" s="1"/>
      <c r="Y19" s="24"/>
      <c r="Z19" s="93"/>
      <c r="AA19" s="96" t="s">
        <v>81</v>
      </c>
      <c r="AB19" s="11"/>
      <c r="AC19" s="11"/>
      <c r="AD19" s="11"/>
      <c r="AE19" s="11"/>
      <c r="AF19" s="93"/>
      <c r="AG19" s="93"/>
      <c r="AH19" s="93"/>
      <c r="AI19" s="93"/>
      <c r="AJ19" s="93"/>
      <c r="AK19" s="3"/>
      <c r="AL19" s="93"/>
      <c r="AM19" s="96" t="s">
        <v>81</v>
      </c>
      <c r="AN19" s="11"/>
      <c r="AO19" s="11"/>
      <c r="AP19" s="11"/>
      <c r="AQ19" s="11"/>
      <c r="AR19" s="93"/>
      <c r="AS19" s="93"/>
      <c r="AT19" s="93"/>
      <c r="AU19" s="93"/>
      <c r="AV19" s="93"/>
    </row>
    <row r="20">
      <c r="A20" s="1"/>
      <c r="B20" s="12" t="s">
        <v>82</v>
      </c>
      <c r="C20" s="41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82</v>
      </c>
      <c r="O20" s="41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84" t="s">
        <v>82</v>
      </c>
      <c r="AA20" s="87" t="s">
        <v>6</v>
      </c>
      <c r="AB20" s="85" t="s">
        <v>7</v>
      </c>
      <c r="AC20" s="86" t="s">
        <v>8</v>
      </c>
      <c r="AD20" s="86" t="s">
        <v>9</v>
      </c>
      <c r="AE20" s="86" t="s">
        <v>10</v>
      </c>
      <c r="AF20" s="86" t="s">
        <v>11</v>
      </c>
      <c r="AG20" s="87" t="s">
        <v>12</v>
      </c>
      <c r="AH20" s="23"/>
      <c r="AI20" s="87" t="s">
        <v>13</v>
      </c>
      <c r="AJ20" s="23"/>
      <c r="AK20" s="33"/>
      <c r="AL20" s="84" t="s">
        <v>82</v>
      </c>
      <c r="AM20" s="87" t="s">
        <v>6</v>
      </c>
      <c r="AN20" s="85" t="s">
        <v>7</v>
      </c>
      <c r="AO20" s="86" t="s">
        <v>8</v>
      </c>
      <c r="AP20" s="86" t="s">
        <v>9</v>
      </c>
      <c r="AQ20" s="86" t="s">
        <v>10</v>
      </c>
      <c r="AR20" s="86" t="s">
        <v>11</v>
      </c>
      <c r="AS20" s="87" t="s">
        <v>12</v>
      </c>
      <c r="AT20" s="23"/>
      <c r="AU20" s="87" t="s">
        <v>13</v>
      </c>
      <c r="AV20" s="23"/>
    </row>
    <row r="21" ht="20.25" customHeight="1">
      <c r="A21" s="4"/>
      <c r="B21" s="1"/>
      <c r="C21" s="89" t="s">
        <v>83</v>
      </c>
      <c r="D21" s="42">
        <v>3.0</v>
      </c>
      <c r="E21" s="43">
        <v>10.0</v>
      </c>
      <c r="F21" s="43">
        <v>8.0</v>
      </c>
      <c r="G21" s="44"/>
      <c r="H21" s="45"/>
      <c r="I21" s="31"/>
      <c r="J21" s="23"/>
      <c r="K21" s="31"/>
      <c r="L21" s="23"/>
      <c r="M21" s="17"/>
      <c r="N21" s="1"/>
      <c r="O21" s="89" t="s">
        <v>83</v>
      </c>
      <c r="P21" s="42">
        <v>3.0</v>
      </c>
      <c r="Q21" s="43">
        <v>10.0</v>
      </c>
      <c r="R21" s="43">
        <v>8.0</v>
      </c>
      <c r="S21" s="44"/>
      <c r="T21" s="45"/>
      <c r="U21" s="31"/>
      <c r="V21" s="23"/>
      <c r="W21" s="31"/>
      <c r="X21" s="23"/>
      <c r="Y21" s="1"/>
      <c r="Z21" s="11"/>
      <c r="AA21" s="26" t="s">
        <v>83</v>
      </c>
      <c r="AB21" s="42">
        <v>3.0</v>
      </c>
      <c r="AC21" s="90">
        <v>10.0</v>
      </c>
      <c r="AD21" s="90">
        <v>8.0</v>
      </c>
      <c r="AE21" s="91"/>
      <c r="AF21" s="97"/>
      <c r="AG21" s="92"/>
      <c r="AH21" s="23"/>
      <c r="AI21" s="92"/>
      <c r="AJ21" s="23"/>
      <c r="AK21" s="33"/>
      <c r="AL21" s="11"/>
      <c r="AM21" s="26" t="s">
        <v>83</v>
      </c>
      <c r="AN21" s="42">
        <v>3.0</v>
      </c>
      <c r="AO21" s="90">
        <v>10.0</v>
      </c>
      <c r="AP21" s="90">
        <v>8.0</v>
      </c>
      <c r="AQ21" s="91"/>
      <c r="AR21" s="97"/>
      <c r="AS21" s="92"/>
      <c r="AT21" s="23"/>
      <c r="AU21" s="92"/>
      <c r="AV21" s="23"/>
    </row>
    <row r="22" ht="20.25" customHeight="1">
      <c r="A22" s="1"/>
      <c r="B22" s="1"/>
      <c r="C22" s="26" t="s">
        <v>40</v>
      </c>
      <c r="D22" s="42">
        <v>3.0</v>
      </c>
      <c r="E22" s="43" t="s">
        <v>17</v>
      </c>
      <c r="F22" s="43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40</v>
      </c>
      <c r="P22" s="42">
        <v>3.0</v>
      </c>
      <c r="Q22" s="43" t="s">
        <v>17</v>
      </c>
      <c r="R22" s="43">
        <v>8.0</v>
      </c>
      <c r="S22" s="30"/>
      <c r="T22" s="30"/>
      <c r="U22" s="31"/>
      <c r="V22" s="23"/>
      <c r="W22" s="31"/>
      <c r="X22" s="23"/>
      <c r="Y22" s="24"/>
      <c r="Z22" s="93"/>
      <c r="AA22" s="89" t="s">
        <v>40</v>
      </c>
      <c r="AB22" s="42">
        <v>3.0</v>
      </c>
      <c r="AC22" s="90" t="s">
        <v>17</v>
      </c>
      <c r="AD22" s="90">
        <v>8.0</v>
      </c>
      <c r="AE22" s="91"/>
      <c r="AF22" s="91"/>
      <c r="AG22" s="92"/>
      <c r="AH22" s="23"/>
      <c r="AI22" s="92"/>
      <c r="AJ22" s="23"/>
      <c r="AK22" s="33"/>
      <c r="AL22" s="93"/>
      <c r="AM22" s="89" t="s">
        <v>40</v>
      </c>
      <c r="AN22" s="42">
        <v>3.0</v>
      </c>
      <c r="AO22" s="90" t="s">
        <v>17</v>
      </c>
      <c r="AP22" s="90">
        <v>8.0</v>
      </c>
      <c r="AQ22" s="91"/>
      <c r="AR22" s="91"/>
      <c r="AS22" s="92"/>
      <c r="AT22" s="23"/>
      <c r="AU22" s="92"/>
      <c r="AV22" s="23"/>
    </row>
    <row r="23" ht="20.25" customHeight="1">
      <c r="A23" s="1"/>
      <c r="B23" s="1"/>
      <c r="C23" s="89" t="s">
        <v>28</v>
      </c>
      <c r="D23" s="42">
        <v>3.0</v>
      </c>
      <c r="E23" s="43" t="s">
        <v>17</v>
      </c>
      <c r="F23" s="43">
        <v>8.0</v>
      </c>
      <c r="G23" s="30"/>
      <c r="H23" s="30"/>
      <c r="I23" s="31"/>
      <c r="J23" s="23"/>
      <c r="K23" s="31"/>
      <c r="L23" s="23"/>
      <c r="M23" s="32"/>
      <c r="N23" s="1"/>
      <c r="O23" s="89" t="s">
        <v>28</v>
      </c>
      <c r="P23" s="42">
        <v>3.0</v>
      </c>
      <c r="Q23" s="43" t="s">
        <v>17</v>
      </c>
      <c r="R23" s="43">
        <v>8.0</v>
      </c>
      <c r="S23" s="30"/>
      <c r="T23" s="30"/>
      <c r="U23" s="31"/>
      <c r="V23" s="23"/>
      <c r="W23" s="31"/>
      <c r="X23" s="23"/>
      <c r="Y23" s="24"/>
      <c r="Z23" s="93"/>
      <c r="AA23" s="89" t="s">
        <v>28</v>
      </c>
      <c r="AB23" s="42">
        <v>3.0</v>
      </c>
      <c r="AC23" s="90" t="s">
        <v>17</v>
      </c>
      <c r="AD23" s="90">
        <v>8.0</v>
      </c>
      <c r="AE23" s="91"/>
      <c r="AF23" s="91"/>
      <c r="AG23" s="92"/>
      <c r="AH23" s="23"/>
      <c r="AI23" s="92"/>
      <c r="AJ23" s="23"/>
      <c r="AK23" s="33"/>
      <c r="AL23" s="93"/>
      <c r="AM23" s="89" t="s">
        <v>28</v>
      </c>
      <c r="AN23" s="42">
        <v>3.0</v>
      </c>
      <c r="AO23" s="90" t="s">
        <v>17</v>
      </c>
      <c r="AP23" s="90">
        <v>8.0</v>
      </c>
      <c r="AQ23" s="91"/>
      <c r="AR23" s="91"/>
      <c r="AS23" s="92"/>
      <c r="AT23" s="23"/>
      <c r="AU23" s="92"/>
      <c r="AV23" s="23"/>
    </row>
    <row r="24" ht="20.25" customHeight="1">
      <c r="A24" s="1"/>
      <c r="B24" s="1"/>
      <c r="C24" s="89" t="s">
        <v>39</v>
      </c>
      <c r="D24" s="42">
        <v>3.0</v>
      </c>
      <c r="E24" s="43" t="s">
        <v>17</v>
      </c>
      <c r="F24" s="43">
        <v>8.0</v>
      </c>
      <c r="G24" s="30"/>
      <c r="H24" s="30"/>
      <c r="I24" s="31"/>
      <c r="J24" s="23"/>
      <c r="K24" s="31"/>
      <c r="L24" s="23"/>
      <c r="M24" s="32"/>
      <c r="N24" s="1"/>
      <c r="O24" s="89" t="s">
        <v>39</v>
      </c>
      <c r="P24" s="42">
        <v>3.0</v>
      </c>
      <c r="Q24" s="43" t="s">
        <v>17</v>
      </c>
      <c r="R24" s="43">
        <v>8.0</v>
      </c>
      <c r="S24" s="30"/>
      <c r="T24" s="30"/>
      <c r="U24" s="31"/>
      <c r="V24" s="23"/>
      <c r="W24" s="31"/>
      <c r="X24" s="23"/>
      <c r="Y24" s="24"/>
      <c r="Z24" s="93"/>
      <c r="AA24" s="89" t="s">
        <v>39</v>
      </c>
      <c r="AB24" s="42">
        <v>3.0</v>
      </c>
      <c r="AC24" s="90" t="s">
        <v>17</v>
      </c>
      <c r="AD24" s="90">
        <v>8.0</v>
      </c>
      <c r="AE24" s="91"/>
      <c r="AF24" s="91"/>
      <c r="AG24" s="92"/>
      <c r="AH24" s="23"/>
      <c r="AI24" s="92"/>
      <c r="AJ24" s="23"/>
      <c r="AK24" s="33"/>
      <c r="AL24" s="93"/>
      <c r="AM24" s="89" t="s">
        <v>39</v>
      </c>
      <c r="AN24" s="42">
        <v>3.0</v>
      </c>
      <c r="AO24" s="90" t="s">
        <v>17</v>
      </c>
      <c r="AP24" s="90">
        <v>8.0</v>
      </c>
      <c r="AQ24" s="91"/>
      <c r="AR24" s="91"/>
      <c r="AS24" s="92"/>
      <c r="AT24" s="23"/>
      <c r="AU24" s="92"/>
      <c r="AV24" s="23"/>
    </row>
    <row r="25" ht="20.25" customHeight="1">
      <c r="A25" s="1"/>
      <c r="B25" s="1"/>
      <c r="C25" s="89" t="s">
        <v>20</v>
      </c>
      <c r="D25" s="42">
        <v>3.0</v>
      </c>
      <c r="E25" s="43" t="s">
        <v>17</v>
      </c>
      <c r="F25" s="43">
        <v>8.0</v>
      </c>
      <c r="G25" s="30"/>
      <c r="H25" s="30"/>
      <c r="I25" s="31"/>
      <c r="J25" s="23"/>
      <c r="K25" s="31"/>
      <c r="L25" s="23"/>
      <c r="M25" s="32"/>
      <c r="N25" s="1"/>
      <c r="O25" s="89" t="s">
        <v>20</v>
      </c>
      <c r="P25" s="42">
        <v>3.0</v>
      </c>
      <c r="Q25" s="43" t="s">
        <v>17</v>
      </c>
      <c r="R25" s="43">
        <v>8.0</v>
      </c>
      <c r="S25" s="30"/>
      <c r="T25" s="30"/>
      <c r="U25" s="31"/>
      <c r="V25" s="23"/>
      <c r="W25" s="31"/>
      <c r="X25" s="23"/>
      <c r="Y25" s="24"/>
      <c r="Z25" s="93"/>
      <c r="AA25" s="89" t="s">
        <v>20</v>
      </c>
      <c r="AB25" s="42">
        <v>3.0</v>
      </c>
      <c r="AC25" s="42" t="s">
        <v>17</v>
      </c>
      <c r="AD25" s="90">
        <v>8.0</v>
      </c>
      <c r="AE25" s="91"/>
      <c r="AF25" s="91"/>
      <c r="AG25" s="92"/>
      <c r="AH25" s="23"/>
      <c r="AI25" s="92"/>
      <c r="AJ25" s="23"/>
      <c r="AK25" s="33"/>
      <c r="AL25" s="93"/>
      <c r="AM25" s="89" t="s">
        <v>20</v>
      </c>
      <c r="AN25" s="42">
        <v>3.0</v>
      </c>
      <c r="AO25" s="42" t="s">
        <v>17</v>
      </c>
      <c r="AP25" s="90">
        <v>8.0</v>
      </c>
      <c r="AQ25" s="91"/>
      <c r="AR25" s="91"/>
      <c r="AS25" s="92"/>
      <c r="AT25" s="23"/>
      <c r="AU25" s="92"/>
      <c r="AV25" s="23"/>
    </row>
    <row r="26" ht="20.25" customHeight="1">
      <c r="A26" s="1"/>
      <c r="B26" s="1"/>
      <c r="C26" s="89" t="s">
        <v>31</v>
      </c>
      <c r="D26" s="42">
        <v>3.0</v>
      </c>
      <c r="E26" s="42" t="s">
        <v>17</v>
      </c>
      <c r="F26" s="43">
        <v>8.0</v>
      </c>
      <c r="G26" s="30"/>
      <c r="H26" s="30"/>
      <c r="I26" s="31"/>
      <c r="J26" s="23"/>
      <c r="K26" s="31"/>
      <c r="L26" s="23"/>
      <c r="M26" s="32"/>
      <c r="N26" s="1"/>
      <c r="O26" s="89" t="s">
        <v>31</v>
      </c>
      <c r="P26" s="42">
        <v>3.0</v>
      </c>
      <c r="Q26" s="42" t="s">
        <v>17</v>
      </c>
      <c r="R26" s="43">
        <v>8.0</v>
      </c>
      <c r="S26" s="30"/>
      <c r="T26" s="30"/>
      <c r="U26" s="31"/>
      <c r="V26" s="23"/>
      <c r="W26" s="31"/>
      <c r="X26" s="23"/>
      <c r="Y26" s="34"/>
      <c r="Z26" s="93"/>
      <c r="AA26" s="89" t="s">
        <v>31</v>
      </c>
      <c r="AB26" s="42">
        <v>3.0</v>
      </c>
      <c r="AC26" s="42" t="s">
        <v>17</v>
      </c>
      <c r="AD26" s="90">
        <v>8.0</v>
      </c>
      <c r="AE26" s="91"/>
      <c r="AF26" s="91"/>
      <c r="AG26" s="92"/>
      <c r="AH26" s="23"/>
      <c r="AI26" s="92"/>
      <c r="AJ26" s="23"/>
      <c r="AK26" s="33"/>
      <c r="AL26" s="93"/>
      <c r="AM26" s="89" t="s">
        <v>31</v>
      </c>
      <c r="AN26" s="42">
        <v>3.0</v>
      </c>
      <c r="AO26" s="42" t="s">
        <v>17</v>
      </c>
      <c r="AP26" s="90">
        <v>8.0</v>
      </c>
      <c r="AQ26" s="91"/>
      <c r="AR26" s="91"/>
      <c r="AS26" s="92"/>
      <c r="AT26" s="23"/>
      <c r="AU26" s="92"/>
      <c r="AV26" s="23"/>
    </row>
    <row r="27" ht="20.25" customHeight="1">
      <c r="A27" s="1"/>
      <c r="B27" s="16"/>
      <c r="C27" s="98" t="s">
        <v>84</v>
      </c>
      <c r="D27" s="99">
        <v>3.0</v>
      </c>
      <c r="E27" s="99" t="s">
        <v>17</v>
      </c>
      <c r="F27" s="100">
        <v>8.0</v>
      </c>
      <c r="G27" s="101"/>
      <c r="H27" s="101"/>
      <c r="I27" s="102"/>
      <c r="J27" s="10"/>
      <c r="K27" s="102"/>
      <c r="L27" s="10"/>
      <c r="M27" s="17"/>
      <c r="N27" s="16"/>
      <c r="O27" s="98" t="s">
        <v>84</v>
      </c>
      <c r="P27" s="99">
        <v>3.0</v>
      </c>
      <c r="Q27" s="99" t="s">
        <v>17</v>
      </c>
      <c r="R27" s="100">
        <v>8.0</v>
      </c>
      <c r="S27" s="101"/>
      <c r="T27" s="101"/>
      <c r="U27" s="102"/>
      <c r="V27" s="10"/>
      <c r="W27" s="102"/>
      <c r="X27" s="10"/>
      <c r="Y27" s="47"/>
      <c r="Z27" s="18"/>
      <c r="AA27" s="89" t="s">
        <v>84</v>
      </c>
      <c r="AB27" s="103">
        <v>3.0</v>
      </c>
      <c r="AC27" s="103" t="s">
        <v>17</v>
      </c>
      <c r="AD27" s="103">
        <v>8.0</v>
      </c>
      <c r="AE27" s="104"/>
      <c r="AF27" s="104"/>
      <c r="AG27" s="105"/>
      <c r="AH27" s="10"/>
      <c r="AI27" s="105"/>
      <c r="AJ27" s="10"/>
      <c r="AK27" s="48"/>
      <c r="AL27" s="18"/>
      <c r="AM27" s="89" t="s">
        <v>84</v>
      </c>
      <c r="AN27" s="103">
        <v>3.0</v>
      </c>
      <c r="AO27" s="103" t="s">
        <v>17</v>
      </c>
      <c r="AP27" s="103">
        <v>8.0</v>
      </c>
      <c r="AQ27" s="104"/>
      <c r="AR27" s="104"/>
      <c r="AS27" s="105"/>
      <c r="AT27" s="10"/>
      <c r="AU27" s="105"/>
      <c r="AV27" s="10"/>
    </row>
    <row r="28" ht="20.25" customHeight="1">
      <c r="A28" s="1"/>
      <c r="B28" s="1"/>
      <c r="C28" s="89" t="s">
        <v>33</v>
      </c>
      <c r="D28" s="43">
        <v>1.0</v>
      </c>
      <c r="E28" s="46" t="s">
        <v>34</v>
      </c>
      <c r="F28" s="46" t="s">
        <v>35</v>
      </c>
      <c r="G28" s="30"/>
      <c r="H28" s="30"/>
      <c r="I28" s="31"/>
      <c r="J28" s="23"/>
      <c r="K28" s="31"/>
      <c r="L28" s="23"/>
      <c r="M28" s="17"/>
      <c r="N28" s="1"/>
      <c r="O28" s="89" t="s">
        <v>33</v>
      </c>
      <c r="P28" s="43">
        <v>1.0</v>
      </c>
      <c r="Q28" s="46" t="s">
        <v>34</v>
      </c>
      <c r="R28" s="46" t="s">
        <v>35</v>
      </c>
      <c r="S28" s="30"/>
      <c r="T28" s="30"/>
      <c r="U28" s="31"/>
      <c r="V28" s="23"/>
      <c r="W28" s="31"/>
      <c r="X28" s="23"/>
      <c r="Y28" s="47"/>
      <c r="Z28" s="11"/>
      <c r="AA28" s="89" t="s">
        <v>33</v>
      </c>
      <c r="AB28" s="90">
        <v>1.0</v>
      </c>
      <c r="AC28" s="90" t="s">
        <v>34</v>
      </c>
      <c r="AD28" s="90" t="s">
        <v>35</v>
      </c>
      <c r="AE28" s="91"/>
      <c r="AF28" s="91"/>
      <c r="AG28" s="92"/>
      <c r="AH28" s="23"/>
      <c r="AI28" s="92"/>
      <c r="AJ28" s="23"/>
      <c r="AK28" s="48"/>
      <c r="AL28" s="11"/>
      <c r="AM28" s="89" t="s">
        <v>33</v>
      </c>
      <c r="AN28" s="90">
        <v>1.0</v>
      </c>
      <c r="AO28" s="90" t="s">
        <v>34</v>
      </c>
      <c r="AP28" s="90" t="s">
        <v>35</v>
      </c>
      <c r="AQ28" s="91"/>
      <c r="AR28" s="91"/>
      <c r="AS28" s="92"/>
      <c r="AT28" s="23"/>
      <c r="AU28" s="92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95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95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37" t="s">
        <v>25</v>
      </c>
      <c r="D30" s="38"/>
      <c r="E30" s="38"/>
      <c r="F30" s="38"/>
      <c r="G30" s="38"/>
      <c r="H30" s="38"/>
      <c r="I30" s="38"/>
      <c r="J30" s="38"/>
      <c r="K30" s="38"/>
      <c r="L30" s="23"/>
      <c r="M30" s="5"/>
      <c r="N30" s="1"/>
      <c r="O30" s="37" t="s">
        <v>25</v>
      </c>
      <c r="P30" s="38"/>
      <c r="Q30" s="38"/>
      <c r="R30" s="38"/>
      <c r="S30" s="38"/>
      <c r="T30" s="38"/>
      <c r="U30" s="38"/>
      <c r="V30" s="38"/>
      <c r="W30" s="38"/>
      <c r="X30" s="23"/>
      <c r="Y30" s="49"/>
      <c r="Z30" s="93"/>
      <c r="AA30" s="106" t="s">
        <v>25</v>
      </c>
      <c r="AB30" s="38"/>
      <c r="AC30" s="38"/>
      <c r="AD30" s="38"/>
      <c r="AE30" s="38"/>
      <c r="AF30" s="38"/>
      <c r="AG30" s="38"/>
      <c r="AH30" s="38"/>
      <c r="AI30" s="38"/>
      <c r="AJ30" s="23"/>
      <c r="AK30" s="3"/>
      <c r="AL30" s="93"/>
      <c r="AM30" s="106" t="s">
        <v>25</v>
      </c>
      <c r="AN30" s="38"/>
      <c r="AO30" s="38"/>
      <c r="AP30" s="38"/>
      <c r="AQ30" s="38"/>
      <c r="AR30" s="38"/>
      <c r="AS30" s="38"/>
      <c r="AT30" s="38"/>
      <c r="AU30" s="38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93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33"/>
      <c r="AL31" s="93"/>
      <c r="AM31" s="95"/>
      <c r="AN31" s="95"/>
      <c r="AO31" s="95"/>
      <c r="AP31" s="95"/>
      <c r="AQ31" s="95"/>
      <c r="AR31" s="95"/>
      <c r="AS31" s="95"/>
      <c r="AT31" s="95"/>
      <c r="AU31" s="95"/>
      <c r="AV31" s="95"/>
    </row>
    <row r="32">
      <c r="A32" s="1"/>
      <c r="B32" s="16"/>
      <c r="C32" s="12" t="s">
        <v>85</v>
      </c>
      <c r="D32" s="40"/>
      <c r="E32" s="40"/>
      <c r="F32" s="1"/>
      <c r="G32" s="1"/>
      <c r="H32" s="1"/>
      <c r="I32" s="1"/>
      <c r="J32" s="1"/>
      <c r="K32" s="1"/>
      <c r="L32" s="1"/>
      <c r="M32" s="32"/>
      <c r="N32" s="16"/>
      <c r="O32" s="12" t="s">
        <v>85</v>
      </c>
      <c r="P32" s="40"/>
      <c r="Q32" s="40"/>
      <c r="R32" s="1"/>
      <c r="S32" s="1"/>
      <c r="T32" s="1"/>
      <c r="U32" s="1"/>
      <c r="V32" s="1"/>
      <c r="W32" s="1"/>
      <c r="X32" s="1"/>
      <c r="Y32" s="34"/>
      <c r="Z32" s="95"/>
      <c r="AA32" s="84" t="s">
        <v>85</v>
      </c>
      <c r="AB32" s="11"/>
      <c r="AC32" s="93"/>
      <c r="AD32" s="93"/>
      <c r="AE32" s="93"/>
      <c r="AF32" s="93"/>
      <c r="AG32" s="93"/>
      <c r="AH32" s="93"/>
      <c r="AI32" s="93"/>
      <c r="AJ32" s="93"/>
      <c r="AK32" s="33"/>
      <c r="AL32" s="95"/>
      <c r="AM32" s="84" t="s">
        <v>85</v>
      </c>
      <c r="AN32" s="11"/>
      <c r="AO32" s="93"/>
      <c r="AP32" s="93"/>
      <c r="AQ32" s="93"/>
      <c r="AR32" s="93"/>
      <c r="AS32" s="93"/>
      <c r="AT32" s="93"/>
      <c r="AU32" s="93"/>
      <c r="AV32" s="93"/>
    </row>
    <row r="33" ht="20.25" customHeight="1">
      <c r="A33" s="7"/>
      <c r="B33" s="50" t="s">
        <v>86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0" t="s">
        <v>86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107" t="s">
        <v>86</v>
      </c>
      <c r="AA33" s="86" t="s">
        <v>6</v>
      </c>
      <c r="AB33" s="86" t="s">
        <v>7</v>
      </c>
      <c r="AC33" s="85" t="s">
        <v>8</v>
      </c>
      <c r="AD33" s="86" t="s">
        <v>9</v>
      </c>
      <c r="AE33" s="86" t="s">
        <v>10</v>
      </c>
      <c r="AF33" s="86" t="s">
        <v>11</v>
      </c>
      <c r="AG33" s="87" t="s">
        <v>12</v>
      </c>
      <c r="AH33" s="23"/>
      <c r="AI33" s="87" t="s">
        <v>13</v>
      </c>
      <c r="AJ33" s="23"/>
      <c r="AK33" s="51"/>
      <c r="AL33" s="107" t="s">
        <v>86</v>
      </c>
      <c r="AM33" s="86" t="s">
        <v>6</v>
      </c>
      <c r="AN33" s="86" t="s">
        <v>7</v>
      </c>
      <c r="AO33" s="85" t="s">
        <v>8</v>
      </c>
      <c r="AP33" s="86" t="s">
        <v>9</v>
      </c>
      <c r="AQ33" s="86" t="s">
        <v>10</v>
      </c>
      <c r="AR33" s="86" t="s">
        <v>11</v>
      </c>
      <c r="AS33" s="87" t="s">
        <v>12</v>
      </c>
      <c r="AT33" s="23"/>
      <c r="AU33" s="87" t="s">
        <v>13</v>
      </c>
      <c r="AV33" s="23"/>
    </row>
    <row r="34" ht="20.25" customHeight="1">
      <c r="A34" s="52"/>
      <c r="B34" s="1"/>
      <c r="C34" s="98" t="s">
        <v>87</v>
      </c>
      <c r="D34" s="43">
        <v>3.0</v>
      </c>
      <c r="E34" s="43">
        <v>8.0</v>
      </c>
      <c r="F34" s="43">
        <v>8.0</v>
      </c>
      <c r="G34" s="44"/>
      <c r="H34" s="30"/>
      <c r="I34" s="31"/>
      <c r="J34" s="23"/>
      <c r="K34" s="31"/>
      <c r="L34" s="23"/>
      <c r="M34" s="5"/>
      <c r="N34" s="1"/>
      <c r="O34" s="98" t="s">
        <v>87</v>
      </c>
      <c r="P34" s="43">
        <v>3.0</v>
      </c>
      <c r="Q34" s="43">
        <v>8.0</v>
      </c>
      <c r="R34" s="43">
        <v>8.0</v>
      </c>
      <c r="S34" s="44"/>
      <c r="T34" s="30"/>
      <c r="U34" s="31"/>
      <c r="V34" s="23"/>
      <c r="W34" s="31"/>
      <c r="X34" s="23"/>
      <c r="Y34" s="24"/>
      <c r="Z34" s="93"/>
      <c r="AA34" s="89" t="s">
        <v>87</v>
      </c>
      <c r="AB34" s="90">
        <v>3.0</v>
      </c>
      <c r="AC34" s="42">
        <v>8.0</v>
      </c>
      <c r="AD34" s="90">
        <v>8.0</v>
      </c>
      <c r="AE34" s="91"/>
      <c r="AF34" s="91"/>
      <c r="AG34" s="92"/>
      <c r="AH34" s="23"/>
      <c r="AI34" s="92"/>
      <c r="AJ34" s="23"/>
      <c r="AK34" s="53"/>
      <c r="AL34" s="93"/>
      <c r="AM34" s="89" t="s">
        <v>87</v>
      </c>
      <c r="AN34" s="90">
        <v>3.0</v>
      </c>
      <c r="AO34" s="42">
        <v>8.0</v>
      </c>
      <c r="AP34" s="90">
        <v>8.0</v>
      </c>
      <c r="AQ34" s="91"/>
      <c r="AR34" s="91"/>
      <c r="AS34" s="92"/>
      <c r="AT34" s="23"/>
      <c r="AU34" s="92"/>
      <c r="AV34" s="23"/>
    </row>
    <row r="35" ht="20.25" customHeight="1">
      <c r="A35" s="4"/>
      <c r="B35" s="1"/>
      <c r="C35" s="108" t="s">
        <v>88</v>
      </c>
      <c r="D35" s="42">
        <v>3.0</v>
      </c>
      <c r="E35" s="43" t="s">
        <v>17</v>
      </c>
      <c r="F35" s="43">
        <v>8.0</v>
      </c>
      <c r="G35" s="30"/>
      <c r="H35" s="30"/>
      <c r="I35" s="31"/>
      <c r="J35" s="23"/>
      <c r="K35" s="31"/>
      <c r="L35" s="23"/>
      <c r="M35" s="32"/>
      <c r="N35" s="1"/>
      <c r="O35" s="108" t="s">
        <v>88</v>
      </c>
      <c r="P35" s="42">
        <v>3.0</v>
      </c>
      <c r="Q35" s="43" t="s">
        <v>17</v>
      </c>
      <c r="R35" s="43">
        <v>8.0</v>
      </c>
      <c r="S35" s="30"/>
      <c r="T35" s="30"/>
      <c r="U35" s="31"/>
      <c r="V35" s="23"/>
      <c r="W35" s="31"/>
      <c r="X35" s="23"/>
      <c r="Y35" s="34"/>
      <c r="Z35" s="93"/>
      <c r="AA35" s="109" t="s">
        <v>88</v>
      </c>
      <c r="AB35" s="90">
        <v>3.0</v>
      </c>
      <c r="AC35" s="42" t="s">
        <v>17</v>
      </c>
      <c r="AD35" s="90">
        <v>8.0</v>
      </c>
      <c r="AE35" s="91"/>
      <c r="AF35" s="91"/>
      <c r="AG35" s="92"/>
      <c r="AH35" s="23"/>
      <c r="AI35" s="92"/>
      <c r="AJ35" s="23"/>
      <c r="AK35" s="33"/>
      <c r="AL35" s="93"/>
      <c r="AM35" s="109" t="s">
        <v>88</v>
      </c>
      <c r="AN35" s="90">
        <v>3.0</v>
      </c>
      <c r="AO35" s="42" t="s">
        <v>17</v>
      </c>
      <c r="AP35" s="90">
        <v>8.0</v>
      </c>
      <c r="AQ35" s="91"/>
      <c r="AR35" s="91"/>
      <c r="AS35" s="92"/>
      <c r="AT35" s="23"/>
      <c r="AU35" s="92"/>
      <c r="AV35" s="23"/>
    </row>
    <row r="36" ht="20.25" customHeight="1">
      <c r="A36" s="1"/>
      <c r="B36" s="1"/>
      <c r="C36" s="88" t="s">
        <v>89</v>
      </c>
      <c r="D36" s="43">
        <v>3.0</v>
      </c>
      <c r="E36" s="42" t="s">
        <v>17</v>
      </c>
      <c r="F36" s="43">
        <v>8.0</v>
      </c>
      <c r="G36" s="30"/>
      <c r="H36" s="54"/>
      <c r="I36" s="31"/>
      <c r="J36" s="23"/>
      <c r="K36" s="31"/>
      <c r="L36" s="23"/>
      <c r="M36" s="32"/>
      <c r="N36" s="1"/>
      <c r="O36" s="88" t="s">
        <v>89</v>
      </c>
      <c r="P36" s="43">
        <v>3.0</v>
      </c>
      <c r="Q36" s="42" t="s">
        <v>17</v>
      </c>
      <c r="R36" s="43">
        <v>8.0</v>
      </c>
      <c r="S36" s="30"/>
      <c r="T36" s="54"/>
      <c r="U36" s="31"/>
      <c r="V36" s="23"/>
      <c r="W36" s="31"/>
      <c r="X36" s="23"/>
      <c r="Y36" s="1"/>
      <c r="Z36" s="11"/>
      <c r="AA36" s="89" t="s">
        <v>89</v>
      </c>
      <c r="AB36" s="42">
        <v>3.0</v>
      </c>
      <c r="AC36" s="42" t="s">
        <v>17</v>
      </c>
      <c r="AD36" s="90">
        <v>8.0</v>
      </c>
      <c r="AE36" s="91"/>
      <c r="AF36" s="92"/>
      <c r="AG36" s="92"/>
      <c r="AH36" s="23"/>
      <c r="AI36" s="92"/>
      <c r="AJ36" s="23"/>
      <c r="AK36" s="33"/>
      <c r="AL36" s="11"/>
      <c r="AM36" s="89" t="s">
        <v>89</v>
      </c>
      <c r="AN36" s="42">
        <v>3.0</v>
      </c>
      <c r="AO36" s="42" t="s">
        <v>17</v>
      </c>
      <c r="AP36" s="90">
        <v>8.0</v>
      </c>
      <c r="AQ36" s="91"/>
      <c r="AR36" s="92"/>
      <c r="AS36" s="92"/>
      <c r="AT36" s="23"/>
      <c r="AU36" s="92"/>
      <c r="AV36" s="23"/>
    </row>
    <row r="37" ht="20.25" customHeight="1">
      <c r="A37" s="1"/>
      <c r="B37" s="1"/>
      <c r="C37" s="88" t="s">
        <v>90</v>
      </c>
      <c r="D37" s="43">
        <v>3.0</v>
      </c>
      <c r="E37" s="42" t="s">
        <v>17</v>
      </c>
      <c r="F37" s="43">
        <v>8.0</v>
      </c>
      <c r="G37" s="30"/>
      <c r="H37" s="54"/>
      <c r="I37" s="31"/>
      <c r="J37" s="23"/>
      <c r="K37" s="31"/>
      <c r="L37" s="23"/>
      <c r="M37" s="32"/>
      <c r="N37" s="1"/>
      <c r="O37" s="88" t="s">
        <v>90</v>
      </c>
      <c r="P37" s="43">
        <v>3.0</v>
      </c>
      <c r="Q37" s="42" t="s">
        <v>17</v>
      </c>
      <c r="R37" s="43">
        <v>8.0</v>
      </c>
      <c r="S37" s="30"/>
      <c r="T37" s="54"/>
      <c r="U37" s="31"/>
      <c r="V37" s="23"/>
      <c r="W37" s="31"/>
      <c r="X37" s="23"/>
      <c r="Y37" s="1"/>
      <c r="Z37" s="11"/>
      <c r="AA37" s="89" t="s">
        <v>90</v>
      </c>
      <c r="AB37" s="42">
        <v>3.0</v>
      </c>
      <c r="AC37" s="90" t="s">
        <v>17</v>
      </c>
      <c r="AD37" s="90">
        <v>8.0</v>
      </c>
      <c r="AE37" s="110"/>
      <c r="AF37" s="111"/>
      <c r="AG37" s="92"/>
      <c r="AH37" s="23"/>
      <c r="AI37" s="92"/>
      <c r="AJ37" s="23"/>
      <c r="AK37" s="33"/>
      <c r="AL37" s="11"/>
      <c r="AM37" s="89" t="s">
        <v>90</v>
      </c>
      <c r="AN37" s="42">
        <v>3.0</v>
      </c>
      <c r="AO37" s="90" t="s">
        <v>17</v>
      </c>
      <c r="AP37" s="90">
        <v>8.0</v>
      </c>
      <c r="AQ37" s="110"/>
      <c r="AR37" s="111"/>
      <c r="AS37" s="92"/>
      <c r="AT37" s="23"/>
      <c r="AU37" s="92"/>
      <c r="AV37" s="23"/>
    </row>
    <row r="38" ht="20.25" customHeight="1">
      <c r="A38" s="1"/>
      <c r="B38" s="1"/>
      <c r="C38" s="88" t="s">
        <v>30</v>
      </c>
      <c r="D38" s="112">
        <v>3.0</v>
      </c>
      <c r="E38" s="113" t="s">
        <v>17</v>
      </c>
      <c r="F38" s="43">
        <v>8.0</v>
      </c>
      <c r="G38" s="30"/>
      <c r="H38" s="30"/>
      <c r="I38" s="31"/>
      <c r="J38" s="23"/>
      <c r="K38" s="31"/>
      <c r="L38" s="23"/>
      <c r="M38" s="5"/>
      <c r="N38" s="1"/>
      <c r="O38" s="88" t="s">
        <v>30</v>
      </c>
      <c r="P38" s="112">
        <v>3.0</v>
      </c>
      <c r="Q38" s="113" t="s">
        <v>17</v>
      </c>
      <c r="R38" s="43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30</v>
      </c>
      <c r="AB38" s="113">
        <v>3.0</v>
      </c>
      <c r="AC38" s="113" t="s">
        <v>17</v>
      </c>
      <c r="AD38" s="42">
        <v>8.0</v>
      </c>
      <c r="AE38" s="114"/>
      <c r="AF38" s="114"/>
      <c r="AG38" s="115"/>
      <c r="AH38" s="23"/>
      <c r="AI38" s="115"/>
      <c r="AJ38" s="23"/>
      <c r="AK38" s="2"/>
      <c r="AL38" s="11"/>
      <c r="AM38" s="26" t="s">
        <v>30</v>
      </c>
      <c r="AN38" s="113">
        <v>3.0</v>
      </c>
      <c r="AO38" s="113" t="s">
        <v>17</v>
      </c>
      <c r="AP38" s="42">
        <v>8.0</v>
      </c>
      <c r="AQ38" s="114"/>
      <c r="AR38" s="114"/>
      <c r="AS38" s="115"/>
      <c r="AT38" s="23"/>
      <c r="AU38" s="115"/>
      <c r="AV38" s="23"/>
    </row>
    <row r="39" ht="20.25" customHeight="1">
      <c r="A39" s="1"/>
      <c r="B39" s="16"/>
      <c r="C39" s="116" t="s">
        <v>91</v>
      </c>
      <c r="D39" s="42">
        <v>3.0</v>
      </c>
      <c r="E39" s="42" t="s">
        <v>17</v>
      </c>
      <c r="F39" s="43">
        <v>8.0</v>
      </c>
      <c r="G39" s="30"/>
      <c r="H39" s="30"/>
      <c r="I39" s="31"/>
      <c r="J39" s="23"/>
      <c r="K39" s="31"/>
      <c r="L39" s="23"/>
      <c r="M39" s="5"/>
      <c r="N39" s="16"/>
      <c r="O39" s="116" t="s">
        <v>91</v>
      </c>
      <c r="P39" s="42">
        <v>3.0</v>
      </c>
      <c r="Q39" s="42" t="s">
        <v>17</v>
      </c>
      <c r="R39" s="43">
        <v>8.0</v>
      </c>
      <c r="S39" s="30"/>
      <c r="T39" s="30"/>
      <c r="U39" s="31"/>
      <c r="V39" s="23"/>
      <c r="W39" s="31"/>
      <c r="X39" s="23"/>
      <c r="Y39" s="49"/>
      <c r="Z39" s="95"/>
      <c r="AA39" s="117" t="s">
        <v>91</v>
      </c>
      <c r="AB39" s="42">
        <v>3.0</v>
      </c>
      <c r="AC39" s="42" t="s">
        <v>17</v>
      </c>
      <c r="AD39" s="42">
        <v>8.0</v>
      </c>
      <c r="AE39" s="114"/>
      <c r="AF39" s="91"/>
      <c r="AG39" s="92"/>
      <c r="AH39" s="23"/>
      <c r="AI39" s="92"/>
      <c r="AJ39" s="23"/>
      <c r="AK39" s="3"/>
      <c r="AL39" s="95"/>
      <c r="AM39" s="117" t="s">
        <v>91</v>
      </c>
      <c r="AN39" s="42">
        <v>3.0</v>
      </c>
      <c r="AO39" s="42" t="s">
        <v>17</v>
      </c>
      <c r="AP39" s="42">
        <v>8.0</v>
      </c>
      <c r="AQ39" s="114"/>
      <c r="AR39" s="91"/>
      <c r="AS39" s="92"/>
      <c r="AT39" s="23"/>
      <c r="AU39" s="92"/>
      <c r="AV39" s="23"/>
    </row>
    <row r="40" ht="20.25" customHeight="1">
      <c r="A40" s="4"/>
      <c r="B40" s="16"/>
      <c r="C40" s="98" t="str">
        <f>HYPERLINK("https://youtu.be/h0XtRD5YUmo", "Overhead cable extension ")</f>
        <v>Overhead cable extension </v>
      </c>
      <c r="D40" s="42">
        <v>3.0</v>
      </c>
      <c r="E40" s="43" t="s">
        <v>17</v>
      </c>
      <c r="F40" s="43">
        <v>8.0</v>
      </c>
      <c r="G40" s="30"/>
      <c r="H40" s="55"/>
      <c r="I40" s="31"/>
      <c r="J40" s="23"/>
      <c r="K40" s="31"/>
      <c r="L40" s="23"/>
      <c r="M40" s="32"/>
      <c r="N40" s="16"/>
      <c r="O40" s="98" t="str">
        <f>HYPERLINK("https://youtu.be/h0XtRD5YUmo", "Overhead cable extension ")</f>
        <v>Overhead cable extension </v>
      </c>
      <c r="P40" s="42">
        <v>3.0</v>
      </c>
      <c r="Q40" s="43" t="s">
        <v>17</v>
      </c>
      <c r="R40" s="43">
        <v>8.0</v>
      </c>
      <c r="S40" s="30"/>
      <c r="T40" s="55"/>
      <c r="U40" s="31"/>
      <c r="V40" s="23"/>
      <c r="W40" s="31"/>
      <c r="X40" s="23"/>
      <c r="Y40" s="34"/>
      <c r="Z40" s="95"/>
      <c r="AA40" s="89" t="str">
        <f>HYPERLINK("https://youtu.be/h0XtRD5YUmo", "Overhead cable extension ")</f>
        <v>Overhead cable extension </v>
      </c>
      <c r="AB40" s="42">
        <v>3.0</v>
      </c>
      <c r="AC40" s="90" t="s">
        <v>17</v>
      </c>
      <c r="AD40" s="90">
        <v>8.0</v>
      </c>
      <c r="AE40" s="91"/>
      <c r="AF40" s="110"/>
      <c r="AG40" s="92"/>
      <c r="AH40" s="23"/>
      <c r="AI40" s="92"/>
      <c r="AJ40" s="23"/>
      <c r="AK40" s="33"/>
      <c r="AL40" s="95"/>
      <c r="AM40" s="89" t="str">
        <f>HYPERLINK("https://youtu.be/h0XtRD5YUmo", "Overhead cable extension ")</f>
        <v>Overhead cable extension </v>
      </c>
      <c r="AN40" s="42">
        <v>3.0</v>
      </c>
      <c r="AO40" s="90" t="s">
        <v>17</v>
      </c>
      <c r="AP40" s="90">
        <v>8.0</v>
      </c>
      <c r="AQ40" s="91"/>
      <c r="AR40" s="110"/>
      <c r="AS40" s="92"/>
      <c r="AT40" s="23"/>
      <c r="AU40" s="92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93"/>
      <c r="AA41" s="18"/>
      <c r="AB41" s="18"/>
      <c r="AC41" s="95"/>
      <c r="AD41" s="95"/>
      <c r="AE41" s="95"/>
      <c r="AF41" s="95"/>
      <c r="AG41" s="95"/>
      <c r="AH41" s="95"/>
      <c r="AI41" s="95"/>
      <c r="AJ41" s="95"/>
      <c r="AK41" s="33"/>
      <c r="AL41" s="93"/>
      <c r="AM41" s="18"/>
      <c r="AN41" s="18"/>
      <c r="AO41" s="95"/>
      <c r="AP41" s="95"/>
      <c r="AQ41" s="95"/>
      <c r="AR41" s="95"/>
      <c r="AS41" s="95"/>
      <c r="AT41" s="95"/>
      <c r="AU41" s="95"/>
      <c r="AV41" s="95"/>
    </row>
    <row r="42" ht="20.25" customHeight="1">
      <c r="A42" s="1"/>
      <c r="B42" s="16"/>
      <c r="C42" s="118" t="s">
        <v>92</v>
      </c>
      <c r="D42" s="40"/>
      <c r="E42" s="40"/>
      <c r="F42" s="1"/>
      <c r="G42" s="1"/>
      <c r="H42" s="1"/>
      <c r="I42" s="1"/>
      <c r="J42" s="1"/>
      <c r="K42" s="1"/>
      <c r="L42" s="1"/>
      <c r="M42" s="32"/>
      <c r="N42" s="16"/>
      <c r="O42" s="118" t="s">
        <v>92</v>
      </c>
      <c r="P42" s="40"/>
      <c r="Q42" s="40"/>
      <c r="R42" s="1"/>
      <c r="S42" s="1"/>
      <c r="T42" s="1"/>
      <c r="U42" s="1"/>
      <c r="V42" s="1"/>
      <c r="W42" s="1"/>
      <c r="X42" s="1"/>
      <c r="Y42" s="34"/>
      <c r="Z42" s="95"/>
      <c r="AA42" s="119" t="s">
        <v>92</v>
      </c>
      <c r="AB42" s="11"/>
      <c r="AC42" s="93"/>
      <c r="AD42" s="93"/>
      <c r="AE42" s="93"/>
      <c r="AF42" s="93"/>
      <c r="AG42" s="93"/>
      <c r="AH42" s="93"/>
      <c r="AI42" s="93"/>
      <c r="AJ42" s="93"/>
      <c r="AK42" s="33"/>
      <c r="AL42" s="95"/>
      <c r="AM42" s="119" t="s">
        <v>92</v>
      </c>
      <c r="AN42" s="11"/>
      <c r="AO42" s="93"/>
      <c r="AP42" s="93"/>
      <c r="AQ42" s="93"/>
      <c r="AR42" s="93"/>
      <c r="AS42" s="93"/>
      <c r="AT42" s="93"/>
      <c r="AU42" s="93"/>
      <c r="AV42" s="93"/>
    </row>
    <row r="43" ht="20.25" customHeight="1">
      <c r="A43" s="1"/>
      <c r="B43" s="120" t="s">
        <v>38</v>
      </c>
      <c r="C43" s="121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2"/>
      <c r="N43" s="120" t="s">
        <v>38</v>
      </c>
      <c r="O43" s="121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34"/>
      <c r="Z43" s="122" t="s">
        <v>38</v>
      </c>
      <c r="AA43" s="123" t="s">
        <v>6</v>
      </c>
      <c r="AB43" s="85" t="s">
        <v>7</v>
      </c>
      <c r="AC43" s="86" t="s">
        <v>8</v>
      </c>
      <c r="AD43" s="86" t="s">
        <v>9</v>
      </c>
      <c r="AE43" s="86" t="s">
        <v>10</v>
      </c>
      <c r="AF43" s="86" t="s">
        <v>11</v>
      </c>
      <c r="AG43" s="87" t="s">
        <v>12</v>
      </c>
      <c r="AH43" s="23"/>
      <c r="AI43" s="87" t="s">
        <v>13</v>
      </c>
      <c r="AJ43" s="23"/>
      <c r="AK43" s="33"/>
      <c r="AL43" s="122" t="s">
        <v>38</v>
      </c>
      <c r="AM43" s="123" t="s">
        <v>6</v>
      </c>
      <c r="AN43" s="85" t="s">
        <v>7</v>
      </c>
      <c r="AO43" s="86" t="s">
        <v>8</v>
      </c>
      <c r="AP43" s="86" t="s">
        <v>9</v>
      </c>
      <c r="AQ43" s="86" t="s">
        <v>10</v>
      </c>
      <c r="AR43" s="86" t="s">
        <v>11</v>
      </c>
      <c r="AS43" s="87" t="s">
        <v>12</v>
      </c>
      <c r="AT43" s="23"/>
      <c r="AU43" s="87" t="s">
        <v>13</v>
      </c>
      <c r="AV43" s="23"/>
    </row>
    <row r="44" ht="20.25" customHeight="1">
      <c r="A44" s="4"/>
      <c r="B44" s="1"/>
      <c r="C44" s="88" t="s">
        <v>93</v>
      </c>
      <c r="D44" s="42">
        <v>3.0</v>
      </c>
      <c r="E44" s="43">
        <v>8.0</v>
      </c>
      <c r="F44" s="43">
        <v>8.0</v>
      </c>
      <c r="G44" s="44"/>
      <c r="H44" s="30"/>
      <c r="I44" s="31"/>
      <c r="J44" s="23"/>
      <c r="K44" s="31"/>
      <c r="L44" s="23"/>
      <c r="M44" s="32"/>
      <c r="N44" s="1"/>
      <c r="O44" s="88" t="s">
        <v>93</v>
      </c>
      <c r="P44" s="42">
        <v>3.0</v>
      </c>
      <c r="Q44" s="43">
        <v>8.0</v>
      </c>
      <c r="R44" s="43">
        <v>8.0</v>
      </c>
      <c r="S44" s="44"/>
      <c r="T44" s="30"/>
      <c r="U44" s="31"/>
      <c r="V44" s="23"/>
      <c r="W44" s="31"/>
      <c r="X44" s="23"/>
      <c r="Y44" s="34"/>
      <c r="Z44" s="93"/>
      <c r="AA44" s="26" t="s">
        <v>93</v>
      </c>
      <c r="AB44" s="42">
        <v>3.0</v>
      </c>
      <c r="AC44" s="90">
        <v>8.0</v>
      </c>
      <c r="AD44" s="90">
        <v>8.0</v>
      </c>
      <c r="AE44" s="91"/>
      <c r="AF44" s="91"/>
      <c r="AG44" s="92"/>
      <c r="AH44" s="23"/>
      <c r="AI44" s="92"/>
      <c r="AJ44" s="23"/>
      <c r="AK44" s="33"/>
      <c r="AL44" s="93"/>
      <c r="AM44" s="26" t="s">
        <v>93</v>
      </c>
      <c r="AN44" s="42">
        <v>3.0</v>
      </c>
      <c r="AO44" s="90">
        <v>8.0</v>
      </c>
      <c r="AP44" s="90">
        <v>8.0</v>
      </c>
      <c r="AQ44" s="91"/>
      <c r="AR44" s="91"/>
      <c r="AS44" s="92"/>
      <c r="AT44" s="23"/>
      <c r="AU44" s="92"/>
      <c r="AV44" s="23"/>
    </row>
    <row r="45" ht="20.25" customHeight="1">
      <c r="A45" s="1"/>
      <c r="B45" s="1"/>
      <c r="C45" s="124" t="s">
        <v>20</v>
      </c>
      <c r="D45" s="42">
        <v>3.0</v>
      </c>
      <c r="E45" s="43" t="s">
        <v>15</v>
      </c>
      <c r="F45" s="43">
        <v>8.0</v>
      </c>
      <c r="G45" s="30"/>
      <c r="H45" s="30"/>
      <c r="I45" s="31"/>
      <c r="J45" s="23"/>
      <c r="K45" s="31"/>
      <c r="L45" s="23"/>
      <c r="M45" s="32"/>
      <c r="N45" s="1"/>
      <c r="O45" s="124" t="s">
        <v>20</v>
      </c>
      <c r="P45" s="42">
        <v>3.0</v>
      </c>
      <c r="Q45" s="43" t="s">
        <v>15</v>
      </c>
      <c r="R45" s="43">
        <v>8.0</v>
      </c>
      <c r="S45" s="30"/>
      <c r="T45" s="30"/>
      <c r="U45" s="31"/>
      <c r="V45" s="23"/>
      <c r="W45" s="31"/>
      <c r="X45" s="23"/>
      <c r="Y45" s="34"/>
      <c r="Z45" s="93"/>
      <c r="AA45" s="89" t="s">
        <v>20</v>
      </c>
      <c r="AB45" s="42">
        <v>3.0</v>
      </c>
      <c r="AC45" s="125" t="s">
        <v>15</v>
      </c>
      <c r="AD45" s="90">
        <v>8.0</v>
      </c>
      <c r="AE45" s="91"/>
      <c r="AF45" s="91"/>
      <c r="AG45" s="92"/>
      <c r="AH45" s="23"/>
      <c r="AI45" s="92"/>
      <c r="AJ45" s="23"/>
      <c r="AK45" s="33"/>
      <c r="AL45" s="93"/>
      <c r="AM45" s="89" t="s">
        <v>20</v>
      </c>
      <c r="AN45" s="42">
        <v>3.0</v>
      </c>
      <c r="AO45" s="125" t="s">
        <v>15</v>
      </c>
      <c r="AP45" s="90">
        <v>8.0</v>
      </c>
      <c r="AQ45" s="91"/>
      <c r="AR45" s="91"/>
      <c r="AS45" s="92"/>
      <c r="AT45" s="23"/>
      <c r="AU45" s="92"/>
      <c r="AV45" s="23"/>
    </row>
    <row r="46" ht="20.25" customHeight="1">
      <c r="A46" s="1"/>
      <c r="B46" s="1"/>
      <c r="C46" s="124" t="s">
        <v>18</v>
      </c>
      <c r="D46" s="42">
        <v>3.0</v>
      </c>
      <c r="E46" s="43" t="s">
        <v>17</v>
      </c>
      <c r="F46" s="43">
        <v>8.0</v>
      </c>
      <c r="G46" s="30"/>
      <c r="H46" s="30"/>
      <c r="I46" s="31"/>
      <c r="J46" s="23"/>
      <c r="K46" s="31"/>
      <c r="L46" s="23"/>
      <c r="M46" s="17"/>
      <c r="N46" s="1"/>
      <c r="O46" s="124" t="s">
        <v>18</v>
      </c>
      <c r="P46" s="42">
        <v>3.0</v>
      </c>
      <c r="Q46" s="43" t="s">
        <v>17</v>
      </c>
      <c r="R46" s="43">
        <v>8.0</v>
      </c>
      <c r="S46" s="30"/>
      <c r="T46" s="30"/>
      <c r="U46" s="31"/>
      <c r="V46" s="23"/>
      <c r="W46" s="31"/>
      <c r="X46" s="23"/>
      <c r="Y46" s="126"/>
      <c r="Z46" s="11"/>
      <c r="AA46" s="89" t="s">
        <v>18</v>
      </c>
      <c r="AB46" s="90">
        <v>3.0</v>
      </c>
      <c r="AC46" s="90" t="s">
        <v>17</v>
      </c>
      <c r="AD46" s="90">
        <v>8.0</v>
      </c>
      <c r="AE46" s="91"/>
      <c r="AF46" s="91"/>
      <c r="AG46" s="92"/>
      <c r="AH46" s="23"/>
      <c r="AI46" s="92"/>
      <c r="AJ46" s="23"/>
      <c r="AK46" s="4"/>
      <c r="AL46" s="11"/>
      <c r="AM46" s="89" t="s">
        <v>18</v>
      </c>
      <c r="AN46" s="90">
        <v>3.0</v>
      </c>
      <c r="AO46" s="90" t="s">
        <v>17</v>
      </c>
      <c r="AP46" s="90">
        <v>8.0</v>
      </c>
      <c r="AQ46" s="91"/>
      <c r="AR46" s="91"/>
      <c r="AS46" s="92"/>
      <c r="AT46" s="23"/>
      <c r="AU46" s="92"/>
      <c r="AV46" s="23"/>
    </row>
    <row r="47" ht="20.25" customHeight="1">
      <c r="A47" s="1"/>
      <c r="B47" s="1"/>
      <c r="C47" s="98" t="s">
        <v>94</v>
      </c>
      <c r="D47" s="42">
        <v>3.0</v>
      </c>
      <c r="E47" s="43" t="s">
        <v>17</v>
      </c>
      <c r="F47" s="43">
        <v>8.0</v>
      </c>
      <c r="G47" s="30"/>
      <c r="H47" s="30"/>
      <c r="I47" s="31"/>
      <c r="J47" s="23"/>
      <c r="K47" s="31"/>
      <c r="L47" s="23"/>
      <c r="M47" s="5"/>
      <c r="N47" s="1"/>
      <c r="O47" s="98" t="s">
        <v>94</v>
      </c>
      <c r="P47" s="42">
        <v>3.0</v>
      </c>
      <c r="Q47" s="43" t="s">
        <v>17</v>
      </c>
      <c r="R47" s="43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94</v>
      </c>
      <c r="AB47" s="42">
        <v>3.0</v>
      </c>
      <c r="AC47" s="42" t="s">
        <v>17</v>
      </c>
      <c r="AD47" s="42">
        <v>8.0</v>
      </c>
      <c r="AE47" s="114"/>
      <c r="AF47" s="114"/>
      <c r="AG47" s="115"/>
      <c r="AH47" s="23"/>
      <c r="AI47" s="115"/>
      <c r="AJ47" s="23"/>
      <c r="AK47" s="2"/>
      <c r="AL47" s="11"/>
      <c r="AM47" s="26" t="s">
        <v>94</v>
      </c>
      <c r="AN47" s="42">
        <v>3.0</v>
      </c>
      <c r="AO47" s="42" t="s">
        <v>17</v>
      </c>
      <c r="AP47" s="42">
        <v>8.0</v>
      </c>
      <c r="AQ47" s="114"/>
      <c r="AR47" s="114"/>
      <c r="AS47" s="115"/>
      <c r="AT47" s="23"/>
      <c r="AU47" s="115"/>
      <c r="AV47" s="23"/>
    </row>
    <row r="48" ht="20.25" customHeight="1">
      <c r="A48" s="1"/>
      <c r="B48" s="1"/>
      <c r="C48" s="124" t="s">
        <v>95</v>
      </c>
      <c r="D48" s="42">
        <v>3.0</v>
      </c>
      <c r="E48" s="43" t="s">
        <v>17</v>
      </c>
      <c r="F48" s="43">
        <v>8.0</v>
      </c>
      <c r="G48" s="30"/>
      <c r="H48" s="30"/>
      <c r="I48" s="31"/>
      <c r="J48" s="23"/>
      <c r="K48" s="31"/>
      <c r="L48" s="23"/>
      <c r="M48" s="5"/>
      <c r="N48" s="1"/>
      <c r="O48" s="124" t="s">
        <v>95</v>
      </c>
      <c r="P48" s="42">
        <v>3.0</v>
      </c>
      <c r="Q48" s="43" t="s">
        <v>17</v>
      </c>
      <c r="R48" s="43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95</v>
      </c>
      <c r="AB48" s="42">
        <v>3.0</v>
      </c>
      <c r="AC48" s="42" t="s">
        <v>17</v>
      </c>
      <c r="AD48" s="42">
        <v>8.0</v>
      </c>
      <c r="AE48" s="114"/>
      <c r="AF48" s="114"/>
      <c r="AG48" s="115"/>
      <c r="AH48" s="23"/>
      <c r="AI48" s="115"/>
      <c r="AJ48" s="23"/>
      <c r="AK48" s="2"/>
      <c r="AL48" s="11"/>
      <c r="AM48" s="26" t="s">
        <v>95</v>
      </c>
      <c r="AN48" s="42">
        <v>3.0</v>
      </c>
      <c r="AO48" s="42" t="s">
        <v>17</v>
      </c>
      <c r="AP48" s="42">
        <v>8.0</v>
      </c>
      <c r="AQ48" s="114"/>
      <c r="AR48" s="114"/>
      <c r="AS48" s="115"/>
      <c r="AT48" s="23"/>
      <c r="AU48" s="115"/>
      <c r="AV48" s="23"/>
    </row>
    <row r="49" ht="20.25" customHeight="1">
      <c r="A49" s="1"/>
      <c r="B49" s="16"/>
      <c r="C49" s="98" t="s">
        <v>96</v>
      </c>
      <c r="D49" s="42">
        <v>3.0</v>
      </c>
      <c r="E49" s="127">
        <v>45211.0</v>
      </c>
      <c r="F49" s="43">
        <v>8.0</v>
      </c>
      <c r="G49" s="30"/>
      <c r="H49" s="30"/>
      <c r="I49" s="31"/>
      <c r="J49" s="23"/>
      <c r="K49" s="31"/>
      <c r="L49" s="23"/>
      <c r="M49" s="5"/>
      <c r="N49" s="16"/>
      <c r="O49" s="98" t="s">
        <v>96</v>
      </c>
      <c r="P49" s="42">
        <v>3.0</v>
      </c>
      <c r="Q49" s="127">
        <v>45211.0</v>
      </c>
      <c r="R49" s="43">
        <v>8.0</v>
      </c>
      <c r="S49" s="30"/>
      <c r="T49" s="30"/>
      <c r="U49" s="31"/>
      <c r="V49" s="23"/>
      <c r="W49" s="31"/>
      <c r="X49" s="23"/>
      <c r="Y49" s="57"/>
      <c r="Z49" s="18"/>
      <c r="AA49" s="26" t="s">
        <v>96</v>
      </c>
      <c r="AB49" s="42">
        <v>3.0</v>
      </c>
      <c r="AC49" s="125">
        <v>45211.0</v>
      </c>
      <c r="AD49" s="42">
        <v>8.0</v>
      </c>
      <c r="AE49" s="114"/>
      <c r="AF49" s="114"/>
      <c r="AG49" s="115"/>
      <c r="AH49" s="23"/>
      <c r="AI49" s="115"/>
      <c r="AJ49" s="23"/>
      <c r="AK49" s="2"/>
      <c r="AL49" s="18"/>
      <c r="AM49" s="26" t="s">
        <v>96</v>
      </c>
      <c r="AN49" s="42">
        <v>3.0</v>
      </c>
      <c r="AO49" s="125">
        <v>45211.0</v>
      </c>
      <c r="AP49" s="42">
        <v>8.0</v>
      </c>
      <c r="AQ49" s="114"/>
      <c r="AR49" s="114"/>
      <c r="AS49" s="115"/>
      <c r="AT49" s="23"/>
      <c r="AU49" s="115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37" t="s">
        <v>25</v>
      </c>
      <c r="D51" s="38"/>
      <c r="E51" s="38"/>
      <c r="F51" s="38"/>
      <c r="G51" s="38"/>
      <c r="H51" s="38"/>
      <c r="I51" s="38"/>
      <c r="J51" s="38"/>
      <c r="K51" s="38"/>
      <c r="L51" s="23"/>
      <c r="M51" s="5"/>
      <c r="N51" s="1"/>
      <c r="O51" s="37" t="s">
        <v>25</v>
      </c>
      <c r="P51" s="38"/>
      <c r="Q51" s="38"/>
      <c r="R51" s="38"/>
      <c r="S51" s="38"/>
      <c r="T51" s="38"/>
      <c r="U51" s="38"/>
      <c r="V51" s="38"/>
      <c r="W51" s="38"/>
      <c r="X51" s="23"/>
      <c r="Y51" s="2"/>
      <c r="Z51" s="11"/>
      <c r="AA51" s="106" t="s">
        <v>25</v>
      </c>
      <c r="AB51" s="38"/>
      <c r="AC51" s="38"/>
      <c r="AD51" s="38"/>
      <c r="AE51" s="38"/>
      <c r="AF51" s="38"/>
      <c r="AG51" s="38"/>
      <c r="AH51" s="38"/>
      <c r="AI51" s="38"/>
      <c r="AJ51" s="23"/>
      <c r="AK51" s="2"/>
      <c r="AL51" s="11"/>
      <c r="AM51" s="106" t="s">
        <v>25</v>
      </c>
      <c r="AN51" s="38"/>
      <c r="AO51" s="38"/>
      <c r="AP51" s="38"/>
      <c r="AQ51" s="38"/>
      <c r="AR51" s="38"/>
      <c r="AS51" s="38"/>
      <c r="AT51" s="38"/>
      <c r="AU51" s="38"/>
      <c r="AV51" s="23"/>
    </row>
    <row r="52" ht="20.25" customHeight="1">
      <c r="A52" s="1"/>
      <c r="B52" s="16"/>
      <c r="C52" s="16"/>
      <c r="D52" s="16"/>
      <c r="E52" s="16"/>
      <c r="F52" s="16"/>
      <c r="G52" s="56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6"/>
      <c r="T52" s="1"/>
      <c r="U52" s="1"/>
      <c r="V52" s="1"/>
      <c r="W52" s="1"/>
      <c r="X52" s="1"/>
      <c r="Y52" s="57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6"/>
      <c r="H53" s="58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58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59" t="s">
        <v>46</v>
      </c>
      <c r="C54" s="9"/>
      <c r="D54" s="9"/>
      <c r="E54" s="9"/>
      <c r="F54" s="10"/>
      <c r="G54" s="60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60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1" t="s">
        <v>6</v>
      </c>
      <c r="C56" s="9"/>
      <c r="D56" s="10"/>
      <c r="E56" s="62" t="s">
        <v>7</v>
      </c>
      <c r="F56" s="62" t="s">
        <v>47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3"/>
      <c r="F57" s="63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4" t="s">
        <v>48</v>
      </c>
      <c r="C58" s="9"/>
      <c r="D58" s="9"/>
      <c r="E58" s="9"/>
      <c r="F58" s="10"/>
      <c r="G58" s="65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5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6" t="s">
        <v>49</v>
      </c>
      <c r="C60" s="9"/>
      <c r="D60" s="10"/>
      <c r="E60" s="67">
        <v>1.0</v>
      </c>
      <c r="F60" s="68" t="s">
        <v>50</v>
      </c>
      <c r="G60" s="69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3"/>
      <c r="F61" s="63"/>
      <c r="G61" s="69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6" t="s">
        <v>51</v>
      </c>
      <c r="C62" s="9"/>
      <c r="D62" s="10"/>
      <c r="E62" s="67">
        <v>1.0</v>
      </c>
      <c r="F62" s="68" t="s">
        <v>52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3"/>
      <c r="F63" s="63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0" t="s">
        <v>53</v>
      </c>
      <c r="C64" s="9"/>
      <c r="D64" s="10"/>
      <c r="E64" s="71">
        <v>1.0</v>
      </c>
      <c r="F64" s="72" t="s">
        <v>52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3"/>
      <c r="F65" s="63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28" t="s">
        <v>97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28" t="s">
        <v>98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28" t="s">
        <v>99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28"/>
      <c r="C72" s="74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28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5"/>
      <c r="E76" s="75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5"/>
      <c r="E77" s="75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5"/>
      <c r="E78" s="75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5"/>
      <c r="E79" s="75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5"/>
      <c r="E80" s="75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40"/>
      <c r="E95" s="40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40"/>
      <c r="E96" s="40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40"/>
      <c r="E97" s="40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40"/>
      <c r="E98" s="40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40"/>
      <c r="E99" s="40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40"/>
      <c r="E100" s="40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40"/>
      <c r="E101" s="40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40"/>
      <c r="E102" s="40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40"/>
      <c r="E103" s="40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40"/>
      <c r="E104" s="40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40"/>
      <c r="E105" s="40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40"/>
      <c r="E106" s="40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40"/>
      <c r="E107" s="40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40"/>
      <c r="E108" s="40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40"/>
      <c r="E109" s="40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40"/>
      <c r="E110" s="40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40"/>
      <c r="E111" s="40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40"/>
      <c r="E112" s="40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40"/>
      <c r="E113" s="40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40"/>
      <c r="E114" s="40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40"/>
      <c r="E115" s="40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40"/>
      <c r="E116" s="40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40"/>
      <c r="E117" s="40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40"/>
      <c r="E118" s="40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40"/>
      <c r="E119" s="40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40"/>
      <c r="E120" s="40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40"/>
      <c r="E121" s="40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40"/>
      <c r="E122" s="40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40"/>
      <c r="E123" s="40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40"/>
      <c r="E124" s="40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40"/>
      <c r="E125" s="40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40"/>
      <c r="E126" s="40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40"/>
      <c r="E127" s="40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40"/>
      <c r="E128" s="40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40"/>
      <c r="E129" s="40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40"/>
      <c r="E130" s="40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40"/>
      <c r="E131" s="40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40"/>
      <c r="E132" s="40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40"/>
      <c r="E133" s="40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40"/>
      <c r="E134" s="40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40"/>
      <c r="E135" s="40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40"/>
      <c r="E136" s="40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40"/>
      <c r="E137" s="40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40"/>
      <c r="E138" s="40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40"/>
      <c r="E139" s="40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40"/>
      <c r="E140" s="40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40"/>
      <c r="E141" s="40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40"/>
      <c r="E142" s="40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40"/>
      <c r="E143" s="40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40"/>
      <c r="E144" s="40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40"/>
      <c r="E145" s="40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40"/>
      <c r="E146" s="40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40"/>
      <c r="E147" s="40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40"/>
      <c r="E148" s="40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40"/>
      <c r="E149" s="40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40"/>
      <c r="E150" s="40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40"/>
      <c r="E151" s="40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40"/>
      <c r="E152" s="40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40"/>
      <c r="E153" s="40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40"/>
      <c r="E154" s="40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40"/>
      <c r="E155" s="40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40"/>
      <c r="E156" s="40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40"/>
      <c r="E157" s="40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40"/>
      <c r="E158" s="40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40"/>
      <c r="E159" s="40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6"/>
      <c r="D160" s="40"/>
      <c r="E160" s="40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6"/>
      <c r="D161" s="40"/>
      <c r="E161" s="40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6"/>
      <c r="D162" s="40"/>
      <c r="E162" s="40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6"/>
      <c r="D163" s="40"/>
      <c r="E163" s="40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6"/>
      <c r="D164" s="40"/>
      <c r="E164" s="40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6"/>
      <c r="D165" s="40"/>
      <c r="E165" s="40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6"/>
      <c r="D166" s="40"/>
      <c r="E166" s="40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6"/>
      <c r="D167" s="40"/>
      <c r="E167" s="40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6"/>
      <c r="D168" s="40"/>
      <c r="E168" s="40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6"/>
      <c r="D169" s="40"/>
      <c r="E169" s="40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1"/>
      <c r="C170" s="53"/>
      <c r="D170" s="40"/>
      <c r="E170" s="40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1"/>
      <c r="C171" s="53"/>
      <c r="D171" s="40"/>
      <c r="E171" s="40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1"/>
      <c r="C172" s="53"/>
      <c r="D172" s="40"/>
      <c r="E172" s="40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7" t="s">
        <v>54</v>
      </c>
      <c r="C173" s="78" t="s">
        <v>55</v>
      </c>
      <c r="D173" s="40"/>
      <c r="E173" s="40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7" t="s">
        <v>56</v>
      </c>
      <c r="C174" s="78" t="s">
        <v>57</v>
      </c>
      <c r="D174" s="40"/>
      <c r="E174" s="40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7" t="s">
        <v>58</v>
      </c>
      <c r="C175" s="79">
        <v>24.0</v>
      </c>
      <c r="D175" s="40"/>
      <c r="E175" s="40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7" t="s">
        <v>59</v>
      </c>
      <c r="C176" s="79">
        <v>174.5</v>
      </c>
      <c r="D176" s="40"/>
      <c r="E176" s="40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7" t="s">
        <v>60</v>
      </c>
      <c r="C177" s="79">
        <v>78.0</v>
      </c>
      <c r="D177" s="40"/>
      <c r="E177" s="40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7" t="s">
        <v>61</v>
      </c>
      <c r="C178" s="80" t="s">
        <v>62</v>
      </c>
      <c r="D178" s="40"/>
      <c r="E178" s="40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7" t="s">
        <v>63</v>
      </c>
      <c r="C179" s="80" t="s">
        <v>64</v>
      </c>
      <c r="D179" s="40"/>
      <c r="E179" s="40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7" t="s">
        <v>65</v>
      </c>
      <c r="C180" s="80" t="s">
        <v>66</v>
      </c>
      <c r="D180" s="40"/>
      <c r="E180" s="40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7" t="s">
        <v>67</v>
      </c>
      <c r="C181" s="80" t="s">
        <v>68</v>
      </c>
      <c r="D181" s="40"/>
      <c r="E181" s="40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7" t="s">
        <v>69</v>
      </c>
      <c r="C182" s="80" t="s">
        <v>70</v>
      </c>
      <c r="D182" s="40"/>
      <c r="E182" s="40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1"/>
      <c r="B183" s="77" t="s">
        <v>71</v>
      </c>
      <c r="C183" s="79" t="s">
        <v>72</v>
      </c>
      <c r="D183" s="81"/>
      <c r="E183" s="81"/>
      <c r="F183" s="51"/>
      <c r="G183" s="51"/>
      <c r="H183" s="51"/>
      <c r="I183" s="51"/>
      <c r="J183" s="51"/>
      <c r="K183" s="51"/>
      <c r="L183" s="51"/>
      <c r="M183" s="5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</row>
    <row r="184" ht="20.25" customHeight="1">
      <c r="A184" s="51"/>
      <c r="B184" s="77" t="s">
        <v>73</v>
      </c>
      <c r="C184" s="79">
        <v>0.0</v>
      </c>
      <c r="D184" s="81"/>
      <c r="E184" s="81"/>
      <c r="F184" s="51"/>
      <c r="G184" s="51"/>
      <c r="H184" s="51"/>
      <c r="I184" s="51"/>
      <c r="J184" s="51"/>
      <c r="K184" s="51"/>
      <c r="L184" s="51"/>
      <c r="M184" s="5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</row>
    <row r="185" ht="20.25" customHeight="1">
      <c r="A185" s="51"/>
      <c r="B185" s="77" t="s">
        <v>74</v>
      </c>
      <c r="C185" s="80" t="s">
        <v>75</v>
      </c>
      <c r="D185" s="81"/>
      <c r="E185" s="81"/>
      <c r="F185" s="51"/>
      <c r="G185" s="51"/>
      <c r="H185" s="51"/>
      <c r="I185" s="51"/>
      <c r="J185" s="51"/>
      <c r="K185" s="51"/>
      <c r="L185" s="51"/>
      <c r="M185" s="5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</row>
    <row r="186" ht="20.25" customHeight="1">
      <c r="A186" s="51"/>
      <c r="B186" s="77" t="s">
        <v>76</v>
      </c>
      <c r="C186" s="78" t="s">
        <v>77</v>
      </c>
      <c r="D186" s="81"/>
      <c r="E186" s="81"/>
      <c r="F186" s="51"/>
      <c r="G186" s="51"/>
      <c r="H186" s="51"/>
      <c r="I186" s="51"/>
      <c r="J186" s="51"/>
      <c r="K186" s="51"/>
      <c r="L186" s="51"/>
      <c r="M186" s="5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</row>
    <row r="187" ht="20.25" customHeight="1">
      <c r="A187" s="51"/>
      <c r="B187" s="82"/>
      <c r="C187" s="82"/>
      <c r="D187" s="81"/>
      <c r="E187" s="81"/>
      <c r="F187" s="51"/>
      <c r="G187" s="51"/>
      <c r="H187" s="51"/>
      <c r="I187" s="51"/>
      <c r="J187" s="51"/>
      <c r="K187" s="51"/>
      <c r="L187" s="51"/>
      <c r="M187" s="5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</row>
    <row r="188" ht="20.25" customHeight="1">
      <c r="A188" s="51"/>
      <c r="B188" s="82"/>
      <c r="C188" s="82"/>
      <c r="D188" s="81"/>
      <c r="E188" s="81"/>
      <c r="F188" s="51"/>
      <c r="G188" s="51"/>
      <c r="H188" s="51"/>
      <c r="I188" s="51"/>
      <c r="J188" s="51"/>
      <c r="K188" s="51"/>
      <c r="L188" s="51"/>
      <c r="M188" s="5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</row>
    <row r="189" ht="20.25" customHeight="1">
      <c r="A189" s="51"/>
      <c r="B189" s="82"/>
      <c r="C189" s="82"/>
      <c r="D189" s="81"/>
      <c r="E189" s="81"/>
      <c r="F189" s="51"/>
      <c r="G189" s="51"/>
      <c r="H189" s="51"/>
      <c r="I189" s="51"/>
      <c r="J189" s="51"/>
      <c r="K189" s="51"/>
      <c r="L189" s="51"/>
      <c r="M189" s="5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</row>
    <row r="190" ht="20.25" customHeight="1">
      <c r="A190" s="51"/>
      <c r="B190" s="82"/>
      <c r="C190" s="83"/>
      <c r="D190" s="81"/>
      <c r="E190" s="81"/>
      <c r="F190" s="51"/>
      <c r="G190" s="51"/>
      <c r="H190" s="51"/>
      <c r="I190" s="51"/>
      <c r="J190" s="51"/>
      <c r="K190" s="51"/>
      <c r="L190" s="51"/>
      <c r="M190" s="5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</row>
    <row r="191" ht="20.25" customHeight="1">
      <c r="A191" s="51"/>
      <c r="B191" s="51"/>
      <c r="C191" s="51"/>
      <c r="D191" s="81"/>
      <c r="E191" s="81"/>
      <c r="F191" s="51"/>
      <c r="G191" s="51"/>
      <c r="H191" s="51"/>
      <c r="I191" s="51"/>
      <c r="J191" s="51"/>
      <c r="K191" s="51"/>
      <c r="L191" s="51"/>
      <c r="M191" s="5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</row>
    <row r="192" ht="20.25" customHeight="1">
      <c r="A192" s="1"/>
      <c r="B192" s="51"/>
      <c r="C192" s="51"/>
      <c r="D192" s="40"/>
      <c r="E192" s="40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1"/>
      <c r="C193" s="51"/>
      <c r="D193" s="40"/>
      <c r="E193" s="40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6"/>
      <c r="D194" s="40"/>
      <c r="E194" s="40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6"/>
      <c r="D195" s="40"/>
      <c r="E195" s="40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6"/>
      <c r="D196" s="40"/>
      <c r="E196" s="40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6"/>
      <c r="D197" s="40"/>
      <c r="E197" s="40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6"/>
      <c r="D198" s="40"/>
      <c r="E198" s="40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6"/>
      <c r="D199" s="40"/>
      <c r="E199" s="40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6"/>
      <c r="D200" s="40"/>
      <c r="E200" s="40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6"/>
      <c r="D201" s="40"/>
      <c r="E201" s="40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6"/>
      <c r="D202" s="40"/>
      <c r="E202" s="40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6"/>
      <c r="D203" s="40"/>
      <c r="E203" s="40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6"/>
      <c r="D204" s="40"/>
      <c r="E204" s="40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6"/>
      <c r="D205" s="40"/>
      <c r="E205" s="40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6"/>
      <c r="D206" s="40"/>
      <c r="E206" s="40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6"/>
      <c r="D207" s="40"/>
      <c r="E207" s="40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6"/>
      <c r="D208" s="40"/>
      <c r="E208" s="40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6"/>
      <c r="D209" s="40"/>
      <c r="E209" s="40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6"/>
      <c r="D210" s="40"/>
      <c r="E210" s="40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6"/>
      <c r="D211" s="40"/>
      <c r="E211" s="40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6"/>
      <c r="D212" s="40"/>
      <c r="E212" s="40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6"/>
      <c r="D213" s="40"/>
      <c r="E213" s="40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6"/>
      <c r="D214" s="40"/>
      <c r="E214" s="40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6"/>
      <c r="D215" s="40"/>
      <c r="E215" s="40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6"/>
      <c r="D216" s="40"/>
      <c r="E216" s="40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6"/>
      <c r="D217" s="40"/>
      <c r="E217" s="40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6"/>
      <c r="D218" s="40"/>
      <c r="E218" s="40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6"/>
      <c r="D219" s="40"/>
      <c r="E219" s="40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6"/>
      <c r="D220" s="40"/>
      <c r="E220" s="40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6"/>
      <c r="D221" s="40"/>
      <c r="E221" s="40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6"/>
      <c r="D222" s="40"/>
      <c r="E222" s="40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6"/>
      <c r="D223" s="40"/>
      <c r="E223" s="40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6"/>
      <c r="D224" s="40"/>
      <c r="E224" s="40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6"/>
      <c r="D225" s="40"/>
      <c r="E225" s="40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6"/>
      <c r="D226" s="40"/>
      <c r="E226" s="40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6"/>
      <c r="D227" s="40"/>
      <c r="E227" s="40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6"/>
      <c r="D228" s="40"/>
      <c r="E228" s="40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6"/>
      <c r="D229" s="40"/>
      <c r="E229" s="40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6"/>
      <c r="D230" s="40"/>
      <c r="E230" s="40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6"/>
      <c r="D231" s="40"/>
      <c r="E231" s="40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6"/>
      <c r="D232" s="40"/>
      <c r="E232" s="40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6"/>
      <c r="D233" s="40"/>
      <c r="E233" s="40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6"/>
      <c r="D234" s="40"/>
      <c r="E234" s="40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6"/>
      <c r="D235" s="40"/>
      <c r="E235" s="40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6"/>
      <c r="D236" s="40"/>
      <c r="E236" s="40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6"/>
      <c r="D237" s="40"/>
      <c r="E237" s="40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6"/>
      <c r="D238" s="40"/>
      <c r="E238" s="40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6"/>
      <c r="D239" s="40"/>
      <c r="E239" s="40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6"/>
      <c r="D240" s="40"/>
      <c r="E240" s="40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6"/>
      <c r="D241" s="40"/>
      <c r="E241" s="40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6"/>
      <c r="D242" s="40"/>
      <c r="E242" s="40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6"/>
      <c r="D243" s="40"/>
      <c r="E243" s="40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6"/>
      <c r="D244" s="40"/>
      <c r="E244" s="40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6"/>
      <c r="D245" s="40"/>
      <c r="E245" s="40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6"/>
      <c r="D246" s="40"/>
      <c r="E246" s="40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6"/>
      <c r="D247" s="40"/>
      <c r="E247" s="40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6"/>
      <c r="D248" s="40"/>
      <c r="E248" s="40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6"/>
      <c r="D249" s="40"/>
      <c r="E249" s="40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6"/>
      <c r="D250" s="40"/>
      <c r="E250" s="40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6"/>
      <c r="D251" s="40"/>
      <c r="E251" s="40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6"/>
      <c r="D252" s="40"/>
      <c r="E252" s="40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6"/>
      <c r="D253" s="40"/>
      <c r="E253" s="40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6"/>
      <c r="D254" s="40"/>
      <c r="E254" s="40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6"/>
      <c r="D255" s="40"/>
      <c r="E255" s="40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6"/>
      <c r="D256" s="40"/>
      <c r="E256" s="40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6"/>
      <c r="D257" s="40"/>
      <c r="E257" s="40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6"/>
      <c r="D258" s="40"/>
      <c r="E258" s="40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6"/>
      <c r="D259" s="40"/>
      <c r="E259" s="40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6"/>
      <c r="D260" s="40"/>
      <c r="E260" s="40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6"/>
      <c r="D261" s="40"/>
      <c r="E261" s="40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6"/>
      <c r="D262" s="40"/>
      <c r="E262" s="40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6"/>
      <c r="D263" s="40"/>
      <c r="E263" s="40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6"/>
      <c r="D264" s="40"/>
      <c r="E264" s="40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6"/>
      <c r="D265" s="40"/>
      <c r="E265" s="40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6"/>
      <c r="D266" s="40"/>
      <c r="E266" s="40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6"/>
      <c r="D267" s="40"/>
      <c r="E267" s="40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6"/>
      <c r="D268" s="40"/>
      <c r="E268" s="40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6"/>
      <c r="D269" s="40"/>
      <c r="E269" s="40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6"/>
      <c r="D270" s="40"/>
      <c r="E270" s="40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6"/>
      <c r="D271" s="40"/>
      <c r="E271" s="40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6"/>
      <c r="D272" s="40"/>
      <c r="E272" s="40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6"/>
      <c r="D273" s="40"/>
      <c r="E273" s="40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6"/>
      <c r="D274" s="40"/>
      <c r="E274" s="40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6"/>
      <c r="D275" s="40"/>
      <c r="E275" s="40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6"/>
      <c r="D276" s="40"/>
      <c r="E276" s="40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6"/>
      <c r="D277" s="40"/>
      <c r="E277" s="40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6"/>
      <c r="D278" s="40"/>
      <c r="E278" s="40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6"/>
      <c r="D279" s="40"/>
      <c r="E279" s="40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6"/>
      <c r="D280" s="40"/>
      <c r="E280" s="40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6"/>
      <c r="D281" s="40"/>
      <c r="E281" s="40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6"/>
      <c r="D282" s="40"/>
      <c r="E282" s="40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6"/>
      <c r="D283" s="40"/>
      <c r="E283" s="40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6"/>
      <c r="D284" s="40"/>
      <c r="E284" s="40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6"/>
      <c r="D285" s="40"/>
      <c r="E285" s="40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6"/>
      <c r="D286" s="40"/>
      <c r="E286" s="40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6"/>
      <c r="D287" s="40"/>
      <c r="E287" s="40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6"/>
      <c r="D288" s="40"/>
      <c r="E288" s="40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6"/>
      <c r="D289" s="40"/>
      <c r="E289" s="40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6"/>
      <c r="D290" s="40"/>
      <c r="E290" s="40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6"/>
      <c r="D291" s="40"/>
      <c r="E291" s="40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6"/>
      <c r="D292" s="40"/>
      <c r="E292" s="40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6"/>
      <c r="D293" s="40"/>
      <c r="E293" s="40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6"/>
      <c r="D294" s="40"/>
      <c r="E294" s="40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6"/>
      <c r="D295" s="40"/>
      <c r="E295" s="40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6"/>
      <c r="D296" s="40"/>
      <c r="E296" s="40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6"/>
      <c r="D297" s="40"/>
      <c r="E297" s="40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6"/>
      <c r="D298" s="40"/>
      <c r="E298" s="40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6"/>
      <c r="D299" s="40"/>
      <c r="E299" s="40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6"/>
      <c r="D300" s="40"/>
      <c r="E300" s="40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6"/>
      <c r="D301" s="40"/>
      <c r="E301" s="40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6"/>
      <c r="D302" s="40"/>
      <c r="E302" s="40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6"/>
      <c r="D303" s="40"/>
      <c r="E303" s="40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6"/>
      <c r="D304" s="40"/>
      <c r="E304" s="40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6"/>
      <c r="D305" s="40"/>
      <c r="E305" s="40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6"/>
      <c r="D306" s="40"/>
      <c r="E306" s="40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6"/>
      <c r="D307" s="40"/>
      <c r="E307" s="40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6"/>
      <c r="D308" s="40"/>
      <c r="E308" s="40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6"/>
      <c r="D309" s="40"/>
      <c r="E309" s="40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6"/>
      <c r="D310" s="40"/>
      <c r="E310" s="40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6"/>
      <c r="D311" s="40"/>
      <c r="E311" s="40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6"/>
      <c r="D312" s="40"/>
      <c r="E312" s="40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6"/>
      <c r="D313" s="40"/>
      <c r="E313" s="40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6"/>
      <c r="D314" s="40"/>
      <c r="E314" s="40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6"/>
      <c r="D315" s="40"/>
      <c r="E315" s="40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6"/>
      <c r="D316" s="40"/>
      <c r="E316" s="40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6"/>
      <c r="D317" s="40"/>
      <c r="E317" s="40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6"/>
      <c r="D318" s="40"/>
      <c r="E318" s="40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6"/>
      <c r="D319" s="40"/>
      <c r="E319" s="40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6"/>
      <c r="D320" s="40"/>
      <c r="E320" s="40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6"/>
      <c r="D321" s="40"/>
      <c r="E321" s="40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6"/>
      <c r="D322" s="40"/>
      <c r="E322" s="40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6"/>
      <c r="D323" s="40"/>
      <c r="E323" s="40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6"/>
      <c r="D324" s="40"/>
      <c r="E324" s="40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6"/>
      <c r="D325" s="40"/>
      <c r="E325" s="40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6"/>
      <c r="D326" s="40"/>
      <c r="E326" s="40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6"/>
      <c r="D327" s="40"/>
      <c r="E327" s="40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6"/>
      <c r="D328" s="40"/>
      <c r="E328" s="40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6"/>
      <c r="D329" s="40"/>
      <c r="E329" s="40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6"/>
      <c r="D330" s="40"/>
      <c r="E330" s="40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6"/>
      <c r="D331" s="40"/>
      <c r="E331" s="40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6"/>
      <c r="D332" s="40"/>
      <c r="E332" s="40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6"/>
      <c r="D333" s="40"/>
      <c r="E333" s="40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6"/>
      <c r="D334" s="40"/>
      <c r="E334" s="40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6"/>
      <c r="D335" s="40"/>
      <c r="E335" s="40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6"/>
      <c r="D336" s="40"/>
      <c r="E336" s="40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6"/>
      <c r="D337" s="40"/>
      <c r="E337" s="40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6"/>
      <c r="D338" s="40"/>
      <c r="E338" s="40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6"/>
      <c r="D339" s="40"/>
      <c r="E339" s="40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6"/>
      <c r="D340" s="40"/>
      <c r="E340" s="40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6"/>
      <c r="D341" s="40"/>
      <c r="E341" s="40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6"/>
      <c r="D342" s="40"/>
      <c r="E342" s="40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6"/>
      <c r="D343" s="40"/>
      <c r="E343" s="40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6"/>
      <c r="D344" s="40"/>
      <c r="E344" s="40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6"/>
      <c r="D345" s="40"/>
      <c r="E345" s="40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6"/>
      <c r="D346" s="40"/>
      <c r="E346" s="40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6"/>
      <c r="D347" s="40"/>
      <c r="E347" s="40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6"/>
      <c r="D348" s="40"/>
      <c r="E348" s="40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6"/>
      <c r="D349" s="40"/>
      <c r="E349" s="40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6"/>
      <c r="D350" s="40"/>
      <c r="E350" s="40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6"/>
      <c r="D351" s="40"/>
      <c r="E351" s="40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6"/>
      <c r="D352" s="40"/>
      <c r="E352" s="40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6"/>
      <c r="D353" s="40"/>
      <c r="E353" s="40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6"/>
      <c r="D354" s="40"/>
      <c r="E354" s="40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6"/>
      <c r="D355" s="40"/>
      <c r="E355" s="40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6"/>
      <c r="D356" s="40"/>
      <c r="E356" s="40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6"/>
      <c r="D357" s="40"/>
      <c r="E357" s="40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6"/>
      <c r="D358" s="40"/>
      <c r="E358" s="40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6"/>
      <c r="D359" s="40"/>
      <c r="E359" s="40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6"/>
      <c r="D360" s="40"/>
      <c r="E360" s="40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6"/>
      <c r="D361" s="40"/>
      <c r="E361" s="40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6"/>
      <c r="D362" s="40"/>
      <c r="E362" s="40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6"/>
      <c r="D363" s="40"/>
      <c r="E363" s="40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6"/>
      <c r="D364" s="40"/>
      <c r="E364" s="40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6"/>
      <c r="D365" s="40"/>
      <c r="E365" s="40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6"/>
      <c r="D366" s="40"/>
      <c r="E366" s="40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6"/>
      <c r="D367" s="40"/>
      <c r="E367" s="40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6"/>
      <c r="D368" s="40"/>
      <c r="E368" s="40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6"/>
      <c r="D369" s="40"/>
      <c r="E369" s="40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6"/>
      <c r="D370" s="40"/>
      <c r="E370" s="40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6"/>
      <c r="D371" s="40"/>
      <c r="E371" s="40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6"/>
      <c r="D372" s="40"/>
      <c r="E372" s="40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6"/>
      <c r="D373" s="40"/>
      <c r="E373" s="40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6"/>
      <c r="D374" s="40"/>
      <c r="E374" s="40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6"/>
      <c r="D375" s="40"/>
      <c r="E375" s="40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6"/>
      <c r="D376" s="40"/>
      <c r="E376" s="40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6"/>
      <c r="D377" s="40"/>
      <c r="E377" s="40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6"/>
      <c r="D378" s="40"/>
      <c r="E378" s="40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6"/>
      <c r="D379" s="40"/>
      <c r="E379" s="40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6"/>
      <c r="D380" s="40"/>
      <c r="E380" s="40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6"/>
      <c r="D381" s="40"/>
      <c r="E381" s="40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6"/>
      <c r="D382" s="40"/>
      <c r="E382" s="40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6"/>
      <c r="D383" s="40"/>
      <c r="E383" s="40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6"/>
      <c r="D384" s="40"/>
      <c r="E384" s="40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6"/>
      <c r="D385" s="40"/>
      <c r="E385" s="40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6"/>
      <c r="D386" s="40"/>
      <c r="E386" s="40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6"/>
      <c r="D387" s="40"/>
      <c r="E387" s="40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6"/>
      <c r="D388" s="40"/>
      <c r="E388" s="40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6"/>
      <c r="D389" s="40"/>
      <c r="E389" s="40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6"/>
      <c r="D390" s="40"/>
      <c r="E390" s="40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6"/>
      <c r="D391" s="40"/>
      <c r="E391" s="40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6"/>
      <c r="D392" s="40"/>
      <c r="E392" s="40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6"/>
      <c r="D393" s="40"/>
      <c r="E393" s="40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6"/>
      <c r="D394" s="40"/>
      <c r="E394" s="40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6"/>
      <c r="D395" s="40"/>
      <c r="E395" s="40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6"/>
      <c r="D396" s="40"/>
      <c r="E396" s="40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6"/>
      <c r="D397" s="40"/>
      <c r="E397" s="40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6"/>
      <c r="D398" s="40"/>
      <c r="E398" s="40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6"/>
      <c r="D399" s="40"/>
      <c r="E399" s="40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6"/>
      <c r="D400" s="40"/>
      <c r="E400" s="40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6"/>
      <c r="D401" s="40"/>
      <c r="E401" s="40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6"/>
      <c r="D402" s="40"/>
      <c r="E402" s="40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6"/>
      <c r="D403" s="40"/>
      <c r="E403" s="40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6"/>
      <c r="D404" s="40"/>
      <c r="E404" s="40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6"/>
      <c r="D405" s="40"/>
      <c r="E405" s="40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6"/>
      <c r="D406" s="40"/>
      <c r="E406" s="40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6"/>
      <c r="D407" s="40"/>
      <c r="E407" s="40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6"/>
      <c r="D408" s="40"/>
      <c r="E408" s="40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6"/>
      <c r="D409" s="40"/>
      <c r="E409" s="40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6"/>
      <c r="D410" s="40"/>
      <c r="E410" s="40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6"/>
      <c r="D411" s="40"/>
      <c r="E411" s="40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6"/>
      <c r="D412" s="40"/>
      <c r="E412" s="40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6"/>
      <c r="D413" s="40"/>
      <c r="E413" s="40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6"/>
      <c r="D414" s="40"/>
      <c r="E414" s="40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6"/>
      <c r="D415" s="40"/>
      <c r="E415" s="40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6"/>
      <c r="D416" s="40"/>
      <c r="E416" s="40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6"/>
      <c r="D417" s="40"/>
      <c r="E417" s="40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6"/>
      <c r="D418" s="40"/>
      <c r="E418" s="40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6"/>
      <c r="D419" s="40"/>
      <c r="E419" s="40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6"/>
      <c r="D420" s="40"/>
      <c r="E420" s="40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6"/>
      <c r="D421" s="40"/>
      <c r="E421" s="40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6"/>
      <c r="D422" s="40"/>
      <c r="E422" s="40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6"/>
      <c r="D423" s="40"/>
      <c r="E423" s="40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6"/>
      <c r="D424" s="40"/>
      <c r="E424" s="40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6"/>
      <c r="D425" s="40"/>
      <c r="E425" s="40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6"/>
      <c r="D426" s="40"/>
      <c r="E426" s="40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6"/>
      <c r="D427" s="40"/>
      <c r="E427" s="40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6"/>
      <c r="D428" s="40"/>
      <c r="E428" s="40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6"/>
      <c r="D429" s="40"/>
      <c r="E429" s="40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6"/>
      <c r="D430" s="40"/>
      <c r="E430" s="40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6"/>
      <c r="D431" s="40"/>
      <c r="E431" s="40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6"/>
      <c r="D432" s="40"/>
      <c r="E432" s="40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6"/>
      <c r="D433" s="40"/>
      <c r="E433" s="40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6"/>
      <c r="D434" s="40"/>
      <c r="E434" s="40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6"/>
      <c r="D435" s="40"/>
      <c r="E435" s="40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6"/>
      <c r="D436" s="40"/>
      <c r="E436" s="40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6"/>
      <c r="D437" s="40"/>
      <c r="E437" s="40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6"/>
      <c r="D438" s="40"/>
      <c r="E438" s="40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6"/>
      <c r="D439" s="40"/>
      <c r="E439" s="40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6"/>
      <c r="D440" s="40"/>
      <c r="E440" s="40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6"/>
      <c r="D441" s="40"/>
      <c r="E441" s="40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6"/>
      <c r="D442" s="40"/>
      <c r="E442" s="40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6"/>
      <c r="D443" s="40"/>
      <c r="E443" s="40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6"/>
      <c r="D444" s="40"/>
      <c r="E444" s="40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6"/>
      <c r="D445" s="40"/>
      <c r="E445" s="40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6"/>
      <c r="D446" s="40"/>
      <c r="E446" s="40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6"/>
      <c r="D447" s="40"/>
      <c r="E447" s="40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6"/>
      <c r="D448" s="40"/>
      <c r="E448" s="40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6"/>
      <c r="D449" s="40"/>
      <c r="E449" s="40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6"/>
      <c r="D450" s="40"/>
      <c r="E450" s="40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6"/>
      <c r="D451" s="40"/>
      <c r="E451" s="40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6"/>
      <c r="D452" s="40"/>
      <c r="E452" s="40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6"/>
      <c r="D453" s="40"/>
      <c r="E453" s="40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6"/>
      <c r="D454" s="40"/>
      <c r="E454" s="40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6"/>
      <c r="D455" s="40"/>
      <c r="E455" s="40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6"/>
      <c r="D456" s="40"/>
      <c r="E456" s="40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6"/>
      <c r="D457" s="40"/>
      <c r="E457" s="40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6"/>
      <c r="D458" s="40"/>
      <c r="E458" s="40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6"/>
      <c r="D459" s="40"/>
      <c r="E459" s="40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6"/>
      <c r="D460" s="40"/>
      <c r="E460" s="40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6"/>
      <c r="D461" s="40"/>
      <c r="E461" s="40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6"/>
      <c r="D462" s="40"/>
      <c r="E462" s="40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6"/>
      <c r="D463" s="40"/>
      <c r="E463" s="40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6"/>
      <c r="D464" s="40"/>
      <c r="E464" s="40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6"/>
      <c r="D465" s="40"/>
      <c r="E465" s="40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6"/>
      <c r="D466" s="40"/>
      <c r="E466" s="40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6"/>
      <c r="D467" s="40"/>
      <c r="E467" s="40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6"/>
      <c r="D468" s="40"/>
      <c r="E468" s="40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6"/>
      <c r="D469" s="40"/>
      <c r="E469" s="40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6"/>
      <c r="D470" s="40"/>
      <c r="E470" s="40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6"/>
      <c r="D471" s="40"/>
      <c r="E471" s="40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6"/>
      <c r="D472" s="40"/>
      <c r="E472" s="40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6"/>
      <c r="D473" s="40"/>
      <c r="E473" s="40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6"/>
      <c r="D474" s="40"/>
      <c r="E474" s="40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6"/>
      <c r="D475" s="40"/>
      <c r="E475" s="40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6"/>
      <c r="D476" s="40"/>
      <c r="E476" s="40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6"/>
      <c r="D477" s="40"/>
      <c r="E477" s="40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6"/>
      <c r="D478" s="40"/>
      <c r="E478" s="40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6"/>
      <c r="D479" s="40"/>
      <c r="E479" s="40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6"/>
      <c r="D480" s="40"/>
      <c r="E480" s="40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6"/>
      <c r="D481" s="40"/>
      <c r="E481" s="40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6"/>
      <c r="D482" s="40"/>
      <c r="E482" s="40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6"/>
      <c r="D483" s="40"/>
      <c r="E483" s="40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6"/>
      <c r="D484" s="40"/>
      <c r="E484" s="40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6"/>
      <c r="D485" s="40"/>
      <c r="E485" s="40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6"/>
      <c r="D486" s="40"/>
      <c r="E486" s="40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6"/>
      <c r="D487" s="40"/>
      <c r="E487" s="40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6"/>
      <c r="D488" s="40"/>
      <c r="E488" s="40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6"/>
      <c r="D489" s="40"/>
      <c r="E489" s="40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6"/>
      <c r="D490" s="40"/>
      <c r="E490" s="40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6"/>
      <c r="D491" s="40"/>
      <c r="E491" s="40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6"/>
      <c r="D492" s="40"/>
      <c r="E492" s="40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6"/>
      <c r="D493" s="40"/>
      <c r="E493" s="40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6"/>
      <c r="D494" s="40"/>
      <c r="E494" s="40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6"/>
      <c r="D495" s="40"/>
      <c r="E495" s="40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6"/>
      <c r="D496" s="40"/>
      <c r="E496" s="40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6"/>
      <c r="D497" s="40"/>
      <c r="E497" s="40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6"/>
      <c r="D498" s="40"/>
      <c r="E498" s="40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6"/>
      <c r="D499" s="40"/>
      <c r="E499" s="40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6"/>
      <c r="D500" s="40"/>
      <c r="E500" s="40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6"/>
      <c r="D501" s="40"/>
      <c r="E501" s="40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6"/>
      <c r="D502" s="40"/>
      <c r="E502" s="40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6"/>
      <c r="D503" s="40"/>
      <c r="E503" s="40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6"/>
      <c r="D504" s="40"/>
      <c r="E504" s="40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6"/>
      <c r="D505" s="40"/>
      <c r="E505" s="40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6"/>
      <c r="D506" s="40"/>
      <c r="E506" s="40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6"/>
      <c r="D507" s="40"/>
      <c r="E507" s="40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6"/>
      <c r="D508" s="40"/>
      <c r="E508" s="40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6"/>
      <c r="D509" s="40"/>
      <c r="E509" s="40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6"/>
      <c r="D510" s="40"/>
      <c r="E510" s="40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6"/>
      <c r="D511" s="40"/>
      <c r="E511" s="40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6"/>
      <c r="D512" s="40"/>
      <c r="E512" s="40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6"/>
      <c r="D513" s="40"/>
      <c r="E513" s="40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6"/>
      <c r="D514" s="40"/>
      <c r="E514" s="40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6"/>
      <c r="D515" s="40"/>
      <c r="E515" s="40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6"/>
      <c r="D516" s="40"/>
      <c r="E516" s="40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6"/>
      <c r="D517" s="40"/>
      <c r="E517" s="40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6"/>
      <c r="D518" s="40"/>
      <c r="E518" s="40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6"/>
      <c r="D519" s="40"/>
      <c r="E519" s="40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6"/>
      <c r="D520" s="40"/>
      <c r="E520" s="40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6"/>
      <c r="D521" s="40"/>
      <c r="E521" s="40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6"/>
      <c r="D522" s="40"/>
      <c r="E522" s="40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6"/>
      <c r="D523" s="40"/>
      <c r="E523" s="40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6"/>
      <c r="D524" s="40"/>
      <c r="E524" s="40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6"/>
      <c r="D525" s="40"/>
      <c r="E525" s="40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6"/>
      <c r="D526" s="40"/>
      <c r="E526" s="40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6"/>
      <c r="D527" s="40"/>
      <c r="E527" s="40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6"/>
      <c r="D528" s="40"/>
      <c r="E528" s="40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6"/>
      <c r="D529" s="40"/>
      <c r="E529" s="40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6"/>
      <c r="D530" s="40"/>
      <c r="E530" s="40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6"/>
      <c r="D531" s="40"/>
      <c r="E531" s="40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6"/>
      <c r="D532" s="40"/>
      <c r="E532" s="40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6"/>
      <c r="D533" s="40"/>
      <c r="E533" s="40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6"/>
      <c r="D534" s="40"/>
      <c r="E534" s="40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6"/>
      <c r="D535" s="40"/>
      <c r="E535" s="40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6"/>
      <c r="D536" s="40"/>
      <c r="E536" s="40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6"/>
      <c r="D537" s="40"/>
      <c r="E537" s="40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6"/>
      <c r="D538" s="40"/>
      <c r="E538" s="40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6"/>
      <c r="D539" s="40"/>
      <c r="E539" s="40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6"/>
      <c r="D540" s="40"/>
      <c r="E540" s="40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6"/>
      <c r="D541" s="40"/>
      <c r="E541" s="40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6"/>
      <c r="D542" s="40"/>
      <c r="E542" s="40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6"/>
      <c r="D543" s="40"/>
      <c r="E543" s="40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6"/>
      <c r="D544" s="40"/>
      <c r="E544" s="40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6"/>
      <c r="D545" s="40"/>
      <c r="E545" s="40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6"/>
      <c r="D546" s="40"/>
      <c r="E546" s="40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6"/>
      <c r="D547" s="40"/>
      <c r="E547" s="40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6"/>
      <c r="D548" s="40"/>
      <c r="E548" s="40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6"/>
      <c r="D549" s="40"/>
      <c r="E549" s="40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6"/>
      <c r="D550" s="40"/>
      <c r="E550" s="40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6"/>
      <c r="D551" s="40"/>
      <c r="E551" s="40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6"/>
      <c r="D552" s="40"/>
      <c r="E552" s="40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6"/>
      <c r="D553" s="40"/>
      <c r="E553" s="40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6"/>
      <c r="D554" s="40"/>
      <c r="E554" s="40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6"/>
      <c r="D555" s="40"/>
      <c r="E555" s="40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6"/>
      <c r="D556" s="40"/>
      <c r="E556" s="40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6"/>
      <c r="D557" s="40"/>
      <c r="E557" s="40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6"/>
      <c r="D558" s="40"/>
      <c r="E558" s="40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6"/>
      <c r="D559" s="40"/>
      <c r="E559" s="40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6"/>
      <c r="D560" s="40"/>
      <c r="E560" s="40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6"/>
      <c r="D561" s="40"/>
      <c r="E561" s="40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6"/>
      <c r="D562" s="40"/>
      <c r="E562" s="40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6"/>
      <c r="D563" s="40"/>
      <c r="E563" s="40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6"/>
      <c r="D564" s="40"/>
      <c r="E564" s="40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6"/>
      <c r="D565" s="40"/>
      <c r="E565" s="40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6"/>
      <c r="D566" s="40"/>
      <c r="E566" s="40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6"/>
      <c r="D567" s="40"/>
      <c r="E567" s="40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6"/>
      <c r="D568" s="40"/>
      <c r="E568" s="40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6"/>
      <c r="D569" s="40"/>
      <c r="E569" s="40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6"/>
      <c r="D570" s="40"/>
      <c r="E570" s="40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6"/>
      <c r="D571" s="40"/>
      <c r="E571" s="40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6"/>
      <c r="D572" s="40"/>
      <c r="E572" s="40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6"/>
      <c r="D573" s="40"/>
      <c r="E573" s="40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6"/>
      <c r="D574" s="40"/>
      <c r="E574" s="40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6"/>
      <c r="D575" s="40"/>
      <c r="E575" s="40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6"/>
      <c r="D576" s="40"/>
      <c r="E576" s="40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6"/>
      <c r="D577" s="40"/>
      <c r="E577" s="40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6"/>
      <c r="D578" s="40"/>
      <c r="E578" s="40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6"/>
      <c r="D579" s="40"/>
      <c r="E579" s="40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6"/>
      <c r="D580" s="40"/>
      <c r="E580" s="40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6"/>
      <c r="D581" s="40"/>
      <c r="E581" s="40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6"/>
      <c r="D582" s="40"/>
      <c r="E582" s="40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6"/>
      <c r="D583" s="40"/>
      <c r="E583" s="40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6"/>
      <c r="D584" s="40"/>
      <c r="E584" s="40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6"/>
      <c r="D585" s="40"/>
      <c r="E585" s="40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6"/>
      <c r="D586" s="40"/>
      <c r="E586" s="40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6"/>
      <c r="D587" s="40"/>
      <c r="E587" s="40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6"/>
      <c r="D588" s="40"/>
      <c r="E588" s="40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6"/>
      <c r="D589" s="40"/>
      <c r="E589" s="40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6"/>
      <c r="D590" s="40"/>
      <c r="E590" s="40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6"/>
      <c r="D591" s="40"/>
      <c r="E591" s="40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6"/>
      <c r="D592" s="40"/>
      <c r="E592" s="40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6"/>
      <c r="D593" s="40"/>
      <c r="E593" s="40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6"/>
      <c r="D594" s="40"/>
      <c r="E594" s="40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6"/>
      <c r="D595" s="40"/>
      <c r="E595" s="40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6"/>
      <c r="D596" s="40"/>
      <c r="E596" s="40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6"/>
      <c r="D597" s="40"/>
      <c r="E597" s="40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6"/>
      <c r="D598" s="40"/>
      <c r="E598" s="40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6"/>
      <c r="D599" s="40"/>
      <c r="E599" s="40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6"/>
      <c r="D600" s="40"/>
      <c r="E600" s="40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6"/>
      <c r="D601" s="40"/>
      <c r="E601" s="40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6"/>
      <c r="D602" s="40"/>
      <c r="E602" s="40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6"/>
      <c r="D603" s="40"/>
      <c r="E603" s="40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6"/>
      <c r="D604" s="40"/>
      <c r="E604" s="40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6"/>
      <c r="D605" s="40"/>
      <c r="E605" s="40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6"/>
      <c r="D606" s="40"/>
      <c r="E606" s="40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6"/>
      <c r="D607" s="40"/>
      <c r="E607" s="40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6"/>
      <c r="D608" s="40"/>
      <c r="E608" s="40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6"/>
      <c r="D609" s="40"/>
      <c r="E609" s="40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6"/>
      <c r="D610" s="40"/>
      <c r="E610" s="40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6"/>
      <c r="D611" s="40"/>
      <c r="E611" s="40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6"/>
      <c r="D612" s="40"/>
      <c r="E612" s="40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6"/>
      <c r="D613" s="40"/>
      <c r="E613" s="40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6"/>
      <c r="D614" s="40"/>
      <c r="E614" s="40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6"/>
      <c r="D615" s="40"/>
      <c r="E615" s="40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6"/>
      <c r="D616" s="40"/>
      <c r="E616" s="40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6"/>
      <c r="D617" s="40"/>
      <c r="E617" s="40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6"/>
      <c r="D618" s="40"/>
      <c r="E618" s="40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6"/>
      <c r="D619" s="40"/>
      <c r="E619" s="40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6"/>
      <c r="D620" s="40"/>
      <c r="E620" s="40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6"/>
      <c r="D621" s="40"/>
      <c r="E621" s="40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6"/>
      <c r="D622" s="40"/>
      <c r="E622" s="40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6"/>
      <c r="D623" s="40"/>
      <c r="E623" s="40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6"/>
      <c r="D624" s="40"/>
      <c r="E624" s="40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6"/>
      <c r="D625" s="40"/>
      <c r="E625" s="40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6"/>
      <c r="D626" s="40"/>
      <c r="E626" s="40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6"/>
      <c r="D627" s="40"/>
      <c r="E627" s="40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6"/>
      <c r="D628" s="40"/>
      <c r="E628" s="40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6"/>
      <c r="D629" s="40"/>
      <c r="E629" s="40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6"/>
      <c r="D630" s="40"/>
      <c r="E630" s="40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6"/>
      <c r="D631" s="40"/>
      <c r="E631" s="40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6"/>
      <c r="D632" s="40"/>
      <c r="E632" s="40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6"/>
      <c r="D633" s="40"/>
      <c r="E633" s="40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6"/>
      <c r="D634" s="40"/>
      <c r="E634" s="40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6"/>
      <c r="D635" s="40"/>
      <c r="E635" s="40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6"/>
      <c r="D636" s="40"/>
      <c r="E636" s="40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6"/>
      <c r="D637" s="40"/>
      <c r="E637" s="40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6"/>
      <c r="D638" s="40"/>
      <c r="E638" s="40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6"/>
      <c r="D639" s="40"/>
      <c r="E639" s="40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6"/>
      <c r="D640" s="40"/>
      <c r="E640" s="40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6"/>
      <c r="D641" s="40"/>
      <c r="E641" s="40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6"/>
      <c r="D642" s="40"/>
      <c r="E642" s="40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6"/>
      <c r="D643" s="40"/>
      <c r="E643" s="40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6"/>
      <c r="D644" s="40"/>
      <c r="E644" s="40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6"/>
      <c r="D645" s="40"/>
      <c r="E645" s="40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6"/>
      <c r="D646" s="40"/>
      <c r="E646" s="40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6"/>
      <c r="D647" s="40"/>
      <c r="E647" s="40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6"/>
      <c r="D648" s="40"/>
      <c r="E648" s="40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6"/>
      <c r="D649" s="40"/>
      <c r="E649" s="40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6"/>
      <c r="D650" s="40"/>
      <c r="E650" s="40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6"/>
      <c r="D651" s="40"/>
      <c r="E651" s="40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6"/>
      <c r="D652" s="40"/>
      <c r="E652" s="40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6"/>
      <c r="D653" s="40"/>
      <c r="E653" s="40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6"/>
      <c r="D654" s="40"/>
      <c r="E654" s="40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6"/>
      <c r="D655" s="40"/>
      <c r="E655" s="40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6"/>
      <c r="D656" s="40"/>
      <c r="E656" s="40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6"/>
      <c r="D657" s="40"/>
      <c r="E657" s="40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6"/>
      <c r="D658" s="40"/>
      <c r="E658" s="40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6"/>
      <c r="D659" s="40"/>
      <c r="E659" s="40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6"/>
      <c r="D660" s="40"/>
      <c r="E660" s="40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6"/>
      <c r="D661" s="40"/>
      <c r="E661" s="40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6"/>
      <c r="D662" s="40"/>
      <c r="E662" s="40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6"/>
      <c r="D663" s="40"/>
      <c r="E663" s="40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6"/>
      <c r="D664" s="40"/>
      <c r="E664" s="40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6"/>
      <c r="D665" s="40"/>
      <c r="E665" s="40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6"/>
      <c r="D666" s="40"/>
      <c r="E666" s="40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6"/>
      <c r="D667" s="40"/>
      <c r="E667" s="40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6"/>
      <c r="D668" s="40"/>
      <c r="E668" s="40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6"/>
      <c r="D669" s="40"/>
      <c r="E669" s="40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6"/>
      <c r="D670" s="40"/>
      <c r="E670" s="40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6"/>
      <c r="D671" s="40"/>
      <c r="E671" s="40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6"/>
      <c r="D672" s="40"/>
      <c r="E672" s="40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6"/>
      <c r="D673" s="40"/>
      <c r="E673" s="40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6"/>
      <c r="D674" s="40"/>
      <c r="E674" s="40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6"/>
      <c r="D675" s="40"/>
      <c r="E675" s="40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6"/>
      <c r="D676" s="40"/>
      <c r="E676" s="40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6"/>
      <c r="D677" s="40"/>
      <c r="E677" s="40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6"/>
      <c r="D678" s="40"/>
      <c r="E678" s="40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6"/>
      <c r="D679" s="40"/>
      <c r="E679" s="40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6"/>
      <c r="D680" s="40"/>
      <c r="E680" s="40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6"/>
      <c r="D681" s="40"/>
      <c r="E681" s="40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6"/>
      <c r="D682" s="40"/>
      <c r="E682" s="40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6"/>
      <c r="D683" s="40"/>
      <c r="E683" s="40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6"/>
      <c r="D684" s="40"/>
      <c r="E684" s="40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6"/>
      <c r="D685" s="40"/>
      <c r="E685" s="40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6"/>
      <c r="D686" s="40"/>
      <c r="E686" s="40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6"/>
      <c r="D687" s="40"/>
      <c r="E687" s="40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6"/>
      <c r="D688" s="40"/>
      <c r="E688" s="40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6"/>
      <c r="D689" s="40"/>
      <c r="E689" s="40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6"/>
      <c r="D690" s="40"/>
      <c r="E690" s="40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6"/>
      <c r="D691" s="40"/>
      <c r="E691" s="40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6"/>
      <c r="D692" s="40"/>
      <c r="E692" s="40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6"/>
      <c r="D693" s="40"/>
      <c r="E693" s="40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6"/>
      <c r="D694" s="40"/>
      <c r="E694" s="40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6"/>
      <c r="D695" s="40"/>
      <c r="E695" s="40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6"/>
      <c r="D696" s="40"/>
      <c r="E696" s="40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6"/>
      <c r="D697" s="40"/>
      <c r="E697" s="40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6"/>
      <c r="D698" s="40"/>
      <c r="E698" s="40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6"/>
      <c r="D699" s="40"/>
      <c r="E699" s="40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6"/>
      <c r="D700" s="40"/>
      <c r="E700" s="40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6"/>
      <c r="D701" s="40"/>
      <c r="E701" s="40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6"/>
      <c r="D702" s="40"/>
      <c r="E702" s="40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6"/>
      <c r="D703" s="40"/>
      <c r="E703" s="40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6"/>
      <c r="D704" s="40"/>
      <c r="E704" s="40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6"/>
      <c r="D705" s="40"/>
      <c r="E705" s="40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6"/>
      <c r="D706" s="40"/>
      <c r="E706" s="40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6"/>
      <c r="D707" s="40"/>
      <c r="E707" s="40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6"/>
      <c r="D708" s="40"/>
      <c r="E708" s="40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6"/>
      <c r="D709" s="40"/>
      <c r="E709" s="40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6"/>
      <c r="D710" s="40"/>
      <c r="E710" s="40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6"/>
      <c r="D711" s="40"/>
      <c r="E711" s="40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6"/>
      <c r="D712" s="40"/>
      <c r="E712" s="40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6"/>
      <c r="D713" s="40"/>
      <c r="E713" s="40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6"/>
      <c r="D714" s="40"/>
      <c r="E714" s="40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6"/>
      <c r="D715" s="40"/>
      <c r="E715" s="40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6"/>
      <c r="D716" s="40"/>
      <c r="E716" s="40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6"/>
      <c r="D717" s="40"/>
      <c r="E717" s="40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6"/>
      <c r="D718" s="40"/>
      <c r="E718" s="40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6"/>
      <c r="D719" s="40"/>
      <c r="E719" s="40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6"/>
      <c r="D720" s="40"/>
      <c r="E720" s="40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6"/>
      <c r="D721" s="40"/>
      <c r="E721" s="40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6"/>
      <c r="D722" s="40"/>
      <c r="E722" s="40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6"/>
      <c r="D723" s="40"/>
      <c r="E723" s="40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6"/>
      <c r="D724" s="40"/>
      <c r="E724" s="40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6"/>
      <c r="D725" s="40"/>
      <c r="E725" s="40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6"/>
      <c r="D726" s="40"/>
      <c r="E726" s="40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6"/>
      <c r="D727" s="40"/>
      <c r="E727" s="40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6"/>
      <c r="D728" s="40"/>
      <c r="E728" s="40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6"/>
      <c r="D729" s="40"/>
      <c r="E729" s="40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6"/>
      <c r="D730" s="40"/>
      <c r="E730" s="40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6"/>
      <c r="D731" s="40"/>
      <c r="E731" s="40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6"/>
      <c r="D732" s="40"/>
      <c r="E732" s="40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6"/>
      <c r="D733" s="40"/>
      <c r="E733" s="40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6"/>
      <c r="D734" s="40"/>
      <c r="E734" s="40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6"/>
      <c r="D735" s="40"/>
      <c r="E735" s="40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6"/>
      <c r="D736" s="40"/>
      <c r="E736" s="40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6"/>
      <c r="D737" s="40"/>
      <c r="E737" s="40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6"/>
      <c r="D738" s="40"/>
      <c r="E738" s="40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6"/>
      <c r="D739" s="40"/>
      <c r="E739" s="40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6"/>
      <c r="D740" s="40"/>
      <c r="E740" s="40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6"/>
      <c r="D741" s="40"/>
      <c r="E741" s="40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6"/>
      <c r="D742" s="40"/>
      <c r="E742" s="40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6"/>
      <c r="D743" s="40"/>
      <c r="E743" s="40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6"/>
      <c r="D744" s="40"/>
      <c r="E744" s="40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6"/>
      <c r="D745" s="40"/>
      <c r="E745" s="40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6"/>
      <c r="D746" s="40"/>
      <c r="E746" s="40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6"/>
      <c r="D747" s="40"/>
      <c r="E747" s="40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6"/>
      <c r="D748" s="40"/>
      <c r="E748" s="40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6"/>
      <c r="D749" s="40"/>
      <c r="E749" s="40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6"/>
      <c r="D750" s="40"/>
      <c r="E750" s="40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6"/>
      <c r="D751" s="40"/>
      <c r="E751" s="40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6"/>
      <c r="D752" s="40"/>
      <c r="E752" s="40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6"/>
      <c r="D753" s="40"/>
      <c r="E753" s="40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6"/>
      <c r="D754" s="40"/>
      <c r="E754" s="40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6"/>
      <c r="D755" s="40"/>
      <c r="E755" s="40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6"/>
      <c r="D756" s="40"/>
      <c r="E756" s="40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6"/>
      <c r="D757" s="40"/>
      <c r="E757" s="40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6"/>
      <c r="D758" s="40"/>
      <c r="E758" s="40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6"/>
      <c r="D759" s="40"/>
      <c r="E759" s="40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6"/>
      <c r="D760" s="40"/>
      <c r="E760" s="40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6"/>
      <c r="D761" s="40"/>
      <c r="E761" s="40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6"/>
      <c r="D762" s="40"/>
      <c r="E762" s="40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6"/>
      <c r="D763" s="40"/>
      <c r="E763" s="40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6"/>
      <c r="D764" s="40"/>
      <c r="E764" s="40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6"/>
      <c r="D765" s="40"/>
      <c r="E765" s="40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6"/>
      <c r="D766" s="40"/>
      <c r="E766" s="40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6"/>
      <c r="D767" s="40"/>
      <c r="E767" s="40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6"/>
      <c r="D768" s="40"/>
      <c r="E768" s="40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6"/>
      <c r="D769" s="40"/>
      <c r="E769" s="40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6"/>
      <c r="D770" s="40"/>
      <c r="E770" s="40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6"/>
      <c r="D771" s="40"/>
      <c r="E771" s="40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6"/>
      <c r="D772" s="40"/>
      <c r="E772" s="40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6"/>
      <c r="D773" s="40"/>
      <c r="E773" s="40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6"/>
      <c r="D774" s="40"/>
      <c r="E774" s="40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6"/>
      <c r="D775" s="40"/>
      <c r="E775" s="40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6"/>
      <c r="D776" s="40"/>
      <c r="E776" s="40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6"/>
      <c r="D777" s="40"/>
      <c r="E777" s="40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6"/>
      <c r="D778" s="40"/>
      <c r="E778" s="40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6"/>
      <c r="D779" s="40"/>
      <c r="E779" s="40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6"/>
      <c r="D780" s="40"/>
      <c r="E780" s="40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6"/>
      <c r="D781" s="40"/>
      <c r="E781" s="40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6"/>
      <c r="D782" s="40"/>
      <c r="E782" s="40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6"/>
      <c r="D783" s="40"/>
      <c r="E783" s="40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6"/>
      <c r="D784" s="40"/>
      <c r="E784" s="40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6"/>
      <c r="D785" s="40"/>
      <c r="E785" s="40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6"/>
      <c r="D786" s="40"/>
      <c r="E786" s="40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6"/>
      <c r="D787" s="40"/>
      <c r="E787" s="40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6"/>
      <c r="D788" s="40"/>
      <c r="E788" s="40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6"/>
      <c r="D789" s="40"/>
      <c r="E789" s="40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6"/>
      <c r="D790" s="40"/>
      <c r="E790" s="40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6"/>
      <c r="D791" s="40"/>
      <c r="E791" s="40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6"/>
      <c r="D792" s="40"/>
      <c r="E792" s="40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6"/>
      <c r="D793" s="40"/>
      <c r="E793" s="40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6"/>
      <c r="D794" s="40"/>
      <c r="E794" s="40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6"/>
      <c r="D795" s="40"/>
      <c r="E795" s="40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6"/>
      <c r="D796" s="40"/>
      <c r="E796" s="40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6"/>
      <c r="D797" s="40"/>
      <c r="E797" s="40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6"/>
      <c r="D798" s="40"/>
      <c r="E798" s="40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6"/>
      <c r="D799" s="40"/>
      <c r="E799" s="40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6"/>
      <c r="D800" s="40"/>
      <c r="E800" s="40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6"/>
      <c r="D801" s="40"/>
      <c r="E801" s="40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6"/>
      <c r="D802" s="40"/>
      <c r="E802" s="40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6"/>
      <c r="D803" s="40"/>
      <c r="E803" s="40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6"/>
      <c r="D804" s="40"/>
      <c r="E804" s="40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6"/>
      <c r="D805" s="40"/>
      <c r="E805" s="40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6"/>
      <c r="D806" s="40"/>
      <c r="E806" s="40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6"/>
      <c r="D807" s="40"/>
      <c r="E807" s="40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6"/>
      <c r="D808" s="40"/>
      <c r="E808" s="40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6"/>
      <c r="D809" s="40"/>
      <c r="E809" s="40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6"/>
      <c r="D810" s="40"/>
      <c r="E810" s="40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6"/>
      <c r="D811" s="40"/>
      <c r="E811" s="40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6"/>
      <c r="D812" s="40"/>
      <c r="E812" s="40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6"/>
      <c r="D813" s="40"/>
      <c r="E813" s="40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6"/>
      <c r="D814" s="40"/>
      <c r="E814" s="40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6"/>
      <c r="D815" s="40"/>
      <c r="E815" s="40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6"/>
      <c r="D816" s="40"/>
      <c r="E816" s="40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6"/>
      <c r="D817" s="40"/>
      <c r="E817" s="40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6"/>
      <c r="D818" s="40"/>
      <c r="E818" s="40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6"/>
      <c r="D819" s="40"/>
      <c r="E819" s="40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6"/>
      <c r="D820" s="40"/>
      <c r="E820" s="40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6"/>
      <c r="D821" s="40"/>
      <c r="E821" s="40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6"/>
      <c r="D822" s="40"/>
      <c r="E822" s="40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6"/>
      <c r="D823" s="40"/>
      <c r="E823" s="40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6"/>
      <c r="D824" s="40"/>
      <c r="E824" s="40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6"/>
      <c r="D825" s="40"/>
      <c r="E825" s="40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6"/>
      <c r="D826" s="40"/>
      <c r="E826" s="40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6"/>
      <c r="D827" s="40"/>
      <c r="E827" s="40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6"/>
      <c r="D828" s="40"/>
      <c r="E828" s="40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6"/>
      <c r="D829" s="40"/>
      <c r="E829" s="40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6"/>
      <c r="D830" s="40"/>
      <c r="E830" s="40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6"/>
      <c r="D831" s="40"/>
      <c r="E831" s="40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6"/>
      <c r="D832" s="40"/>
      <c r="E832" s="40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6"/>
      <c r="D833" s="40"/>
      <c r="E833" s="40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6"/>
      <c r="D834" s="40"/>
      <c r="E834" s="40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6"/>
      <c r="D835" s="40"/>
      <c r="E835" s="40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6"/>
      <c r="D836" s="40"/>
      <c r="E836" s="40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6"/>
      <c r="D837" s="40"/>
      <c r="E837" s="40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6"/>
      <c r="D838" s="40"/>
      <c r="E838" s="40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6"/>
      <c r="D839" s="40"/>
      <c r="E839" s="40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6"/>
      <c r="D840" s="40"/>
      <c r="E840" s="40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6"/>
      <c r="D841" s="40"/>
      <c r="E841" s="40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6"/>
      <c r="D842" s="40"/>
      <c r="E842" s="40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6"/>
      <c r="D843" s="40"/>
      <c r="E843" s="40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6"/>
      <c r="D844" s="40"/>
      <c r="E844" s="40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6"/>
      <c r="D845" s="40"/>
      <c r="E845" s="40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6"/>
      <c r="D846" s="40"/>
      <c r="E846" s="40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6"/>
      <c r="D847" s="40"/>
      <c r="E847" s="40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6"/>
      <c r="D848" s="40"/>
      <c r="E848" s="40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6"/>
      <c r="D849" s="40"/>
      <c r="E849" s="40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6"/>
      <c r="D850" s="40"/>
      <c r="E850" s="40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6"/>
      <c r="D851" s="40"/>
      <c r="E851" s="40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6"/>
      <c r="D852" s="40"/>
      <c r="E852" s="40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6"/>
      <c r="D853" s="40"/>
      <c r="E853" s="40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6"/>
      <c r="D854" s="40"/>
      <c r="E854" s="40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6"/>
      <c r="D855" s="40"/>
      <c r="E855" s="40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6"/>
      <c r="D856" s="40"/>
      <c r="E856" s="40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6"/>
      <c r="D857" s="40"/>
      <c r="E857" s="40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6"/>
      <c r="D858" s="40"/>
      <c r="E858" s="40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6"/>
      <c r="D859" s="40"/>
      <c r="E859" s="40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6"/>
      <c r="D860" s="40"/>
      <c r="E860" s="40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6"/>
      <c r="D861" s="40"/>
      <c r="E861" s="40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6"/>
      <c r="D862" s="40"/>
      <c r="E862" s="40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6"/>
      <c r="D863" s="40"/>
      <c r="E863" s="40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6"/>
      <c r="D864" s="40"/>
      <c r="E864" s="40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6"/>
      <c r="D865" s="40"/>
      <c r="E865" s="40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6"/>
      <c r="D866" s="40"/>
      <c r="E866" s="40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6"/>
      <c r="D867" s="40"/>
      <c r="E867" s="40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6"/>
      <c r="D868" s="40"/>
      <c r="E868" s="40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6"/>
      <c r="D869" s="40"/>
      <c r="E869" s="40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6"/>
      <c r="D870" s="40"/>
      <c r="E870" s="40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6"/>
      <c r="D871" s="40"/>
      <c r="E871" s="40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6"/>
      <c r="D872" s="40"/>
      <c r="E872" s="40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6"/>
      <c r="D873" s="40"/>
      <c r="E873" s="40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6"/>
      <c r="D874" s="40"/>
      <c r="E874" s="40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6"/>
      <c r="D875" s="40"/>
      <c r="E875" s="40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6"/>
      <c r="D876" s="40"/>
      <c r="E876" s="40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6"/>
      <c r="D877" s="40"/>
      <c r="E877" s="40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6"/>
      <c r="D878" s="40"/>
      <c r="E878" s="40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6"/>
      <c r="D879" s="40"/>
      <c r="E879" s="40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6"/>
      <c r="D880" s="40"/>
      <c r="E880" s="40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6"/>
      <c r="D881" s="40"/>
      <c r="E881" s="40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6"/>
      <c r="D882" s="40"/>
      <c r="E882" s="40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6"/>
      <c r="D883" s="40"/>
      <c r="E883" s="40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6"/>
      <c r="D884" s="40"/>
      <c r="E884" s="40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6"/>
      <c r="D885" s="40"/>
      <c r="E885" s="40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6"/>
      <c r="D886" s="40"/>
      <c r="E886" s="40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6"/>
      <c r="D887" s="40"/>
      <c r="E887" s="40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6"/>
      <c r="D888" s="40"/>
      <c r="E888" s="40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6"/>
      <c r="D889" s="40"/>
      <c r="E889" s="40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6"/>
      <c r="D890" s="40"/>
      <c r="E890" s="40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6"/>
      <c r="D891" s="40"/>
      <c r="E891" s="40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6"/>
      <c r="D892" s="40"/>
      <c r="E892" s="40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6"/>
      <c r="D893" s="40"/>
      <c r="E893" s="40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6"/>
      <c r="D894" s="40"/>
      <c r="E894" s="40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6"/>
      <c r="D895" s="40"/>
      <c r="E895" s="40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6"/>
      <c r="D896" s="40"/>
      <c r="E896" s="40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6"/>
      <c r="D897" s="40"/>
      <c r="E897" s="40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6"/>
      <c r="D898" s="40"/>
      <c r="E898" s="40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6"/>
      <c r="D899" s="40"/>
      <c r="E899" s="40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6"/>
      <c r="D900" s="40"/>
      <c r="E900" s="40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6"/>
      <c r="D901" s="40"/>
      <c r="E901" s="40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6"/>
      <c r="D902" s="40"/>
      <c r="E902" s="40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6"/>
      <c r="D903" s="40"/>
      <c r="E903" s="40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6"/>
      <c r="D904" s="40"/>
      <c r="E904" s="40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6"/>
      <c r="D905" s="40"/>
      <c r="E905" s="40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6"/>
      <c r="D906" s="40"/>
      <c r="E906" s="40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6"/>
      <c r="D907" s="40"/>
      <c r="E907" s="40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6"/>
      <c r="D908" s="40"/>
      <c r="E908" s="40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6"/>
      <c r="D909" s="40"/>
      <c r="E909" s="40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6"/>
      <c r="D910" s="40"/>
      <c r="E910" s="40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6"/>
      <c r="D911" s="40"/>
      <c r="E911" s="40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6"/>
      <c r="D912" s="40"/>
      <c r="E912" s="40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6"/>
      <c r="D913" s="40"/>
      <c r="E913" s="40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6"/>
      <c r="D914" s="40"/>
      <c r="E914" s="40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6"/>
      <c r="D915" s="40"/>
      <c r="E915" s="40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6"/>
      <c r="D916" s="40"/>
      <c r="E916" s="40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6"/>
      <c r="D917" s="40"/>
      <c r="E917" s="40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6"/>
      <c r="D918" s="40"/>
      <c r="E918" s="40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6"/>
      <c r="D919" s="40"/>
      <c r="E919" s="40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6"/>
      <c r="D920" s="40"/>
      <c r="E920" s="40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6"/>
      <c r="D921" s="40"/>
      <c r="E921" s="40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6"/>
      <c r="D922" s="40"/>
      <c r="E922" s="40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6"/>
      <c r="D923" s="40"/>
      <c r="E923" s="40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6"/>
      <c r="D924" s="40"/>
      <c r="E924" s="40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6"/>
      <c r="D925" s="40"/>
      <c r="E925" s="40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6"/>
      <c r="D926" s="40"/>
      <c r="E926" s="40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6"/>
      <c r="D927" s="40"/>
      <c r="E927" s="40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6"/>
      <c r="D928" s="40"/>
      <c r="E928" s="40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6"/>
      <c r="D929" s="40"/>
      <c r="E929" s="40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6"/>
      <c r="D930" s="40"/>
      <c r="E930" s="40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6"/>
      <c r="D931" s="40"/>
      <c r="E931" s="40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6"/>
      <c r="D932" s="40"/>
      <c r="E932" s="40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6"/>
      <c r="D933" s="40"/>
      <c r="E933" s="40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6"/>
      <c r="D934" s="40"/>
      <c r="E934" s="40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6"/>
      <c r="D935" s="40"/>
      <c r="E935" s="40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6"/>
      <c r="D936" s="40"/>
      <c r="E936" s="40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6"/>
      <c r="D937" s="40"/>
      <c r="E937" s="40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6"/>
      <c r="D938" s="40"/>
      <c r="E938" s="40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6"/>
      <c r="D939" s="40"/>
      <c r="E939" s="40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6"/>
      <c r="D940" s="40"/>
      <c r="E940" s="40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6"/>
      <c r="D941" s="40"/>
      <c r="E941" s="40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6"/>
      <c r="D942" s="40"/>
      <c r="E942" s="40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6"/>
      <c r="D943" s="40"/>
      <c r="E943" s="40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6"/>
      <c r="D944" s="40"/>
      <c r="E944" s="40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6"/>
      <c r="D945" s="40"/>
      <c r="E945" s="40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6"/>
      <c r="D946" s="40"/>
      <c r="E946" s="40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6"/>
      <c r="D947" s="40"/>
      <c r="E947" s="40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6"/>
      <c r="D948" s="40"/>
      <c r="E948" s="40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6"/>
      <c r="D949" s="40"/>
      <c r="E949" s="40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6"/>
      <c r="D950" s="40"/>
      <c r="E950" s="40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6"/>
      <c r="D951" s="40"/>
      <c r="E951" s="40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6"/>
      <c r="D952" s="40"/>
      <c r="E952" s="40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6"/>
      <c r="D953" s="40"/>
      <c r="E953" s="40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6"/>
      <c r="D954" s="40"/>
      <c r="E954" s="40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6"/>
      <c r="D955" s="40"/>
      <c r="E955" s="40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6"/>
      <c r="D956" s="40"/>
      <c r="E956" s="40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6"/>
      <c r="D957" s="40"/>
      <c r="E957" s="40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6"/>
      <c r="D958" s="40"/>
      <c r="E958" s="40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6"/>
      <c r="D959" s="40"/>
      <c r="E959" s="40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6"/>
      <c r="D960" s="40"/>
      <c r="E960" s="40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6"/>
      <c r="D961" s="40"/>
      <c r="E961" s="40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6"/>
      <c r="D962" s="40"/>
      <c r="E962" s="40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6"/>
      <c r="D963" s="40"/>
      <c r="E963" s="40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6"/>
      <c r="D964" s="40"/>
      <c r="E964" s="40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6"/>
      <c r="D965" s="40"/>
      <c r="E965" s="40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6"/>
      <c r="D966" s="40"/>
      <c r="E966" s="40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6"/>
      <c r="D967" s="40"/>
      <c r="E967" s="40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40"/>
      <c r="E968" s="40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40"/>
      <c r="E969" s="40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40"/>
      <c r="E970" s="40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40"/>
      <c r="E971" s="40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40"/>
      <c r="E972" s="40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40"/>
      <c r="E973" s="40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40"/>
      <c r="E974" s="40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40"/>
      <c r="E975" s="40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40"/>
      <c r="E976" s="40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40"/>
      <c r="E977" s="40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40"/>
      <c r="E978" s="40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9"/>
      <c r="B1" s="129"/>
      <c r="C1" s="129"/>
      <c r="D1" s="129"/>
      <c r="E1" s="129"/>
      <c r="F1" s="130"/>
      <c r="G1" s="130"/>
      <c r="H1" s="130"/>
      <c r="I1" s="130"/>
      <c r="J1" s="130"/>
      <c r="K1" s="130"/>
      <c r="L1" s="16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</row>
    <row r="2">
      <c r="A2" s="129"/>
      <c r="B2" s="129"/>
      <c r="C2" s="129"/>
      <c r="D2" s="129"/>
      <c r="E2" s="129"/>
      <c r="F2" s="130"/>
      <c r="G2" s="130"/>
      <c r="H2" s="130"/>
      <c r="I2" s="130"/>
      <c r="J2" s="130"/>
      <c r="K2" s="130"/>
      <c r="L2" s="16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</row>
    <row r="3" ht="217.5" customHeight="1">
      <c r="A3" s="36"/>
      <c r="B3" s="36"/>
      <c r="C3" s="16"/>
      <c r="D3" s="16"/>
      <c r="E3" s="16"/>
      <c r="F3" s="16"/>
      <c r="G3" s="16"/>
      <c r="H3" s="36"/>
      <c r="I3" s="16"/>
      <c r="J3" s="16"/>
      <c r="K3" s="16"/>
      <c r="L3" s="16"/>
      <c r="M3" s="130"/>
      <c r="N3" s="131"/>
      <c r="O3" s="130"/>
      <c r="P3" s="36"/>
      <c r="Q3" s="36"/>
      <c r="R3" s="36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</row>
    <row r="4" ht="75.0" customHeight="1">
      <c r="A4" s="36"/>
      <c r="B4" s="36"/>
      <c r="C4" s="16"/>
      <c r="D4" s="16"/>
      <c r="E4" s="16"/>
      <c r="F4" s="16"/>
      <c r="G4" s="16"/>
      <c r="H4" s="36"/>
      <c r="I4" s="16"/>
      <c r="J4" s="16"/>
      <c r="K4" s="16"/>
      <c r="L4" s="16"/>
      <c r="M4" s="130"/>
      <c r="N4" s="130"/>
      <c r="O4" s="130"/>
      <c r="P4" s="36"/>
      <c r="Q4" s="16"/>
      <c r="R4" s="16"/>
      <c r="S4" s="16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</row>
    <row r="5">
      <c r="A5" s="74"/>
      <c r="B5" s="74"/>
      <c r="C5" s="132" t="s">
        <v>100</v>
      </c>
      <c r="D5" s="38"/>
      <c r="E5" s="23"/>
      <c r="F5" s="16"/>
      <c r="G5" s="74"/>
      <c r="H5" s="74"/>
      <c r="I5" s="74"/>
      <c r="J5" s="74"/>
      <c r="K5" s="74"/>
      <c r="L5" s="16"/>
      <c r="M5" s="133"/>
      <c r="N5" s="133"/>
      <c r="O5" s="133"/>
      <c r="P5" s="75"/>
      <c r="Q5" s="134"/>
      <c r="R5" s="134"/>
      <c r="S5" s="134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</row>
    <row r="6">
      <c r="A6" s="74"/>
      <c r="B6" s="74"/>
      <c r="C6" s="132" t="s">
        <v>101</v>
      </c>
      <c r="D6" s="38"/>
      <c r="E6" s="23"/>
      <c r="F6" s="16"/>
      <c r="G6" s="74"/>
      <c r="H6" s="74"/>
      <c r="I6" s="74"/>
      <c r="J6" s="74"/>
      <c r="K6" s="16"/>
      <c r="L6" s="16"/>
      <c r="M6" s="133"/>
      <c r="N6" s="133"/>
      <c r="O6" s="133"/>
      <c r="P6" s="75"/>
      <c r="Q6" s="134"/>
      <c r="R6" s="134"/>
      <c r="S6" s="134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</row>
    <row r="7">
      <c r="A7" s="74"/>
      <c r="B7" s="74"/>
      <c r="C7" s="132" t="s">
        <v>102</v>
      </c>
      <c r="D7" s="38"/>
      <c r="E7" s="23"/>
      <c r="F7" s="16"/>
      <c r="G7" s="74"/>
      <c r="H7" s="74"/>
      <c r="I7" s="74"/>
      <c r="J7" s="74"/>
      <c r="K7" s="16"/>
      <c r="L7" s="16"/>
      <c r="M7" s="16"/>
      <c r="N7" s="16"/>
      <c r="O7" s="16"/>
      <c r="P7" s="16"/>
      <c r="Q7" s="16"/>
      <c r="R7" s="16"/>
      <c r="S7" s="16"/>
      <c r="T7" s="135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</row>
    <row r="8">
      <c r="A8" s="74"/>
      <c r="B8" s="74"/>
      <c r="C8" s="132" t="s">
        <v>103</v>
      </c>
      <c r="D8" s="38"/>
      <c r="E8" s="23"/>
      <c r="F8" s="16"/>
      <c r="G8" s="74"/>
      <c r="H8" s="74"/>
      <c r="I8" s="74"/>
      <c r="J8" s="74"/>
      <c r="K8" s="16"/>
      <c r="L8" s="16"/>
      <c r="M8" s="16"/>
      <c r="N8" s="16"/>
      <c r="O8" s="16"/>
      <c r="P8" s="16"/>
      <c r="Q8" s="16"/>
      <c r="R8" s="16"/>
      <c r="S8" s="16"/>
      <c r="T8" s="135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</row>
    <row r="9">
      <c r="A9" s="36"/>
      <c r="B9" s="36"/>
      <c r="C9" s="16"/>
      <c r="D9" s="16"/>
      <c r="E9" s="16"/>
      <c r="F9" s="16"/>
      <c r="G9" s="74"/>
      <c r="H9" s="74"/>
      <c r="I9" s="74"/>
      <c r="J9" s="74"/>
      <c r="K9" s="16"/>
      <c r="L9" s="16"/>
      <c r="M9" s="16"/>
      <c r="N9" s="16"/>
      <c r="O9" s="16"/>
      <c r="P9" s="16"/>
      <c r="Q9" s="16"/>
      <c r="R9" s="16"/>
      <c r="S9" s="16"/>
      <c r="T9" s="135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</row>
    <row r="10">
      <c r="A10" s="36"/>
      <c r="B10" s="36"/>
      <c r="C10" s="16"/>
      <c r="D10" s="16"/>
      <c r="E10" s="16"/>
      <c r="F10" s="16"/>
      <c r="G10" s="136"/>
      <c r="H10" s="136"/>
      <c r="I10" s="136"/>
      <c r="J10" s="136"/>
      <c r="K10" s="136"/>
      <c r="L10" s="16"/>
      <c r="M10" s="16"/>
      <c r="N10" s="16"/>
      <c r="O10" s="16"/>
      <c r="P10" s="16"/>
      <c r="Q10" s="16"/>
      <c r="R10" s="16"/>
      <c r="S10" s="16"/>
      <c r="T10" s="135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</row>
    <row r="11" ht="18.0" customHeight="1">
      <c r="A11" s="36"/>
      <c r="B11" s="36"/>
      <c r="C11" s="16"/>
      <c r="D11" s="16"/>
      <c r="E11" s="16"/>
      <c r="F11" s="16"/>
      <c r="G11" s="136"/>
      <c r="H11" s="136"/>
      <c r="I11" s="136"/>
      <c r="J11" s="136"/>
      <c r="K11" s="136"/>
      <c r="L11" s="16"/>
      <c r="M11" s="16"/>
      <c r="N11" s="16"/>
      <c r="O11" s="16"/>
      <c r="P11" s="16"/>
      <c r="Q11" s="16"/>
      <c r="R11" s="16"/>
      <c r="S11" s="16"/>
      <c r="T11" s="137"/>
      <c r="U11" s="16"/>
      <c r="V11" s="16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</row>
    <row r="12" ht="25.5" customHeight="1">
      <c r="A12" s="36"/>
      <c r="B12" s="36"/>
      <c r="C12" s="138" t="s">
        <v>104</v>
      </c>
      <c r="D12" s="38"/>
      <c r="E12" s="23"/>
      <c r="F12" s="16"/>
      <c r="G12" s="136"/>
      <c r="H12" s="36"/>
      <c r="I12" s="16"/>
      <c r="J12" s="16"/>
      <c r="K12" s="136"/>
      <c r="L12" s="16"/>
      <c r="M12" s="16"/>
      <c r="N12" s="16"/>
      <c r="O12" s="16"/>
      <c r="P12" s="16"/>
      <c r="Q12" s="16"/>
      <c r="R12" s="16"/>
      <c r="S12" s="16"/>
      <c r="T12" s="137"/>
      <c r="U12" s="16"/>
      <c r="V12" s="16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</row>
    <row r="13">
      <c r="A13" s="36"/>
      <c r="B13" s="36"/>
      <c r="C13" s="139" t="s">
        <v>105</v>
      </c>
      <c r="D13" s="140"/>
      <c r="E13" s="23"/>
      <c r="F13" s="16"/>
      <c r="G13" s="136"/>
      <c r="H13" s="36"/>
      <c r="I13" s="16"/>
      <c r="J13" s="16"/>
      <c r="K13" s="136"/>
      <c r="L13" s="16"/>
      <c r="M13" s="16"/>
      <c r="N13" s="16"/>
      <c r="O13" s="16"/>
      <c r="P13" s="16"/>
      <c r="Q13" s="16"/>
      <c r="R13" s="16"/>
      <c r="S13" s="16"/>
      <c r="T13" s="137"/>
      <c r="U13" s="16"/>
      <c r="V13" s="16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</row>
    <row r="14">
      <c r="A14" s="36"/>
      <c r="B14" s="36"/>
      <c r="C14" s="139" t="s">
        <v>58</v>
      </c>
      <c r="D14" s="140"/>
      <c r="E14" s="23"/>
      <c r="F14" s="16"/>
      <c r="G14" s="136"/>
      <c r="H14" s="36"/>
      <c r="I14" s="16"/>
      <c r="J14" s="16"/>
      <c r="K14" s="136"/>
      <c r="L14" s="16"/>
      <c r="M14" s="16"/>
      <c r="N14" s="16"/>
      <c r="O14" s="16"/>
      <c r="P14" s="16"/>
      <c r="Q14" s="16"/>
      <c r="R14" s="16"/>
      <c r="S14" s="16"/>
      <c r="T14" s="137"/>
      <c r="U14" s="16"/>
      <c r="V14" s="16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</row>
    <row r="15">
      <c r="A15" s="141"/>
      <c r="B15" s="141"/>
      <c r="C15" s="139" t="s">
        <v>59</v>
      </c>
      <c r="D15" s="140"/>
      <c r="E15" s="23"/>
      <c r="F15" s="134"/>
      <c r="G15" s="136"/>
      <c r="H15" s="36"/>
      <c r="I15" s="16"/>
      <c r="J15" s="16"/>
      <c r="K15" s="136"/>
      <c r="L15" s="16"/>
      <c r="M15" s="16"/>
      <c r="N15" s="16"/>
      <c r="O15" s="16"/>
      <c r="P15" s="16"/>
      <c r="Q15" s="16"/>
      <c r="R15" s="16"/>
      <c r="S15" s="16"/>
      <c r="T15" s="137"/>
      <c r="U15" s="16"/>
      <c r="V15" s="16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</row>
    <row r="16">
      <c r="A16" s="142"/>
      <c r="B16" s="142"/>
      <c r="C16" s="139" t="s">
        <v>106</v>
      </c>
      <c r="D16" s="143"/>
      <c r="E16" s="23"/>
      <c r="F16" s="134"/>
      <c r="G16" s="136"/>
      <c r="H16" s="36"/>
      <c r="I16" s="16"/>
      <c r="J16" s="16"/>
      <c r="K16" s="136"/>
      <c r="L16" s="16"/>
      <c r="M16" s="16"/>
      <c r="N16" s="16"/>
      <c r="O16" s="16"/>
      <c r="P16" s="16"/>
      <c r="Q16" s="16"/>
      <c r="R16" s="16"/>
      <c r="S16" s="16"/>
      <c r="T16" s="137"/>
      <c r="U16" s="16"/>
      <c r="V16" s="16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</row>
    <row r="17">
      <c r="A17" s="142"/>
      <c r="B17" s="142"/>
      <c r="C17" s="16"/>
      <c r="D17" s="16"/>
      <c r="E17" s="16"/>
      <c r="F17" s="134"/>
      <c r="G17" s="133"/>
      <c r="H17" s="133"/>
      <c r="I17" s="133"/>
      <c r="J17" s="133"/>
      <c r="K17" s="133"/>
      <c r="L17" s="16"/>
      <c r="M17" s="16"/>
      <c r="N17" s="16"/>
      <c r="O17" s="16"/>
      <c r="P17" s="16"/>
      <c r="Q17" s="16"/>
      <c r="R17" s="16"/>
      <c r="S17" s="16"/>
      <c r="T17" s="137"/>
      <c r="U17" s="16"/>
      <c r="V17" s="16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</row>
    <row r="18" ht="22.5" customHeight="1">
      <c r="A18" s="142"/>
      <c r="B18" s="142"/>
      <c r="C18" s="16"/>
      <c r="D18" s="16"/>
      <c r="E18" s="16"/>
      <c r="F18" s="133"/>
      <c r="G18" s="133"/>
      <c r="H18" s="133"/>
      <c r="I18" s="133"/>
      <c r="J18" s="133"/>
      <c r="K18" s="133"/>
      <c r="L18" s="16"/>
      <c r="M18" s="16"/>
      <c r="N18" s="16"/>
      <c r="O18" s="16"/>
      <c r="P18" s="16"/>
      <c r="Q18" s="16"/>
      <c r="R18" s="16"/>
      <c r="S18" s="16"/>
      <c r="T18" s="137"/>
      <c r="U18" s="16"/>
      <c r="V18" s="16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</row>
    <row r="19" ht="30.0" customHeight="1">
      <c r="A19" s="142"/>
      <c r="B19" s="142"/>
      <c r="C19" s="134"/>
      <c r="D19" s="144" t="s">
        <v>0</v>
      </c>
      <c r="E19" s="23"/>
      <c r="F19" s="134"/>
      <c r="G19" s="133"/>
      <c r="H19" s="133"/>
      <c r="I19" s="133"/>
      <c r="J19" s="133"/>
      <c r="K19" s="133"/>
      <c r="L19" s="145" t="s">
        <v>107</v>
      </c>
      <c r="M19" s="145" t="s">
        <v>108</v>
      </c>
      <c r="N19" s="145" t="s">
        <v>60</v>
      </c>
      <c r="O19" s="145" t="s">
        <v>109</v>
      </c>
      <c r="P19" s="145" t="s">
        <v>110</v>
      </c>
      <c r="Q19" s="145" t="s">
        <v>111</v>
      </c>
      <c r="R19" s="145" t="s">
        <v>112</v>
      </c>
      <c r="S19" s="145" t="s">
        <v>113</v>
      </c>
      <c r="T19" s="137"/>
      <c r="U19" s="16"/>
      <c r="V19" s="16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</row>
    <row r="20">
      <c r="A20" s="146"/>
      <c r="B20" s="146"/>
      <c r="C20" s="145" t="s">
        <v>114</v>
      </c>
      <c r="D20" s="145" t="s">
        <v>115</v>
      </c>
      <c r="E20" s="145" t="s">
        <v>116</v>
      </c>
      <c r="F20" s="145" t="s">
        <v>117</v>
      </c>
      <c r="G20" s="133"/>
      <c r="H20" s="147"/>
      <c r="I20" s="148" t="s">
        <v>118</v>
      </c>
      <c r="J20" s="23"/>
      <c r="K20" s="133"/>
      <c r="L20" s="149" t="s">
        <v>119</v>
      </c>
      <c r="M20" s="150">
        <v>45479.0</v>
      </c>
      <c r="N20" s="151"/>
      <c r="O20" s="151"/>
      <c r="P20" s="151"/>
      <c r="Q20" s="151"/>
      <c r="R20" s="151"/>
      <c r="S20" s="151"/>
      <c r="T20" s="137"/>
      <c r="U20" s="16"/>
      <c r="V20" s="16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</row>
    <row r="21">
      <c r="A21" s="75"/>
      <c r="B21" s="75"/>
      <c r="C21" s="152">
        <v>45703.0</v>
      </c>
      <c r="D21" s="153"/>
      <c r="E21" s="153"/>
      <c r="F21" s="153"/>
      <c r="G21" s="133"/>
      <c r="H21" s="154"/>
      <c r="I21" s="152" t="s">
        <v>120</v>
      </c>
      <c r="J21" s="155">
        <v>1530.0</v>
      </c>
      <c r="K21" s="133"/>
      <c r="L21" s="149">
        <v>1.0</v>
      </c>
      <c r="M21" s="156">
        <f t="shared" ref="M21:M32" si="2">M20+7</f>
        <v>45486</v>
      </c>
      <c r="N21" s="157" t="str">
        <f>D28</f>
        <v>#DIV/0!</v>
      </c>
      <c r="O21" s="158" t="str">
        <f t="shared" ref="O21:S21" si="1">C32</f>
        <v/>
      </c>
      <c r="P21" s="158" t="str">
        <f t="shared" si="1"/>
        <v/>
      </c>
      <c r="Q21" s="158" t="str">
        <f t="shared" si="1"/>
        <v/>
      </c>
      <c r="R21" s="158" t="str">
        <f t="shared" si="1"/>
        <v/>
      </c>
      <c r="S21" s="158" t="str">
        <f t="shared" si="1"/>
        <v/>
      </c>
      <c r="T21" s="137"/>
      <c r="U21" s="16"/>
      <c r="V21" s="16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</row>
    <row r="22">
      <c r="A22" s="147"/>
      <c r="B22" s="147"/>
      <c r="C22" s="152">
        <v>45704.0</v>
      </c>
      <c r="D22" s="153"/>
      <c r="E22" s="153"/>
      <c r="F22" s="153"/>
      <c r="G22" s="133"/>
      <c r="H22" s="154"/>
      <c r="I22" s="152" t="s">
        <v>121</v>
      </c>
      <c r="J22" s="155">
        <v>120.0</v>
      </c>
      <c r="K22" s="133"/>
      <c r="L22" s="149">
        <v>2.0</v>
      </c>
      <c r="M22" s="156">
        <f t="shared" si="2"/>
        <v>45493</v>
      </c>
      <c r="N22" s="159" t="str">
        <f>AVERAGE(D55:D61)</f>
        <v>#DIV/0!</v>
      </c>
      <c r="O22" s="160" t="str">
        <f t="shared" ref="O22:S22" si="3">C49</f>
        <v/>
      </c>
      <c r="P22" s="160" t="str">
        <f t="shared" si="3"/>
        <v/>
      </c>
      <c r="Q22" s="160" t="str">
        <f t="shared" si="3"/>
        <v/>
      </c>
      <c r="R22" s="160" t="str">
        <f t="shared" si="3"/>
        <v/>
      </c>
      <c r="S22" s="160" t="str">
        <f t="shared" si="3"/>
        <v/>
      </c>
      <c r="T22" s="137"/>
      <c r="U22" s="16"/>
      <c r="V22" s="16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</row>
    <row r="23">
      <c r="A23" s="161"/>
      <c r="B23" s="161"/>
      <c r="C23" s="152">
        <v>45705.0</v>
      </c>
      <c r="D23" s="153"/>
      <c r="E23" s="153"/>
      <c r="F23" s="153"/>
      <c r="G23" s="133"/>
      <c r="H23" s="154"/>
      <c r="I23" s="152" t="s">
        <v>122</v>
      </c>
      <c r="J23" s="155">
        <v>150.0</v>
      </c>
      <c r="K23" s="133"/>
      <c r="L23" s="149">
        <v>3.0</v>
      </c>
      <c r="M23" s="156">
        <f t="shared" si="2"/>
        <v>45500</v>
      </c>
      <c r="N23" s="153" t="str">
        <f>AVERAGE(D55:D61)</f>
        <v>#DIV/0!</v>
      </c>
      <c r="O23" s="162" t="str">
        <f t="shared" ref="O23:S23" si="4">C66</f>
        <v/>
      </c>
      <c r="P23" s="162" t="str">
        <f t="shared" si="4"/>
        <v/>
      </c>
      <c r="Q23" s="162" t="str">
        <f t="shared" si="4"/>
        <v/>
      </c>
      <c r="R23" s="162" t="str">
        <f t="shared" si="4"/>
        <v/>
      </c>
      <c r="S23" s="162" t="str">
        <f t="shared" si="4"/>
        <v/>
      </c>
      <c r="T23" s="137"/>
      <c r="U23" s="16"/>
      <c r="V23" s="16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</row>
    <row r="24">
      <c r="A24" s="133"/>
      <c r="B24" s="133"/>
      <c r="C24" s="152">
        <v>45706.0</v>
      </c>
      <c r="D24" s="153"/>
      <c r="E24" s="153"/>
      <c r="F24" s="153"/>
      <c r="G24" s="133"/>
      <c r="H24" s="154"/>
      <c r="I24" s="152" t="s">
        <v>123</v>
      </c>
      <c r="J24" s="155">
        <v>50.0</v>
      </c>
      <c r="K24" s="133"/>
      <c r="L24" s="149">
        <v>4.0</v>
      </c>
      <c r="M24" s="156">
        <f t="shared" si="2"/>
        <v>45507</v>
      </c>
      <c r="N24" s="159" t="str">
        <f>AVERAGE(D71:D77)</f>
        <v>#DIV/0!</v>
      </c>
      <c r="O24" s="160" t="str">
        <f t="shared" ref="O24:S24" si="5">C82</f>
        <v/>
      </c>
      <c r="P24" s="160" t="str">
        <f t="shared" si="5"/>
        <v/>
      </c>
      <c r="Q24" s="160" t="str">
        <f t="shared" si="5"/>
        <v/>
      </c>
      <c r="R24" s="160" t="str">
        <f t="shared" si="5"/>
        <v/>
      </c>
      <c r="S24" s="160" t="str">
        <f t="shared" si="5"/>
        <v/>
      </c>
      <c r="T24" s="137"/>
      <c r="U24" s="16"/>
      <c r="V24" s="16"/>
      <c r="W24" s="16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</row>
    <row r="25">
      <c r="A25" s="161"/>
      <c r="B25" s="161"/>
      <c r="C25" s="152">
        <v>45707.0</v>
      </c>
      <c r="D25" s="153"/>
      <c r="E25" s="153"/>
      <c r="F25" s="153"/>
      <c r="G25" s="133"/>
      <c r="H25" s="133"/>
      <c r="I25" s="133"/>
      <c r="J25" s="133"/>
      <c r="K25" s="133"/>
      <c r="L25" s="149">
        <v>5.0</v>
      </c>
      <c r="M25" s="156">
        <f t="shared" si="2"/>
        <v>45514</v>
      </c>
      <c r="N25" s="153" t="str">
        <f>AVERAGE(D87:D93)</f>
        <v>#DIV/0!</v>
      </c>
      <c r="O25" s="162" t="str">
        <f t="shared" ref="O25:S25" si="6">C98</f>
        <v/>
      </c>
      <c r="P25" s="162" t="str">
        <f t="shared" si="6"/>
        <v/>
      </c>
      <c r="Q25" s="162" t="str">
        <f t="shared" si="6"/>
        <v/>
      </c>
      <c r="R25" s="162" t="str">
        <f t="shared" si="6"/>
        <v/>
      </c>
      <c r="S25" s="162" t="str">
        <f t="shared" si="6"/>
        <v/>
      </c>
      <c r="T25" s="137"/>
      <c r="U25" s="16"/>
      <c r="V25" s="16"/>
      <c r="W25" s="16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</row>
    <row r="26">
      <c r="A26" s="161"/>
      <c r="B26" s="161"/>
      <c r="C26" s="152">
        <v>45708.0</v>
      </c>
      <c r="D26" s="163"/>
      <c r="E26" s="153"/>
      <c r="F26" s="153"/>
      <c r="G26" s="133"/>
      <c r="H26" s="133"/>
      <c r="I26" s="133"/>
      <c r="J26" s="133"/>
      <c r="K26" s="133"/>
      <c r="L26" s="149">
        <v>6.0</v>
      </c>
      <c r="M26" s="156">
        <f t="shared" si="2"/>
        <v>45521</v>
      </c>
      <c r="N26" s="159" t="str">
        <f>AVERAGE(D103:D109)</f>
        <v>#DIV/0!</v>
      </c>
      <c r="O26" s="160" t="str">
        <f t="shared" ref="O26:S26" si="7">C114</f>
        <v/>
      </c>
      <c r="P26" s="160" t="str">
        <f t="shared" si="7"/>
        <v/>
      </c>
      <c r="Q26" s="160" t="str">
        <f t="shared" si="7"/>
        <v/>
      </c>
      <c r="R26" s="160" t="str">
        <f t="shared" si="7"/>
        <v/>
      </c>
      <c r="S26" s="160" t="str">
        <f t="shared" si="7"/>
        <v/>
      </c>
      <c r="T26" s="137"/>
      <c r="U26" s="16"/>
      <c r="V26" s="16"/>
      <c r="W26" s="16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</row>
    <row r="27">
      <c r="A27" s="133"/>
      <c r="B27" s="133"/>
      <c r="C27" s="152">
        <v>45709.0</v>
      </c>
      <c r="D27" s="163"/>
      <c r="E27" s="153"/>
      <c r="F27" s="163"/>
      <c r="G27" s="133"/>
      <c r="H27" s="133"/>
      <c r="I27" s="133"/>
      <c r="J27" s="133"/>
      <c r="K27" s="133"/>
      <c r="L27" s="149">
        <v>7.0</v>
      </c>
      <c r="M27" s="156">
        <f t="shared" si="2"/>
        <v>45528</v>
      </c>
      <c r="N27" s="153" t="str">
        <f>AVERAGE(D120:D126)</f>
        <v>#DIV/0!</v>
      </c>
      <c r="O27" s="162" t="str">
        <f t="shared" ref="O27:S27" si="8">C131</f>
        <v/>
      </c>
      <c r="P27" s="162" t="str">
        <f t="shared" si="8"/>
        <v/>
      </c>
      <c r="Q27" s="162" t="str">
        <f t="shared" si="8"/>
        <v/>
      </c>
      <c r="R27" s="162" t="str">
        <f t="shared" si="8"/>
        <v/>
      </c>
      <c r="S27" s="162" t="str">
        <f t="shared" si="8"/>
        <v/>
      </c>
      <c r="T27" s="137"/>
      <c r="U27" s="16"/>
      <c r="V27" s="16"/>
      <c r="W27" s="16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</row>
    <row r="28">
      <c r="A28" s="161"/>
      <c r="B28" s="161"/>
      <c r="C28" s="164" t="s">
        <v>124</v>
      </c>
      <c r="D28" s="165" t="str">
        <f t="shared" ref="D28:F28" si="9">AVERAGE(D21:D27)</f>
        <v>#DIV/0!</v>
      </c>
      <c r="E28" s="165" t="str">
        <f t="shared" si="9"/>
        <v>#DIV/0!</v>
      </c>
      <c r="F28" s="165" t="str">
        <f t="shared" si="9"/>
        <v>#DIV/0!</v>
      </c>
      <c r="G28" s="133"/>
      <c r="H28" s="133"/>
      <c r="I28" s="133"/>
      <c r="J28" s="133"/>
      <c r="K28" s="133"/>
      <c r="L28" s="149">
        <v>8.0</v>
      </c>
      <c r="M28" s="156">
        <f t="shared" si="2"/>
        <v>45535</v>
      </c>
      <c r="N28" s="159" t="str">
        <f>AVERAGE(D137:D143)</f>
        <v>#DIV/0!</v>
      </c>
      <c r="O28" s="160" t="str">
        <f t="shared" ref="O28:S28" si="10">C148</f>
        <v/>
      </c>
      <c r="P28" s="160" t="str">
        <f t="shared" si="10"/>
        <v/>
      </c>
      <c r="Q28" s="160" t="str">
        <f t="shared" si="10"/>
        <v/>
      </c>
      <c r="R28" s="160" t="str">
        <f t="shared" si="10"/>
        <v/>
      </c>
      <c r="S28" s="160" t="str">
        <f t="shared" si="10"/>
        <v/>
      </c>
      <c r="T28" s="137"/>
      <c r="U28" s="16"/>
      <c r="V28" s="16"/>
      <c r="W28" s="16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</row>
    <row r="29">
      <c r="A29" s="161"/>
      <c r="B29" s="161"/>
      <c r="C29" s="134"/>
      <c r="D29" s="134"/>
      <c r="E29" s="134"/>
      <c r="F29" s="134"/>
      <c r="G29" s="133"/>
      <c r="H29" s="133"/>
      <c r="I29" s="133"/>
      <c r="J29" s="133"/>
      <c r="K29" s="133"/>
      <c r="L29" s="149">
        <v>9.0</v>
      </c>
      <c r="M29" s="156">
        <f t="shared" si="2"/>
        <v>45542</v>
      </c>
      <c r="N29" s="153" t="str">
        <f>AVERAGE(D153:D159)</f>
        <v>#DIV/0!</v>
      </c>
      <c r="O29" s="162" t="str">
        <f t="shared" ref="O29:S29" si="11">C164</f>
        <v/>
      </c>
      <c r="P29" s="162" t="str">
        <f t="shared" si="11"/>
        <v/>
      </c>
      <c r="Q29" s="162" t="str">
        <f t="shared" si="11"/>
        <v/>
      </c>
      <c r="R29" s="162" t="str">
        <f t="shared" si="11"/>
        <v/>
      </c>
      <c r="S29" s="162" t="str">
        <f t="shared" si="11"/>
        <v/>
      </c>
      <c r="T29" s="137"/>
      <c r="U29" s="16"/>
      <c r="V29" s="16"/>
      <c r="W29" s="16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</row>
    <row r="30">
      <c r="A30" s="166"/>
      <c r="B30" s="166"/>
      <c r="C30" s="148" t="s">
        <v>125</v>
      </c>
      <c r="D30" s="38"/>
      <c r="E30" s="38"/>
      <c r="F30" s="38"/>
      <c r="G30" s="23"/>
      <c r="H30" s="167"/>
      <c r="I30" s="167"/>
      <c r="J30" s="167"/>
      <c r="K30" s="167"/>
      <c r="L30" s="149">
        <v>10.0</v>
      </c>
      <c r="M30" s="156">
        <f t="shared" si="2"/>
        <v>45549</v>
      </c>
      <c r="N30" s="159" t="str">
        <f>AVERAGE(D169:D175)</f>
        <v>#DIV/0!</v>
      </c>
      <c r="O30" s="160" t="str">
        <f>C164</f>
        <v/>
      </c>
      <c r="P30" s="160" t="str">
        <f t="shared" ref="P30:S30" si="12">D180</f>
        <v/>
      </c>
      <c r="Q30" s="160" t="str">
        <f t="shared" si="12"/>
        <v/>
      </c>
      <c r="R30" s="160" t="str">
        <f t="shared" si="12"/>
        <v/>
      </c>
      <c r="S30" s="160" t="str">
        <f t="shared" si="12"/>
        <v/>
      </c>
      <c r="T30" s="137"/>
      <c r="U30" s="167"/>
      <c r="V30" s="167"/>
      <c r="W30" s="167"/>
      <c r="X30" s="167"/>
      <c r="Y30" s="167"/>
      <c r="Z30" s="167"/>
      <c r="AA30" s="167"/>
      <c r="AB30" s="167"/>
      <c r="AC30" s="167"/>
      <c r="AD30" s="167"/>
      <c r="AE30" s="167"/>
      <c r="AF30" s="167"/>
      <c r="AG30" s="167"/>
    </row>
    <row r="31">
      <c r="A31" s="75"/>
      <c r="B31" s="75"/>
      <c r="C31" s="152" t="s">
        <v>109</v>
      </c>
      <c r="D31" s="152" t="s">
        <v>110</v>
      </c>
      <c r="E31" s="152" t="s">
        <v>126</v>
      </c>
      <c r="F31" s="152" t="s">
        <v>112</v>
      </c>
      <c r="G31" s="152" t="s">
        <v>113</v>
      </c>
      <c r="H31" s="167"/>
      <c r="I31" s="167"/>
      <c r="J31" s="167"/>
      <c r="K31" s="167"/>
      <c r="L31" s="149">
        <v>11.0</v>
      </c>
      <c r="M31" s="156">
        <f t="shared" si="2"/>
        <v>45556</v>
      </c>
      <c r="N31" s="153" t="str">
        <f>AVERAGE(D185:D191)</f>
        <v>#DIV/0!</v>
      </c>
      <c r="O31" s="162" t="str">
        <f t="shared" ref="O31:S31" si="13">C196</f>
        <v/>
      </c>
      <c r="P31" s="162" t="str">
        <f t="shared" si="13"/>
        <v/>
      </c>
      <c r="Q31" s="162" t="str">
        <f t="shared" si="13"/>
        <v/>
      </c>
      <c r="R31" s="162" t="str">
        <f t="shared" si="13"/>
        <v/>
      </c>
      <c r="S31" s="162" t="str">
        <f t="shared" si="13"/>
        <v/>
      </c>
      <c r="T31" s="137"/>
      <c r="U31" s="167"/>
      <c r="V31" s="167"/>
      <c r="W31" s="167"/>
      <c r="X31" s="167"/>
      <c r="Y31" s="167"/>
      <c r="Z31" s="167"/>
      <c r="AA31" s="167"/>
      <c r="AB31" s="167"/>
      <c r="AC31" s="167"/>
      <c r="AD31" s="167"/>
      <c r="AE31" s="167"/>
      <c r="AF31" s="167"/>
      <c r="AG31" s="167"/>
    </row>
    <row r="32">
      <c r="A32" s="147"/>
      <c r="B32" s="147"/>
      <c r="C32" s="168"/>
      <c r="D32" s="168"/>
      <c r="E32" s="168"/>
      <c r="F32" s="168"/>
      <c r="G32" s="168"/>
      <c r="H32" s="167"/>
      <c r="I32" s="167"/>
      <c r="J32" s="167"/>
      <c r="K32" s="167"/>
      <c r="L32" s="149">
        <v>12.0</v>
      </c>
      <c r="M32" s="156">
        <f t="shared" si="2"/>
        <v>45563</v>
      </c>
      <c r="N32" s="159" t="str">
        <f>AVERAGE(D201:D207)</f>
        <v>#DIV/0!</v>
      </c>
      <c r="O32" s="160" t="str">
        <f t="shared" ref="O32:S32" si="14">C212</f>
        <v/>
      </c>
      <c r="P32" s="160" t="str">
        <f t="shared" si="14"/>
        <v/>
      </c>
      <c r="Q32" s="160" t="str">
        <f t="shared" si="14"/>
        <v/>
      </c>
      <c r="R32" s="160" t="str">
        <f t="shared" si="14"/>
        <v/>
      </c>
      <c r="S32" s="160" t="str">
        <f t="shared" si="14"/>
        <v/>
      </c>
      <c r="T32" s="13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  <c r="AG32" s="167"/>
    </row>
    <row r="33">
      <c r="A33" s="154"/>
      <c r="B33" s="154"/>
      <c r="C33" s="133"/>
      <c r="D33" s="133"/>
      <c r="E33" s="133"/>
      <c r="F33" s="133"/>
      <c r="G33" s="167"/>
      <c r="H33" s="167"/>
      <c r="I33" s="167"/>
      <c r="J33" s="167"/>
      <c r="K33" s="167"/>
      <c r="L33" s="133"/>
      <c r="M33" s="133"/>
      <c r="N33" s="133"/>
      <c r="O33" s="133"/>
      <c r="P33" s="133"/>
      <c r="Q33" s="133"/>
      <c r="R33" s="133"/>
      <c r="S33" s="133"/>
      <c r="T33" s="13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  <c r="AF33" s="167"/>
      <c r="AG33" s="167"/>
    </row>
    <row r="34">
      <c r="A34" s="133"/>
      <c r="B34" s="133"/>
      <c r="C34" s="16"/>
      <c r="D34" s="16"/>
      <c r="E34" s="16"/>
      <c r="F34" s="16"/>
      <c r="G34" s="167"/>
      <c r="H34" s="167"/>
      <c r="I34" s="167"/>
      <c r="J34" s="167"/>
      <c r="K34" s="167"/>
      <c r="L34" s="16"/>
      <c r="M34" s="133"/>
      <c r="N34" s="74" t="s">
        <v>127</v>
      </c>
      <c r="O34" s="133"/>
      <c r="P34" s="133"/>
      <c r="Q34" s="133"/>
      <c r="R34" s="133"/>
      <c r="S34" s="133"/>
      <c r="T34" s="137"/>
      <c r="U34" s="169" t="s">
        <v>128</v>
      </c>
      <c r="V34" s="23"/>
      <c r="W34" s="167"/>
      <c r="X34" s="167"/>
      <c r="Y34" s="167"/>
      <c r="Z34" s="167"/>
      <c r="AA34" s="167"/>
      <c r="AB34" s="167"/>
      <c r="AC34" s="167"/>
      <c r="AD34" s="167"/>
      <c r="AE34" s="167"/>
      <c r="AF34" s="167"/>
      <c r="AG34" s="167"/>
    </row>
    <row r="35">
      <c r="A35" s="133"/>
      <c r="B35" s="133"/>
      <c r="C35" s="16"/>
      <c r="D35" s="16"/>
      <c r="E35" s="16"/>
      <c r="F35" s="16"/>
      <c r="G35" s="167"/>
      <c r="H35" s="167"/>
      <c r="I35" s="167"/>
      <c r="J35" s="167"/>
      <c r="K35" s="167"/>
      <c r="L35" s="133"/>
      <c r="M35" s="133"/>
      <c r="N35" s="133"/>
      <c r="O35" s="133"/>
      <c r="P35" s="133"/>
      <c r="Q35" s="133"/>
      <c r="R35" s="133"/>
      <c r="S35" s="133"/>
      <c r="T35" s="137"/>
      <c r="U35" s="170" t="s">
        <v>129</v>
      </c>
      <c r="V35" s="171"/>
      <c r="W35" s="167"/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</row>
    <row r="36" ht="31.5" customHeight="1">
      <c r="A36" s="133"/>
      <c r="B36" s="133"/>
      <c r="C36" s="134"/>
      <c r="D36" s="172" t="s">
        <v>1</v>
      </c>
      <c r="E36" s="23"/>
      <c r="F36" s="134"/>
      <c r="G36" s="133"/>
      <c r="H36" s="133"/>
      <c r="I36" s="133"/>
      <c r="J36" s="133"/>
      <c r="K36" s="167"/>
      <c r="L36" s="133"/>
      <c r="M36" s="133"/>
      <c r="N36" s="133"/>
      <c r="O36" s="133"/>
      <c r="P36" s="133"/>
      <c r="Q36" s="133"/>
      <c r="R36" s="133"/>
      <c r="S36" s="133"/>
      <c r="T36" s="137"/>
      <c r="U36" s="170" t="s">
        <v>130</v>
      </c>
      <c r="V36" s="173"/>
      <c r="W36" s="167"/>
      <c r="X36" s="167"/>
      <c r="Y36" s="167"/>
      <c r="Z36" s="167"/>
      <c r="AA36" s="167"/>
      <c r="AB36" s="167"/>
      <c r="AC36" s="167"/>
      <c r="AD36" s="167"/>
      <c r="AE36" s="167"/>
      <c r="AF36" s="167"/>
      <c r="AG36" s="167"/>
    </row>
    <row r="37">
      <c r="A37" s="161"/>
      <c r="B37" s="161"/>
      <c r="C37" s="145" t="s">
        <v>114</v>
      </c>
      <c r="D37" s="145" t="s">
        <v>115</v>
      </c>
      <c r="E37" s="145" t="s">
        <v>116</v>
      </c>
      <c r="F37" s="145" t="s">
        <v>117</v>
      </c>
      <c r="G37" s="133"/>
      <c r="H37" s="147"/>
      <c r="I37" s="148" t="s">
        <v>118</v>
      </c>
      <c r="J37" s="23"/>
      <c r="K37" s="167"/>
      <c r="L37" s="133"/>
      <c r="M37" s="133"/>
      <c r="N37" s="133"/>
      <c r="O37" s="133"/>
      <c r="P37" s="133"/>
      <c r="Q37" s="133"/>
      <c r="R37" s="133"/>
      <c r="S37" s="133"/>
      <c r="T37" s="137"/>
      <c r="U37" s="167"/>
      <c r="V37" s="167"/>
      <c r="W37" s="167"/>
      <c r="X37" s="167"/>
      <c r="Y37" s="167"/>
      <c r="Z37" s="167"/>
      <c r="AA37" s="167"/>
      <c r="AB37" s="167"/>
      <c r="AC37" s="167"/>
      <c r="AD37" s="167"/>
      <c r="AE37" s="167"/>
      <c r="AF37" s="167"/>
      <c r="AG37" s="167"/>
    </row>
    <row r="38">
      <c r="A38" s="36"/>
      <c r="B38" s="36"/>
      <c r="C38" s="152">
        <v>45710.0</v>
      </c>
      <c r="D38" s="153"/>
      <c r="E38" s="153"/>
      <c r="F38" s="153"/>
      <c r="G38" s="133"/>
      <c r="H38" s="154"/>
      <c r="I38" s="152" t="s">
        <v>120</v>
      </c>
      <c r="J38" s="155">
        <v>1530.0</v>
      </c>
      <c r="K38" s="167"/>
      <c r="L38" s="133"/>
      <c r="M38" s="133"/>
      <c r="N38" s="133"/>
      <c r="O38" s="133"/>
      <c r="P38" s="133"/>
      <c r="Q38" s="133"/>
      <c r="R38" s="133"/>
      <c r="S38" s="133"/>
      <c r="T38" s="13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167"/>
      <c r="AG38" s="167"/>
    </row>
    <row r="39">
      <c r="A39" s="167"/>
      <c r="B39" s="167"/>
      <c r="C39" s="152">
        <v>45711.0</v>
      </c>
      <c r="D39" s="153"/>
      <c r="E39" s="153"/>
      <c r="F39" s="153"/>
      <c r="G39" s="133"/>
      <c r="H39" s="154"/>
      <c r="I39" s="152" t="s">
        <v>121</v>
      </c>
      <c r="J39" s="155">
        <v>120.0</v>
      </c>
      <c r="K39" s="167"/>
      <c r="L39" s="133"/>
      <c r="M39" s="133"/>
      <c r="N39" s="133"/>
      <c r="O39" s="133"/>
      <c r="P39" s="133"/>
      <c r="Q39" s="133"/>
      <c r="R39" s="133"/>
      <c r="S39" s="133"/>
      <c r="T39" s="137"/>
      <c r="U39" s="167"/>
      <c r="V39" s="167"/>
      <c r="W39" s="167"/>
      <c r="X39" s="167"/>
      <c r="Y39" s="167"/>
      <c r="Z39" s="167"/>
      <c r="AA39" s="167"/>
      <c r="AB39" s="167"/>
      <c r="AC39" s="167"/>
      <c r="AD39" s="167"/>
      <c r="AE39" s="167"/>
      <c r="AF39" s="167"/>
      <c r="AG39" s="167"/>
    </row>
    <row r="40">
      <c r="A40" s="167"/>
      <c r="B40" s="167"/>
      <c r="C40" s="152">
        <v>45712.0</v>
      </c>
      <c r="D40" s="153"/>
      <c r="E40" s="153"/>
      <c r="F40" s="153"/>
      <c r="G40" s="133"/>
      <c r="H40" s="154"/>
      <c r="I40" s="152" t="s">
        <v>122</v>
      </c>
      <c r="J40" s="155">
        <v>150.0</v>
      </c>
      <c r="K40" s="167"/>
      <c r="L40" s="133"/>
      <c r="M40" s="133"/>
      <c r="N40" s="133"/>
      <c r="O40" s="133"/>
      <c r="P40" s="133"/>
      <c r="Q40" s="133"/>
      <c r="R40" s="133"/>
      <c r="S40" s="133"/>
      <c r="T40" s="137"/>
      <c r="U40" s="167"/>
      <c r="V40" s="167"/>
      <c r="W40" s="167"/>
      <c r="X40" s="167"/>
      <c r="Y40" s="167"/>
      <c r="Z40" s="167"/>
      <c r="AA40" s="167"/>
      <c r="AB40" s="167"/>
      <c r="AC40" s="167"/>
      <c r="AD40" s="167"/>
      <c r="AE40" s="167"/>
      <c r="AF40" s="167"/>
      <c r="AG40" s="167"/>
    </row>
    <row r="41">
      <c r="A41" s="167"/>
      <c r="B41" s="167"/>
      <c r="C41" s="152">
        <v>45713.0</v>
      </c>
      <c r="D41" s="153"/>
      <c r="E41" s="153"/>
      <c r="F41" s="153"/>
      <c r="G41" s="133"/>
      <c r="H41" s="154"/>
      <c r="I41" s="152" t="s">
        <v>123</v>
      </c>
      <c r="J41" s="155">
        <v>50.0</v>
      </c>
      <c r="K41" s="167"/>
      <c r="L41" s="133"/>
      <c r="M41" s="133"/>
      <c r="N41" s="133"/>
      <c r="O41" s="133"/>
      <c r="P41" s="133"/>
      <c r="Q41" s="133"/>
      <c r="R41" s="133"/>
      <c r="S41" s="133"/>
      <c r="T41" s="137"/>
      <c r="U41" s="167"/>
      <c r="V41" s="167"/>
      <c r="W41" s="167"/>
      <c r="X41" s="167"/>
      <c r="Y41" s="167"/>
      <c r="Z41" s="167"/>
      <c r="AA41" s="167"/>
      <c r="AB41" s="167"/>
      <c r="AC41" s="167"/>
      <c r="AD41" s="167"/>
      <c r="AE41" s="167"/>
      <c r="AF41" s="167"/>
      <c r="AG41" s="167"/>
    </row>
    <row r="42">
      <c r="A42" s="167"/>
      <c r="B42" s="167"/>
      <c r="C42" s="152">
        <v>45714.0</v>
      </c>
      <c r="D42" s="153"/>
      <c r="E42" s="153"/>
      <c r="F42" s="153"/>
      <c r="G42" s="133"/>
      <c r="H42" s="133"/>
      <c r="I42" s="133"/>
      <c r="J42" s="133"/>
      <c r="K42" s="167"/>
      <c r="L42" s="133"/>
      <c r="M42" s="133"/>
      <c r="N42" s="133"/>
      <c r="O42" s="133"/>
      <c r="P42" s="133"/>
      <c r="Q42" s="133"/>
      <c r="R42" s="133"/>
      <c r="S42" s="133"/>
      <c r="T42" s="137"/>
      <c r="U42" s="167"/>
      <c r="V42" s="167"/>
      <c r="W42" s="167"/>
      <c r="X42" s="167"/>
      <c r="Y42" s="167"/>
      <c r="Z42" s="167"/>
      <c r="AA42" s="167"/>
      <c r="AB42" s="167"/>
      <c r="AC42" s="167"/>
      <c r="AD42" s="167"/>
      <c r="AE42" s="167"/>
      <c r="AF42" s="167"/>
      <c r="AG42" s="167"/>
    </row>
    <row r="43">
      <c r="A43" s="129"/>
      <c r="B43" s="129"/>
      <c r="C43" s="152">
        <v>45715.0</v>
      </c>
      <c r="D43" s="163"/>
      <c r="E43" s="153"/>
      <c r="F43" s="153"/>
      <c r="G43" s="133"/>
      <c r="H43" s="133"/>
      <c r="I43" s="133"/>
      <c r="J43" s="133"/>
      <c r="K43" s="129"/>
      <c r="L43" s="133"/>
      <c r="M43" s="133"/>
      <c r="N43" s="133"/>
      <c r="O43" s="133"/>
      <c r="P43" s="133"/>
      <c r="Q43" s="133"/>
      <c r="R43" s="133"/>
      <c r="S43" s="133"/>
      <c r="T43" s="137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</row>
    <row r="44">
      <c r="A44" s="129"/>
      <c r="B44" s="129"/>
      <c r="C44" s="152">
        <v>45716.0</v>
      </c>
      <c r="D44" s="163"/>
      <c r="E44" s="153"/>
      <c r="F44" s="163"/>
      <c r="G44" s="133"/>
      <c r="H44" s="133"/>
      <c r="I44" s="133"/>
      <c r="J44" s="133"/>
      <c r="K44" s="129"/>
      <c r="L44" s="133"/>
      <c r="M44" s="133"/>
      <c r="N44" s="133"/>
      <c r="O44" s="133"/>
      <c r="P44" s="133"/>
      <c r="Q44" s="133"/>
      <c r="R44" s="133"/>
      <c r="S44" s="133"/>
      <c r="T44" s="137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</row>
    <row r="45">
      <c r="A45" s="129"/>
      <c r="B45" s="129"/>
      <c r="C45" s="164" t="s">
        <v>124</v>
      </c>
      <c r="D45" s="165" t="str">
        <f t="shared" ref="D45:F45" si="15">AVERAGE(D38:D44)</f>
        <v>#DIV/0!</v>
      </c>
      <c r="E45" s="165" t="str">
        <f t="shared" si="15"/>
        <v>#DIV/0!</v>
      </c>
      <c r="F45" s="165" t="str">
        <f t="shared" si="15"/>
        <v>#DIV/0!</v>
      </c>
      <c r="G45" s="133"/>
      <c r="H45" s="133"/>
      <c r="I45" s="133"/>
      <c r="J45" s="133"/>
      <c r="K45" s="129"/>
      <c r="L45" s="133"/>
      <c r="M45" s="133"/>
      <c r="N45" s="133"/>
      <c r="O45" s="133"/>
      <c r="P45" s="133"/>
      <c r="Q45" s="133"/>
      <c r="R45" s="133"/>
      <c r="S45" s="133"/>
      <c r="T45" s="137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</row>
    <row r="46">
      <c r="A46" s="129"/>
      <c r="B46" s="129"/>
      <c r="C46" s="134"/>
      <c r="D46" s="134"/>
      <c r="E46" s="134"/>
      <c r="F46" s="134"/>
      <c r="G46" s="133"/>
      <c r="H46" s="133"/>
      <c r="I46" s="133"/>
      <c r="J46" s="133"/>
      <c r="K46" s="129"/>
      <c r="L46" s="133"/>
      <c r="M46" s="133"/>
      <c r="N46" s="133"/>
      <c r="O46" s="133"/>
      <c r="P46" s="133"/>
      <c r="Q46" s="133"/>
      <c r="R46" s="133"/>
      <c r="S46" s="133"/>
      <c r="T46" s="137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</row>
    <row r="47">
      <c r="A47" s="129"/>
      <c r="B47" s="129"/>
      <c r="C47" s="148" t="s">
        <v>125</v>
      </c>
      <c r="D47" s="38"/>
      <c r="E47" s="38"/>
      <c r="F47" s="38"/>
      <c r="G47" s="23"/>
      <c r="H47" s="167"/>
      <c r="I47" s="167"/>
      <c r="J47" s="167"/>
      <c r="K47" s="129"/>
      <c r="L47" s="133"/>
      <c r="M47" s="133"/>
      <c r="N47" s="133"/>
      <c r="O47" s="133"/>
      <c r="P47" s="133"/>
      <c r="Q47" s="133"/>
      <c r="R47" s="133"/>
      <c r="S47" s="133"/>
      <c r="T47" s="137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</row>
    <row r="48">
      <c r="A48" s="129"/>
      <c r="B48" s="129"/>
      <c r="C48" s="152" t="s">
        <v>109</v>
      </c>
      <c r="D48" s="152" t="s">
        <v>110</v>
      </c>
      <c r="E48" s="152" t="s">
        <v>126</v>
      </c>
      <c r="F48" s="152" t="s">
        <v>112</v>
      </c>
      <c r="G48" s="152" t="s">
        <v>113</v>
      </c>
      <c r="H48" s="167"/>
      <c r="I48" s="167"/>
      <c r="J48" s="167"/>
      <c r="K48" s="129"/>
      <c r="L48" s="137"/>
      <c r="M48" s="137"/>
      <c r="N48" s="137"/>
      <c r="O48" s="137"/>
      <c r="P48" s="137"/>
      <c r="Q48" s="137"/>
      <c r="R48" s="137"/>
      <c r="S48" s="137"/>
      <c r="T48" s="137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</row>
    <row r="49">
      <c r="A49" s="129"/>
      <c r="B49" s="129"/>
      <c r="C49" s="168"/>
      <c r="D49" s="168"/>
      <c r="E49" s="168"/>
      <c r="F49" s="168"/>
      <c r="G49" s="168"/>
      <c r="H49" s="167"/>
      <c r="I49" s="167"/>
      <c r="J49" s="167"/>
      <c r="K49" s="129"/>
      <c r="L49" s="137"/>
      <c r="M49" s="137"/>
      <c r="N49" s="137"/>
      <c r="O49" s="137"/>
      <c r="P49" s="137"/>
      <c r="Q49" s="137"/>
      <c r="R49" s="137"/>
      <c r="S49" s="137"/>
      <c r="T49" s="137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</row>
    <row r="50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6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</row>
    <row r="5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6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</row>
    <row r="52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6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</row>
    <row r="53" ht="30.0" customHeight="1">
      <c r="A53" s="129"/>
      <c r="B53" s="129"/>
      <c r="C53" s="134"/>
      <c r="D53" s="172" t="s">
        <v>2</v>
      </c>
      <c r="E53" s="23"/>
      <c r="F53" s="134"/>
      <c r="G53" s="133"/>
      <c r="H53" s="133"/>
      <c r="I53" s="133"/>
      <c r="J53" s="133"/>
      <c r="K53" s="129"/>
      <c r="L53" s="16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</row>
    <row r="54">
      <c r="A54" s="129"/>
      <c r="B54" s="129"/>
      <c r="C54" s="145" t="s">
        <v>114</v>
      </c>
      <c r="D54" s="145" t="s">
        <v>115</v>
      </c>
      <c r="E54" s="145" t="s">
        <v>116</v>
      </c>
      <c r="F54" s="145" t="s">
        <v>117</v>
      </c>
      <c r="G54" s="133"/>
      <c r="H54" s="147"/>
      <c r="I54" s="148" t="s">
        <v>118</v>
      </c>
      <c r="J54" s="23"/>
      <c r="K54" s="129"/>
      <c r="L54" s="16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</row>
    <row r="55">
      <c r="A55" s="129"/>
      <c r="B55" s="129"/>
      <c r="C55" s="152">
        <v>45717.0</v>
      </c>
      <c r="D55" s="153"/>
      <c r="E55" s="153"/>
      <c r="F55" s="153"/>
      <c r="G55" s="133"/>
      <c r="H55" s="154"/>
      <c r="I55" s="152" t="s">
        <v>120</v>
      </c>
      <c r="J55" s="155">
        <v>1530.0</v>
      </c>
      <c r="K55" s="129"/>
      <c r="L55" s="16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</row>
    <row r="56">
      <c r="A56" s="129"/>
      <c r="B56" s="129"/>
      <c r="C56" s="152">
        <v>45718.0</v>
      </c>
      <c r="D56" s="153"/>
      <c r="E56" s="153"/>
      <c r="F56" s="153"/>
      <c r="G56" s="133"/>
      <c r="H56" s="154"/>
      <c r="I56" s="152" t="s">
        <v>121</v>
      </c>
      <c r="J56" s="155">
        <v>120.0</v>
      </c>
      <c r="K56" s="129"/>
      <c r="L56" s="16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</row>
    <row r="57">
      <c r="A57" s="129"/>
      <c r="B57" s="129"/>
      <c r="C57" s="152">
        <v>45719.0</v>
      </c>
      <c r="D57" s="153"/>
      <c r="E57" s="153"/>
      <c r="F57" s="153"/>
      <c r="G57" s="133"/>
      <c r="H57" s="154"/>
      <c r="I57" s="152" t="s">
        <v>122</v>
      </c>
      <c r="J57" s="155">
        <v>150.0</v>
      </c>
      <c r="K57" s="129"/>
      <c r="L57" s="16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</row>
    <row r="58">
      <c r="A58" s="129"/>
      <c r="B58" s="129"/>
      <c r="C58" s="152">
        <v>45720.0</v>
      </c>
      <c r="D58" s="153"/>
      <c r="E58" s="153"/>
      <c r="F58" s="153"/>
      <c r="G58" s="133"/>
      <c r="H58" s="154"/>
      <c r="I58" s="152" t="s">
        <v>123</v>
      </c>
      <c r="J58" s="155">
        <v>50.0</v>
      </c>
      <c r="K58" s="129"/>
      <c r="L58" s="16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</row>
    <row r="59">
      <c r="A59" s="129"/>
      <c r="B59" s="129"/>
      <c r="C59" s="152">
        <v>45721.0</v>
      </c>
      <c r="D59" s="153"/>
      <c r="E59" s="153"/>
      <c r="F59" s="153"/>
      <c r="G59" s="133"/>
      <c r="H59" s="133"/>
      <c r="I59" s="133"/>
      <c r="J59" s="133"/>
      <c r="K59" s="129"/>
      <c r="L59" s="16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</row>
    <row r="60">
      <c r="A60" s="129"/>
      <c r="B60" s="129"/>
      <c r="C60" s="152">
        <v>45722.0</v>
      </c>
      <c r="D60" s="163"/>
      <c r="E60" s="153"/>
      <c r="F60" s="153"/>
      <c r="G60" s="133"/>
      <c r="H60" s="133"/>
      <c r="I60" s="133"/>
      <c r="J60" s="133"/>
      <c r="K60" s="129"/>
      <c r="L60" s="16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</row>
    <row r="61">
      <c r="A61" s="129"/>
      <c r="B61" s="129"/>
      <c r="C61" s="152">
        <v>45723.0</v>
      </c>
      <c r="D61" s="163"/>
      <c r="E61" s="153"/>
      <c r="F61" s="163"/>
      <c r="G61" s="133"/>
      <c r="H61" s="133"/>
      <c r="I61" s="133"/>
      <c r="J61" s="133"/>
      <c r="K61" s="129"/>
      <c r="L61" s="16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</row>
    <row r="62">
      <c r="A62" s="129"/>
      <c r="B62" s="129"/>
      <c r="C62" s="164" t="s">
        <v>124</v>
      </c>
      <c r="D62" s="165" t="str">
        <f t="shared" ref="D62:F62" si="16">AVERAGE(D55:D61)</f>
        <v>#DIV/0!</v>
      </c>
      <c r="E62" s="165" t="str">
        <f t="shared" si="16"/>
        <v>#DIV/0!</v>
      </c>
      <c r="F62" s="165" t="str">
        <f t="shared" si="16"/>
        <v>#DIV/0!</v>
      </c>
      <c r="G62" s="133"/>
      <c r="H62" s="133"/>
      <c r="I62" s="133"/>
      <c r="J62" s="133"/>
      <c r="K62" s="129"/>
      <c r="L62" s="16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</row>
    <row r="63">
      <c r="A63" s="129"/>
      <c r="B63" s="129"/>
      <c r="C63" s="134"/>
      <c r="D63" s="134"/>
      <c r="E63" s="134"/>
      <c r="F63" s="134"/>
      <c r="G63" s="133"/>
      <c r="H63" s="133"/>
      <c r="I63" s="133"/>
      <c r="J63" s="133"/>
      <c r="K63" s="129"/>
      <c r="L63" s="16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</row>
    <row r="64">
      <c r="A64" s="129"/>
      <c r="B64" s="129"/>
      <c r="C64" s="148" t="s">
        <v>125</v>
      </c>
      <c r="D64" s="38"/>
      <c r="E64" s="38"/>
      <c r="F64" s="38"/>
      <c r="G64" s="23"/>
      <c r="H64" s="167"/>
      <c r="I64" s="167"/>
      <c r="J64" s="167"/>
      <c r="K64" s="129"/>
      <c r="L64" s="16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</row>
    <row r="65">
      <c r="A65" s="129"/>
      <c r="B65" s="129"/>
      <c r="C65" s="152" t="s">
        <v>109</v>
      </c>
      <c r="D65" s="152" t="s">
        <v>110</v>
      </c>
      <c r="E65" s="152" t="s">
        <v>126</v>
      </c>
      <c r="F65" s="152" t="s">
        <v>112</v>
      </c>
      <c r="G65" s="152" t="s">
        <v>113</v>
      </c>
      <c r="H65" s="167"/>
      <c r="I65" s="167"/>
      <c r="J65" s="167"/>
      <c r="K65" s="129"/>
      <c r="L65" s="16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</row>
    <row r="66">
      <c r="A66" s="129"/>
      <c r="B66" s="129"/>
      <c r="C66" s="168"/>
      <c r="D66" s="168"/>
      <c r="E66" s="168"/>
      <c r="F66" s="168"/>
      <c r="G66" s="168"/>
      <c r="H66" s="167"/>
      <c r="I66" s="167"/>
      <c r="J66" s="167"/>
      <c r="K66" s="129"/>
      <c r="L66" s="16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</row>
    <row r="67" ht="21.0" customHeight="1">
      <c r="A67" s="129"/>
      <c r="B67" s="129"/>
      <c r="C67" s="129"/>
      <c r="D67" s="129"/>
      <c r="E67" s="129"/>
      <c r="F67" s="129"/>
      <c r="G67" s="129"/>
      <c r="H67" s="167"/>
      <c r="I67" s="167"/>
      <c r="J67" s="167"/>
      <c r="K67" s="129"/>
      <c r="L67" s="16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</row>
    <row r="68" ht="31.5" customHeight="1">
      <c r="A68" s="129"/>
      <c r="B68" s="129"/>
      <c r="C68" s="129"/>
      <c r="D68" s="129"/>
      <c r="E68" s="129"/>
      <c r="F68" s="129"/>
      <c r="G68" s="129"/>
      <c r="H68" s="167"/>
      <c r="I68" s="167"/>
      <c r="J68" s="167"/>
      <c r="K68" s="129"/>
      <c r="L68" s="16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</row>
    <row r="69" ht="30.0" customHeight="1">
      <c r="A69" s="129"/>
      <c r="B69" s="129"/>
      <c r="C69" s="134"/>
      <c r="D69" s="172" t="s">
        <v>3</v>
      </c>
      <c r="E69" s="23"/>
      <c r="F69" s="134"/>
      <c r="G69" s="133"/>
      <c r="H69" s="133"/>
      <c r="I69" s="133"/>
      <c r="J69" s="133"/>
      <c r="K69" s="129"/>
      <c r="L69" s="16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</row>
    <row r="70">
      <c r="A70" s="129"/>
      <c r="B70" s="129"/>
      <c r="C70" s="145" t="s">
        <v>114</v>
      </c>
      <c r="D70" s="145" t="s">
        <v>115</v>
      </c>
      <c r="E70" s="145" t="s">
        <v>116</v>
      </c>
      <c r="F70" s="145" t="s">
        <v>117</v>
      </c>
      <c r="G70" s="133"/>
      <c r="H70" s="147"/>
      <c r="I70" s="148" t="s">
        <v>118</v>
      </c>
      <c r="J70" s="23"/>
      <c r="K70" s="129"/>
      <c r="L70" s="16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</row>
    <row r="71">
      <c r="A71" s="129"/>
      <c r="B71" s="129"/>
      <c r="C71" s="152">
        <v>45724.0</v>
      </c>
      <c r="D71" s="153"/>
      <c r="E71" s="153"/>
      <c r="F71" s="153"/>
      <c r="G71" s="133"/>
      <c r="H71" s="154"/>
      <c r="I71" s="152" t="s">
        <v>120</v>
      </c>
      <c r="J71" s="155">
        <v>1530.0</v>
      </c>
      <c r="K71" s="129"/>
      <c r="L71" s="16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</row>
    <row r="72">
      <c r="A72" s="129"/>
      <c r="B72" s="129"/>
      <c r="C72" s="152">
        <v>45725.0</v>
      </c>
      <c r="D72" s="153"/>
      <c r="E72" s="153"/>
      <c r="F72" s="153"/>
      <c r="G72" s="133"/>
      <c r="H72" s="154"/>
      <c r="I72" s="152" t="s">
        <v>121</v>
      </c>
      <c r="J72" s="155">
        <v>120.0</v>
      </c>
      <c r="K72" s="129"/>
      <c r="L72" s="16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</row>
    <row r="73">
      <c r="A73" s="129"/>
      <c r="B73" s="129"/>
      <c r="C73" s="152">
        <v>45726.0</v>
      </c>
      <c r="D73" s="153"/>
      <c r="E73" s="153"/>
      <c r="F73" s="153"/>
      <c r="G73" s="133"/>
      <c r="H73" s="154"/>
      <c r="I73" s="152" t="s">
        <v>122</v>
      </c>
      <c r="J73" s="155">
        <v>150.0</v>
      </c>
      <c r="K73" s="129"/>
      <c r="L73" s="16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</row>
    <row r="74">
      <c r="A74" s="129"/>
      <c r="B74" s="129"/>
      <c r="C74" s="152">
        <v>45727.0</v>
      </c>
      <c r="D74" s="153"/>
      <c r="E74" s="153"/>
      <c r="F74" s="153"/>
      <c r="G74" s="133"/>
      <c r="H74" s="154"/>
      <c r="I74" s="152" t="s">
        <v>123</v>
      </c>
      <c r="J74" s="155">
        <v>50.0</v>
      </c>
      <c r="K74" s="129"/>
      <c r="L74" s="16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</row>
    <row r="75">
      <c r="A75" s="129"/>
      <c r="B75" s="129"/>
      <c r="C75" s="152">
        <v>45728.0</v>
      </c>
      <c r="D75" s="153"/>
      <c r="E75" s="153"/>
      <c r="F75" s="153"/>
      <c r="G75" s="133"/>
      <c r="H75" s="133"/>
      <c r="I75" s="133"/>
      <c r="J75" s="133"/>
      <c r="K75" s="129"/>
      <c r="L75" s="16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</row>
    <row r="76">
      <c r="A76" s="129"/>
      <c r="B76" s="129"/>
      <c r="C76" s="152">
        <v>45729.0</v>
      </c>
      <c r="D76" s="163"/>
      <c r="E76" s="153"/>
      <c r="F76" s="153"/>
      <c r="G76" s="133"/>
      <c r="H76" s="133"/>
      <c r="I76" s="133"/>
      <c r="J76" s="133"/>
      <c r="K76" s="129"/>
      <c r="L76" s="16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</row>
    <row r="77">
      <c r="A77" s="129"/>
      <c r="B77" s="129"/>
      <c r="C77" s="152">
        <v>45730.0</v>
      </c>
      <c r="D77" s="163"/>
      <c r="E77" s="153"/>
      <c r="F77" s="163"/>
      <c r="G77" s="133"/>
      <c r="H77" s="133"/>
      <c r="I77" s="133"/>
      <c r="J77" s="133"/>
      <c r="K77" s="129"/>
      <c r="L77" s="16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</row>
    <row r="78">
      <c r="A78" s="129"/>
      <c r="B78" s="129"/>
      <c r="C78" s="164" t="s">
        <v>124</v>
      </c>
      <c r="D78" s="165" t="str">
        <f t="shared" ref="D78:F78" si="17">AVERAGE(D71:D77)</f>
        <v>#DIV/0!</v>
      </c>
      <c r="E78" s="165" t="str">
        <f t="shared" si="17"/>
        <v>#DIV/0!</v>
      </c>
      <c r="F78" s="165" t="str">
        <f t="shared" si="17"/>
        <v>#DIV/0!</v>
      </c>
      <c r="G78" s="133"/>
      <c r="H78" s="133"/>
      <c r="I78" s="133"/>
      <c r="J78" s="133"/>
      <c r="K78" s="129"/>
      <c r="L78" s="16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</row>
    <row r="79">
      <c r="A79" s="129"/>
      <c r="B79" s="129"/>
      <c r="C79" s="134"/>
      <c r="D79" s="134"/>
      <c r="E79" s="134"/>
      <c r="F79" s="134"/>
      <c r="G79" s="133"/>
      <c r="H79" s="133"/>
      <c r="I79" s="133"/>
      <c r="J79" s="133"/>
      <c r="K79" s="129"/>
      <c r="L79" s="16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</row>
    <row r="80">
      <c r="A80" s="129"/>
      <c r="B80" s="129"/>
      <c r="C80" s="148" t="s">
        <v>125</v>
      </c>
      <c r="D80" s="38"/>
      <c r="E80" s="38"/>
      <c r="F80" s="38"/>
      <c r="G80" s="23"/>
      <c r="H80" s="167"/>
      <c r="I80" s="167"/>
      <c r="J80" s="167"/>
      <c r="K80" s="129"/>
      <c r="L80" s="16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</row>
    <row r="81">
      <c r="A81" s="129"/>
      <c r="B81" s="129"/>
      <c r="C81" s="152" t="s">
        <v>109</v>
      </c>
      <c r="D81" s="152" t="s">
        <v>110</v>
      </c>
      <c r="E81" s="152" t="s">
        <v>126</v>
      </c>
      <c r="F81" s="152" t="s">
        <v>112</v>
      </c>
      <c r="G81" s="152" t="s">
        <v>113</v>
      </c>
      <c r="H81" s="167"/>
      <c r="I81" s="167"/>
      <c r="J81" s="167"/>
      <c r="K81" s="129"/>
      <c r="L81" s="16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</row>
    <row r="82">
      <c r="A82" s="129"/>
      <c r="B82" s="129"/>
      <c r="C82" s="168"/>
      <c r="D82" s="168"/>
      <c r="E82" s="168"/>
      <c r="F82" s="168"/>
      <c r="G82" s="168"/>
      <c r="H82" s="167"/>
      <c r="I82" s="167"/>
      <c r="J82" s="167"/>
      <c r="K82" s="129"/>
      <c r="L82" s="16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</row>
    <row r="83">
      <c r="A83" s="129"/>
      <c r="B83" s="129"/>
      <c r="C83" s="129"/>
      <c r="D83" s="129"/>
      <c r="E83" s="129"/>
      <c r="F83" s="129"/>
      <c r="G83" s="129"/>
      <c r="H83" s="167"/>
      <c r="I83" s="167"/>
      <c r="J83" s="167"/>
      <c r="K83" s="129"/>
      <c r="L83" s="16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</row>
    <row r="84">
      <c r="A84" s="129"/>
      <c r="B84" s="129"/>
      <c r="C84" s="129"/>
      <c r="D84" s="129"/>
      <c r="E84" s="129"/>
      <c r="F84" s="129"/>
      <c r="G84" s="129"/>
      <c r="H84" s="167"/>
      <c r="I84" s="167"/>
      <c r="J84" s="167"/>
      <c r="K84" s="129"/>
      <c r="L84" s="16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</row>
    <row r="85" ht="30.0" customHeight="1">
      <c r="A85" s="129"/>
      <c r="B85" s="129"/>
      <c r="C85" s="134"/>
      <c r="D85" s="172" t="s">
        <v>131</v>
      </c>
      <c r="E85" s="23"/>
      <c r="F85" s="134"/>
      <c r="G85" s="133"/>
      <c r="H85" s="133"/>
      <c r="I85" s="133"/>
      <c r="J85" s="133"/>
      <c r="K85" s="129"/>
      <c r="L85" s="16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</row>
    <row r="86">
      <c r="A86" s="129"/>
      <c r="B86" s="129"/>
      <c r="C86" s="145" t="s">
        <v>114</v>
      </c>
      <c r="D86" s="145" t="s">
        <v>115</v>
      </c>
      <c r="E86" s="145" t="s">
        <v>116</v>
      </c>
      <c r="F86" s="145" t="s">
        <v>117</v>
      </c>
      <c r="G86" s="133"/>
      <c r="H86" s="147"/>
      <c r="I86" s="148" t="s">
        <v>118</v>
      </c>
      <c r="J86" s="23"/>
      <c r="K86" s="129"/>
      <c r="L86" s="16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</row>
    <row r="87">
      <c r="A87" s="129"/>
      <c r="B87" s="129"/>
      <c r="C87" s="152">
        <v>45483.0</v>
      </c>
      <c r="D87" s="153"/>
      <c r="E87" s="153"/>
      <c r="F87" s="153"/>
      <c r="G87" s="133"/>
      <c r="H87" s="154"/>
      <c r="I87" s="152" t="s">
        <v>120</v>
      </c>
      <c r="J87" s="155">
        <v>1530.0</v>
      </c>
      <c r="K87" s="129"/>
      <c r="L87" s="16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</row>
    <row r="88">
      <c r="A88" s="129"/>
      <c r="B88" s="129"/>
      <c r="C88" s="152">
        <v>45484.0</v>
      </c>
      <c r="D88" s="153"/>
      <c r="E88" s="153"/>
      <c r="F88" s="153"/>
      <c r="G88" s="133"/>
      <c r="H88" s="154"/>
      <c r="I88" s="152" t="s">
        <v>121</v>
      </c>
      <c r="J88" s="155">
        <v>120.0</v>
      </c>
      <c r="K88" s="129"/>
      <c r="L88" s="16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</row>
    <row r="89">
      <c r="A89" s="129"/>
      <c r="B89" s="129"/>
      <c r="C89" s="152">
        <v>45485.0</v>
      </c>
      <c r="D89" s="153"/>
      <c r="E89" s="153"/>
      <c r="F89" s="153"/>
      <c r="G89" s="133"/>
      <c r="H89" s="154"/>
      <c r="I89" s="152" t="s">
        <v>122</v>
      </c>
      <c r="J89" s="155">
        <v>150.0</v>
      </c>
      <c r="K89" s="129"/>
      <c r="L89" s="16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</row>
    <row r="90">
      <c r="A90" s="129"/>
      <c r="B90" s="129"/>
      <c r="C90" s="152">
        <v>45486.0</v>
      </c>
      <c r="D90" s="153"/>
      <c r="E90" s="153"/>
      <c r="F90" s="153"/>
      <c r="G90" s="133"/>
      <c r="H90" s="154"/>
      <c r="I90" s="152" t="s">
        <v>123</v>
      </c>
      <c r="J90" s="155">
        <v>50.0</v>
      </c>
      <c r="K90" s="129"/>
      <c r="L90" s="16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</row>
    <row r="91">
      <c r="A91" s="129"/>
      <c r="B91" s="129"/>
      <c r="C91" s="152">
        <v>45487.0</v>
      </c>
      <c r="D91" s="153"/>
      <c r="E91" s="153"/>
      <c r="F91" s="153"/>
      <c r="G91" s="133"/>
      <c r="H91" s="133"/>
      <c r="I91" s="133"/>
      <c r="J91" s="133"/>
      <c r="K91" s="129"/>
      <c r="L91" s="16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</row>
    <row r="92">
      <c r="A92" s="129"/>
      <c r="B92" s="129"/>
      <c r="C92" s="152">
        <v>45488.0</v>
      </c>
      <c r="D92" s="163"/>
      <c r="E92" s="153"/>
      <c r="F92" s="153"/>
      <c r="G92" s="133"/>
      <c r="H92" s="133"/>
      <c r="I92" s="133"/>
      <c r="J92" s="133"/>
      <c r="K92" s="129"/>
      <c r="L92" s="16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</row>
    <row r="93">
      <c r="A93" s="129"/>
      <c r="B93" s="129"/>
      <c r="C93" s="152">
        <v>45489.0</v>
      </c>
      <c r="D93" s="163"/>
      <c r="E93" s="153"/>
      <c r="F93" s="163"/>
      <c r="G93" s="133"/>
      <c r="H93" s="133"/>
      <c r="I93" s="133"/>
      <c r="J93" s="133"/>
      <c r="K93" s="129"/>
      <c r="L93" s="16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</row>
    <row r="94">
      <c r="A94" s="129"/>
      <c r="B94" s="129"/>
      <c r="C94" s="164" t="s">
        <v>124</v>
      </c>
      <c r="D94" s="165" t="str">
        <f t="shared" ref="D94:F94" si="18">AVERAGE(D87:D93)</f>
        <v>#DIV/0!</v>
      </c>
      <c r="E94" s="165" t="str">
        <f t="shared" si="18"/>
        <v>#DIV/0!</v>
      </c>
      <c r="F94" s="165" t="str">
        <f t="shared" si="18"/>
        <v>#DIV/0!</v>
      </c>
      <c r="G94" s="133"/>
      <c r="H94" s="133"/>
      <c r="I94" s="133"/>
      <c r="J94" s="133"/>
      <c r="K94" s="129"/>
      <c r="L94" s="16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</row>
    <row r="95">
      <c r="A95" s="129"/>
      <c r="B95" s="129"/>
      <c r="C95" s="134"/>
      <c r="D95" s="134"/>
      <c r="E95" s="134"/>
      <c r="F95" s="134"/>
      <c r="G95" s="133"/>
      <c r="H95" s="133"/>
      <c r="I95" s="133"/>
      <c r="J95" s="133"/>
      <c r="K95" s="129"/>
      <c r="L95" s="16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</row>
    <row r="96">
      <c r="A96" s="129"/>
      <c r="B96" s="129"/>
      <c r="C96" s="148" t="s">
        <v>125</v>
      </c>
      <c r="D96" s="38"/>
      <c r="E96" s="38"/>
      <c r="F96" s="38"/>
      <c r="G96" s="23"/>
      <c r="H96" s="167"/>
      <c r="I96" s="167"/>
      <c r="J96" s="167"/>
      <c r="K96" s="129"/>
      <c r="L96" s="16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</row>
    <row r="97">
      <c r="A97" s="129"/>
      <c r="B97" s="129"/>
      <c r="C97" s="152" t="s">
        <v>109</v>
      </c>
      <c r="D97" s="152" t="s">
        <v>110</v>
      </c>
      <c r="E97" s="152" t="s">
        <v>126</v>
      </c>
      <c r="F97" s="152" t="s">
        <v>112</v>
      </c>
      <c r="G97" s="152" t="s">
        <v>113</v>
      </c>
      <c r="H97" s="167"/>
      <c r="I97" s="167"/>
      <c r="J97" s="167"/>
      <c r="K97" s="129"/>
      <c r="L97" s="16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</row>
    <row r="98">
      <c r="A98" s="129"/>
      <c r="B98" s="129"/>
      <c r="C98" s="168"/>
      <c r="D98" s="168"/>
      <c r="E98" s="168"/>
      <c r="F98" s="168"/>
      <c r="G98" s="168"/>
      <c r="H98" s="167"/>
      <c r="I98" s="167"/>
      <c r="J98" s="167"/>
      <c r="K98" s="129"/>
      <c r="L98" s="16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</row>
    <row r="99">
      <c r="A99" s="129"/>
      <c r="B99" s="129"/>
      <c r="C99" s="129"/>
      <c r="D99" s="129"/>
      <c r="E99" s="129"/>
      <c r="F99" s="129"/>
      <c r="G99" s="129"/>
      <c r="H99" s="167"/>
      <c r="I99" s="167"/>
      <c r="J99" s="167"/>
      <c r="K99" s="129"/>
      <c r="L99" s="16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</row>
    <row r="100">
      <c r="A100" s="129"/>
      <c r="B100" s="129"/>
      <c r="C100" s="129"/>
      <c r="D100" s="129"/>
      <c r="E100" s="129"/>
      <c r="F100" s="129"/>
      <c r="G100" s="129"/>
      <c r="H100" s="167"/>
      <c r="I100" s="167"/>
      <c r="J100" s="167"/>
      <c r="K100" s="129"/>
      <c r="L100" s="16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</row>
    <row r="101" ht="27.0" customHeight="1">
      <c r="A101" s="129"/>
      <c r="B101" s="129"/>
      <c r="C101" s="134"/>
      <c r="D101" s="172" t="s">
        <v>132</v>
      </c>
      <c r="E101" s="23"/>
      <c r="F101" s="134"/>
      <c r="G101" s="133"/>
      <c r="H101" s="133"/>
      <c r="I101" s="133"/>
      <c r="J101" s="133"/>
      <c r="K101" s="129"/>
      <c r="L101" s="16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</row>
    <row r="102">
      <c r="A102" s="129"/>
      <c r="B102" s="129"/>
      <c r="C102" s="145" t="s">
        <v>114</v>
      </c>
      <c r="D102" s="145" t="s">
        <v>115</v>
      </c>
      <c r="E102" s="145" t="s">
        <v>116</v>
      </c>
      <c r="F102" s="145" t="s">
        <v>117</v>
      </c>
      <c r="G102" s="133"/>
      <c r="H102" s="147"/>
      <c r="I102" s="148" t="s">
        <v>118</v>
      </c>
      <c r="J102" s="23"/>
      <c r="K102" s="129"/>
      <c r="L102" s="16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</row>
    <row r="103">
      <c r="A103" s="129"/>
      <c r="B103" s="129"/>
      <c r="C103" s="152">
        <v>45483.0</v>
      </c>
      <c r="D103" s="153"/>
      <c r="E103" s="153"/>
      <c r="F103" s="153"/>
      <c r="G103" s="133"/>
      <c r="H103" s="154"/>
      <c r="I103" s="152" t="s">
        <v>120</v>
      </c>
      <c r="J103" s="155">
        <v>1530.0</v>
      </c>
      <c r="K103" s="129"/>
      <c r="L103" s="16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</row>
    <row r="104">
      <c r="A104" s="129"/>
      <c r="B104" s="129"/>
      <c r="C104" s="152">
        <v>45484.0</v>
      </c>
      <c r="D104" s="153"/>
      <c r="E104" s="153"/>
      <c r="F104" s="153"/>
      <c r="G104" s="133"/>
      <c r="H104" s="154"/>
      <c r="I104" s="152" t="s">
        <v>121</v>
      </c>
      <c r="J104" s="155">
        <v>120.0</v>
      </c>
      <c r="K104" s="129"/>
      <c r="L104" s="16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</row>
    <row r="105">
      <c r="A105" s="129"/>
      <c r="B105" s="129"/>
      <c r="C105" s="152">
        <v>45485.0</v>
      </c>
      <c r="D105" s="153"/>
      <c r="E105" s="153"/>
      <c r="F105" s="153"/>
      <c r="G105" s="133"/>
      <c r="H105" s="154"/>
      <c r="I105" s="152" t="s">
        <v>122</v>
      </c>
      <c r="J105" s="155">
        <v>150.0</v>
      </c>
      <c r="K105" s="129"/>
      <c r="L105" s="16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</row>
    <row r="106">
      <c r="A106" s="129"/>
      <c r="B106" s="129"/>
      <c r="C106" s="152">
        <v>45486.0</v>
      </c>
      <c r="D106" s="153"/>
      <c r="E106" s="153"/>
      <c r="F106" s="153"/>
      <c r="G106" s="133"/>
      <c r="H106" s="154"/>
      <c r="I106" s="152" t="s">
        <v>123</v>
      </c>
      <c r="J106" s="155">
        <v>50.0</v>
      </c>
      <c r="K106" s="129"/>
      <c r="L106" s="16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</row>
    <row r="107">
      <c r="A107" s="129"/>
      <c r="B107" s="129"/>
      <c r="C107" s="152">
        <v>45487.0</v>
      </c>
      <c r="D107" s="153"/>
      <c r="E107" s="153"/>
      <c r="F107" s="153"/>
      <c r="G107" s="133"/>
      <c r="H107" s="133"/>
      <c r="I107" s="133"/>
      <c r="J107" s="133"/>
      <c r="K107" s="129"/>
      <c r="L107" s="16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</row>
    <row r="108">
      <c r="A108" s="129"/>
      <c r="B108" s="129"/>
      <c r="C108" s="152">
        <v>45488.0</v>
      </c>
      <c r="D108" s="163"/>
      <c r="E108" s="153"/>
      <c r="F108" s="153"/>
      <c r="G108" s="133"/>
      <c r="H108" s="133"/>
      <c r="I108" s="133"/>
      <c r="J108" s="133"/>
      <c r="K108" s="129"/>
      <c r="L108" s="16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</row>
    <row r="109">
      <c r="A109" s="129"/>
      <c r="B109" s="129"/>
      <c r="C109" s="152">
        <v>45489.0</v>
      </c>
      <c r="D109" s="163"/>
      <c r="E109" s="153"/>
      <c r="F109" s="163"/>
      <c r="G109" s="133"/>
      <c r="H109" s="133"/>
      <c r="I109" s="133"/>
      <c r="J109" s="133"/>
      <c r="K109" s="129"/>
      <c r="L109" s="16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</row>
    <row r="110">
      <c r="A110" s="129"/>
      <c r="B110" s="129"/>
      <c r="C110" s="164" t="s">
        <v>124</v>
      </c>
      <c r="D110" s="165" t="str">
        <f t="shared" ref="D110:F110" si="19">AVERAGE(D103:D109)</f>
        <v>#DIV/0!</v>
      </c>
      <c r="E110" s="165" t="str">
        <f t="shared" si="19"/>
        <v>#DIV/0!</v>
      </c>
      <c r="F110" s="165" t="str">
        <f t="shared" si="19"/>
        <v>#DIV/0!</v>
      </c>
      <c r="G110" s="133"/>
      <c r="H110" s="133"/>
      <c r="I110" s="133"/>
      <c r="J110" s="133"/>
      <c r="K110" s="129"/>
      <c r="L110" s="16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</row>
    <row r="111">
      <c r="A111" s="129"/>
      <c r="B111" s="129"/>
      <c r="C111" s="134"/>
      <c r="D111" s="134"/>
      <c r="E111" s="134"/>
      <c r="F111" s="134"/>
      <c r="G111" s="133"/>
      <c r="H111" s="133"/>
      <c r="I111" s="133"/>
      <c r="J111" s="133"/>
      <c r="K111" s="129"/>
      <c r="L111" s="16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</row>
    <row r="112">
      <c r="A112" s="129"/>
      <c r="B112" s="129"/>
      <c r="C112" s="148" t="s">
        <v>125</v>
      </c>
      <c r="D112" s="38"/>
      <c r="E112" s="38"/>
      <c r="F112" s="38"/>
      <c r="G112" s="23"/>
      <c r="H112" s="167"/>
      <c r="I112" s="167"/>
      <c r="J112" s="167"/>
      <c r="K112" s="129"/>
      <c r="L112" s="16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</row>
    <row r="113">
      <c r="A113" s="129"/>
      <c r="B113" s="129"/>
      <c r="C113" s="152" t="s">
        <v>109</v>
      </c>
      <c r="D113" s="152" t="s">
        <v>110</v>
      </c>
      <c r="E113" s="152" t="s">
        <v>126</v>
      </c>
      <c r="F113" s="152" t="s">
        <v>112</v>
      </c>
      <c r="G113" s="152" t="s">
        <v>113</v>
      </c>
      <c r="H113" s="167"/>
      <c r="I113" s="167"/>
      <c r="J113" s="167"/>
      <c r="K113" s="129"/>
      <c r="L113" s="16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</row>
    <row r="114">
      <c r="A114" s="129"/>
      <c r="B114" s="129"/>
      <c r="C114" s="168"/>
      <c r="D114" s="168"/>
      <c r="E114" s="168"/>
      <c r="F114" s="168"/>
      <c r="G114" s="168"/>
      <c r="H114" s="167"/>
      <c r="I114" s="167"/>
      <c r="J114" s="167"/>
      <c r="K114" s="129"/>
      <c r="L114" s="16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</row>
    <row r="115">
      <c r="A115" s="129"/>
      <c r="B115" s="129"/>
      <c r="C115" s="133"/>
      <c r="D115" s="133"/>
      <c r="E115" s="133"/>
      <c r="F115" s="133"/>
      <c r="G115" s="129"/>
      <c r="H115" s="129"/>
      <c r="I115" s="129"/>
      <c r="J115" s="129"/>
      <c r="K115" s="129"/>
      <c r="L115" s="16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</row>
    <row r="116">
      <c r="A116" s="129"/>
      <c r="B116" s="129"/>
      <c r="C116" s="16"/>
      <c r="D116" s="16"/>
      <c r="E116" s="16"/>
      <c r="F116" s="16"/>
      <c r="G116" s="129"/>
      <c r="H116" s="129"/>
      <c r="I116" s="129"/>
      <c r="J116" s="129"/>
      <c r="K116" s="129"/>
      <c r="L116" s="16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</row>
    <row r="117">
      <c r="A117" s="129"/>
      <c r="B117" s="129"/>
      <c r="C117" s="16"/>
      <c r="D117" s="16"/>
      <c r="E117" s="16"/>
      <c r="F117" s="16"/>
      <c r="G117" s="129"/>
      <c r="H117" s="129"/>
      <c r="I117" s="129"/>
      <c r="J117" s="129"/>
      <c r="K117" s="129"/>
      <c r="L117" s="16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</row>
    <row r="118" ht="30.0" customHeight="1">
      <c r="A118" s="129"/>
      <c r="B118" s="129"/>
      <c r="C118" s="134"/>
      <c r="D118" s="172" t="s">
        <v>133</v>
      </c>
      <c r="E118" s="23"/>
      <c r="F118" s="134"/>
      <c r="G118" s="133"/>
      <c r="H118" s="133"/>
      <c r="I118" s="133"/>
      <c r="J118" s="133"/>
      <c r="K118" s="129"/>
      <c r="L118" s="16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</row>
    <row r="119">
      <c r="A119" s="129"/>
      <c r="B119" s="129"/>
      <c r="C119" s="145" t="s">
        <v>114</v>
      </c>
      <c r="D119" s="145" t="s">
        <v>115</v>
      </c>
      <c r="E119" s="145" t="s">
        <v>116</v>
      </c>
      <c r="F119" s="145" t="s">
        <v>117</v>
      </c>
      <c r="G119" s="133"/>
      <c r="H119" s="147"/>
      <c r="I119" s="148" t="s">
        <v>118</v>
      </c>
      <c r="J119" s="23"/>
      <c r="K119" s="129"/>
      <c r="L119" s="16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</row>
    <row r="120">
      <c r="A120" s="129"/>
      <c r="B120" s="129"/>
      <c r="C120" s="152">
        <v>45483.0</v>
      </c>
      <c r="D120" s="153"/>
      <c r="E120" s="153"/>
      <c r="F120" s="153"/>
      <c r="G120" s="133"/>
      <c r="H120" s="154"/>
      <c r="I120" s="152" t="s">
        <v>120</v>
      </c>
      <c r="J120" s="155">
        <v>1530.0</v>
      </c>
      <c r="K120" s="129"/>
      <c r="L120" s="16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</row>
    <row r="121">
      <c r="A121" s="129"/>
      <c r="B121" s="129"/>
      <c r="C121" s="152">
        <v>45484.0</v>
      </c>
      <c r="D121" s="153"/>
      <c r="E121" s="153"/>
      <c r="F121" s="153"/>
      <c r="G121" s="133"/>
      <c r="H121" s="154"/>
      <c r="I121" s="152" t="s">
        <v>121</v>
      </c>
      <c r="J121" s="155">
        <v>120.0</v>
      </c>
      <c r="K121" s="129"/>
      <c r="L121" s="16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</row>
    <row r="122">
      <c r="A122" s="129"/>
      <c r="B122" s="129"/>
      <c r="C122" s="152">
        <v>45485.0</v>
      </c>
      <c r="D122" s="153"/>
      <c r="E122" s="153"/>
      <c r="F122" s="153"/>
      <c r="G122" s="133"/>
      <c r="H122" s="154"/>
      <c r="I122" s="152" t="s">
        <v>122</v>
      </c>
      <c r="J122" s="155">
        <v>150.0</v>
      </c>
      <c r="K122" s="129"/>
      <c r="L122" s="16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</row>
    <row r="123">
      <c r="A123" s="129"/>
      <c r="B123" s="129"/>
      <c r="C123" s="152">
        <v>45486.0</v>
      </c>
      <c r="D123" s="153"/>
      <c r="E123" s="153"/>
      <c r="F123" s="153"/>
      <c r="G123" s="133"/>
      <c r="H123" s="154"/>
      <c r="I123" s="152" t="s">
        <v>123</v>
      </c>
      <c r="J123" s="155">
        <v>50.0</v>
      </c>
      <c r="K123" s="129"/>
      <c r="L123" s="16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</row>
    <row r="124">
      <c r="A124" s="129"/>
      <c r="B124" s="129"/>
      <c r="C124" s="152">
        <v>45487.0</v>
      </c>
      <c r="D124" s="153"/>
      <c r="E124" s="153"/>
      <c r="F124" s="153"/>
      <c r="G124" s="133"/>
      <c r="H124" s="133"/>
      <c r="I124" s="133"/>
      <c r="J124" s="133"/>
      <c r="K124" s="129"/>
      <c r="L124" s="16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</row>
    <row r="125">
      <c r="A125" s="129"/>
      <c r="B125" s="129"/>
      <c r="C125" s="152">
        <v>45488.0</v>
      </c>
      <c r="D125" s="163"/>
      <c r="E125" s="153"/>
      <c r="F125" s="153"/>
      <c r="G125" s="133"/>
      <c r="H125" s="133"/>
      <c r="I125" s="133"/>
      <c r="J125" s="133"/>
      <c r="K125" s="129"/>
      <c r="L125" s="16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</row>
    <row r="126">
      <c r="A126" s="129"/>
      <c r="B126" s="129"/>
      <c r="C126" s="152">
        <v>45489.0</v>
      </c>
      <c r="D126" s="163"/>
      <c r="E126" s="153"/>
      <c r="F126" s="163"/>
      <c r="G126" s="133"/>
      <c r="H126" s="133"/>
      <c r="I126" s="133"/>
      <c r="J126" s="133"/>
      <c r="K126" s="129"/>
      <c r="L126" s="16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</row>
    <row r="127">
      <c r="A127" s="129"/>
      <c r="B127" s="129"/>
      <c r="C127" s="164" t="s">
        <v>124</v>
      </c>
      <c r="D127" s="165" t="str">
        <f t="shared" ref="D127:F127" si="20">AVERAGE(D120:D126)</f>
        <v>#DIV/0!</v>
      </c>
      <c r="E127" s="165" t="str">
        <f t="shared" si="20"/>
        <v>#DIV/0!</v>
      </c>
      <c r="F127" s="165" t="str">
        <f t="shared" si="20"/>
        <v>#DIV/0!</v>
      </c>
      <c r="G127" s="133"/>
      <c r="H127" s="133"/>
      <c r="I127" s="133"/>
      <c r="J127" s="133"/>
      <c r="K127" s="129"/>
      <c r="L127" s="16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</row>
    <row r="128">
      <c r="A128" s="129"/>
      <c r="B128" s="129"/>
      <c r="C128" s="134"/>
      <c r="D128" s="134"/>
      <c r="E128" s="134"/>
      <c r="F128" s="134"/>
      <c r="G128" s="133"/>
      <c r="H128" s="133"/>
      <c r="I128" s="133"/>
      <c r="J128" s="133"/>
      <c r="K128" s="129"/>
      <c r="L128" s="16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</row>
    <row r="129">
      <c r="A129" s="129"/>
      <c r="B129" s="129"/>
      <c r="C129" s="148" t="s">
        <v>125</v>
      </c>
      <c r="D129" s="38"/>
      <c r="E129" s="38"/>
      <c r="F129" s="38"/>
      <c r="G129" s="23"/>
      <c r="H129" s="167"/>
      <c r="I129" s="167"/>
      <c r="J129" s="167"/>
      <c r="K129" s="129"/>
      <c r="L129" s="16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</row>
    <row r="130">
      <c r="A130" s="129"/>
      <c r="B130" s="129"/>
      <c r="C130" s="152" t="s">
        <v>109</v>
      </c>
      <c r="D130" s="152" t="s">
        <v>110</v>
      </c>
      <c r="E130" s="152" t="s">
        <v>126</v>
      </c>
      <c r="F130" s="152" t="s">
        <v>112</v>
      </c>
      <c r="G130" s="152" t="s">
        <v>113</v>
      </c>
      <c r="H130" s="167"/>
      <c r="I130" s="167"/>
      <c r="J130" s="167"/>
      <c r="K130" s="129"/>
      <c r="L130" s="16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</row>
    <row r="131">
      <c r="A131" s="129"/>
      <c r="B131" s="129"/>
      <c r="C131" s="168"/>
      <c r="D131" s="168"/>
      <c r="E131" s="168"/>
      <c r="F131" s="168"/>
      <c r="G131" s="168"/>
      <c r="H131" s="167"/>
      <c r="I131" s="167"/>
      <c r="J131" s="167"/>
      <c r="K131" s="129"/>
      <c r="L131" s="16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</row>
    <row r="132">
      <c r="A132" s="129"/>
      <c r="B132" s="129"/>
      <c r="C132" s="129"/>
      <c r="D132" s="129"/>
      <c r="E132" s="129"/>
      <c r="F132" s="129"/>
      <c r="G132" s="129"/>
      <c r="H132" s="167"/>
      <c r="I132" s="167"/>
      <c r="J132" s="167"/>
      <c r="K132" s="129"/>
      <c r="L132" s="16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</row>
    <row r="133">
      <c r="A133" s="129"/>
      <c r="B133" s="129"/>
      <c r="C133" s="129"/>
      <c r="D133" s="129"/>
      <c r="E133" s="129"/>
      <c r="F133" s="129"/>
      <c r="G133" s="129"/>
      <c r="H133" s="167"/>
      <c r="I133" s="167"/>
      <c r="J133" s="167"/>
      <c r="K133" s="129"/>
      <c r="L133" s="16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</row>
    <row r="134">
      <c r="A134" s="129"/>
      <c r="B134" s="129"/>
      <c r="C134" s="129"/>
      <c r="D134" s="129"/>
      <c r="E134" s="129"/>
      <c r="F134" s="129"/>
      <c r="G134" s="129"/>
      <c r="H134" s="167"/>
      <c r="I134" s="167"/>
      <c r="J134" s="167"/>
      <c r="K134" s="129"/>
      <c r="L134" s="16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</row>
    <row r="135" ht="31.5" customHeight="1">
      <c r="A135" s="129"/>
      <c r="B135" s="129"/>
      <c r="C135" s="134"/>
      <c r="D135" s="172" t="s">
        <v>134</v>
      </c>
      <c r="E135" s="23"/>
      <c r="F135" s="134"/>
      <c r="G135" s="133"/>
      <c r="H135" s="133"/>
      <c r="I135" s="133"/>
      <c r="J135" s="133"/>
      <c r="K135" s="129"/>
      <c r="L135" s="16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</row>
    <row r="136">
      <c r="A136" s="129"/>
      <c r="B136" s="129"/>
      <c r="C136" s="145" t="s">
        <v>114</v>
      </c>
      <c r="D136" s="145" t="s">
        <v>115</v>
      </c>
      <c r="E136" s="145" t="s">
        <v>116</v>
      </c>
      <c r="F136" s="145" t="s">
        <v>117</v>
      </c>
      <c r="G136" s="133"/>
      <c r="H136" s="147"/>
      <c r="I136" s="148" t="s">
        <v>118</v>
      </c>
      <c r="J136" s="23"/>
      <c r="K136" s="129"/>
      <c r="L136" s="16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</row>
    <row r="137">
      <c r="A137" s="129"/>
      <c r="B137" s="129"/>
      <c r="C137" s="152">
        <v>45483.0</v>
      </c>
      <c r="D137" s="153"/>
      <c r="E137" s="153"/>
      <c r="F137" s="153"/>
      <c r="G137" s="133"/>
      <c r="H137" s="154"/>
      <c r="I137" s="152" t="s">
        <v>120</v>
      </c>
      <c r="J137" s="155">
        <v>1530.0</v>
      </c>
      <c r="K137" s="129"/>
      <c r="L137" s="16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</row>
    <row r="138">
      <c r="A138" s="129"/>
      <c r="B138" s="129"/>
      <c r="C138" s="152">
        <v>45484.0</v>
      </c>
      <c r="D138" s="153"/>
      <c r="E138" s="153"/>
      <c r="F138" s="153"/>
      <c r="G138" s="133"/>
      <c r="H138" s="154"/>
      <c r="I138" s="152" t="s">
        <v>121</v>
      </c>
      <c r="J138" s="155">
        <v>120.0</v>
      </c>
      <c r="K138" s="129"/>
      <c r="L138" s="16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</row>
    <row r="139">
      <c r="A139" s="129"/>
      <c r="B139" s="129"/>
      <c r="C139" s="152">
        <v>45485.0</v>
      </c>
      <c r="D139" s="153"/>
      <c r="E139" s="153"/>
      <c r="F139" s="153"/>
      <c r="G139" s="133"/>
      <c r="H139" s="154"/>
      <c r="I139" s="152" t="s">
        <v>122</v>
      </c>
      <c r="J139" s="155">
        <v>150.0</v>
      </c>
      <c r="K139" s="129"/>
      <c r="L139" s="16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</row>
    <row r="140">
      <c r="A140" s="129"/>
      <c r="B140" s="129"/>
      <c r="C140" s="152">
        <v>45486.0</v>
      </c>
      <c r="D140" s="153"/>
      <c r="E140" s="153"/>
      <c r="F140" s="153"/>
      <c r="G140" s="133"/>
      <c r="H140" s="154"/>
      <c r="I140" s="152" t="s">
        <v>123</v>
      </c>
      <c r="J140" s="155">
        <v>50.0</v>
      </c>
      <c r="K140" s="129"/>
      <c r="L140" s="16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</row>
    <row r="141">
      <c r="A141" s="129"/>
      <c r="B141" s="129"/>
      <c r="C141" s="152">
        <v>45487.0</v>
      </c>
      <c r="D141" s="153"/>
      <c r="E141" s="153"/>
      <c r="F141" s="153"/>
      <c r="G141" s="133"/>
      <c r="H141" s="133"/>
      <c r="I141" s="133"/>
      <c r="J141" s="133"/>
      <c r="K141" s="129"/>
      <c r="L141" s="16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</row>
    <row r="142">
      <c r="A142" s="129"/>
      <c r="B142" s="129"/>
      <c r="C142" s="152">
        <v>45488.0</v>
      </c>
      <c r="D142" s="163"/>
      <c r="E142" s="153"/>
      <c r="F142" s="153"/>
      <c r="G142" s="133"/>
      <c r="H142" s="133"/>
      <c r="I142" s="133"/>
      <c r="J142" s="133"/>
      <c r="K142" s="129"/>
      <c r="L142" s="16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</row>
    <row r="143">
      <c r="A143" s="129"/>
      <c r="B143" s="129"/>
      <c r="C143" s="152">
        <v>45489.0</v>
      </c>
      <c r="D143" s="163"/>
      <c r="E143" s="153"/>
      <c r="F143" s="163"/>
      <c r="G143" s="133"/>
      <c r="H143" s="133"/>
      <c r="I143" s="133"/>
      <c r="J143" s="133"/>
      <c r="K143" s="129"/>
      <c r="L143" s="16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</row>
    <row r="144">
      <c r="A144" s="129"/>
      <c r="B144" s="129"/>
      <c r="C144" s="164" t="s">
        <v>124</v>
      </c>
      <c r="D144" s="165" t="str">
        <f t="shared" ref="D144:F144" si="21">AVERAGE(D137:D143)</f>
        <v>#DIV/0!</v>
      </c>
      <c r="E144" s="165" t="str">
        <f t="shared" si="21"/>
        <v>#DIV/0!</v>
      </c>
      <c r="F144" s="165" t="str">
        <f t="shared" si="21"/>
        <v>#DIV/0!</v>
      </c>
      <c r="G144" s="133"/>
      <c r="H144" s="133"/>
      <c r="I144" s="133"/>
      <c r="J144" s="133"/>
      <c r="K144" s="129"/>
      <c r="L144" s="16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</row>
    <row r="145">
      <c r="A145" s="129"/>
      <c r="B145" s="129"/>
      <c r="C145" s="134"/>
      <c r="D145" s="134"/>
      <c r="E145" s="134"/>
      <c r="F145" s="134"/>
      <c r="G145" s="133"/>
      <c r="H145" s="133"/>
      <c r="I145" s="133"/>
      <c r="J145" s="133"/>
      <c r="K145" s="129"/>
      <c r="L145" s="16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</row>
    <row r="146">
      <c r="A146" s="129"/>
      <c r="B146" s="129"/>
      <c r="C146" s="148" t="s">
        <v>125</v>
      </c>
      <c r="D146" s="38"/>
      <c r="E146" s="38"/>
      <c r="F146" s="38"/>
      <c r="G146" s="23"/>
      <c r="H146" s="167"/>
      <c r="I146" s="167"/>
      <c r="J146" s="167"/>
      <c r="K146" s="129"/>
      <c r="L146" s="16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</row>
    <row r="147">
      <c r="A147" s="129"/>
      <c r="B147" s="129"/>
      <c r="C147" s="152" t="s">
        <v>109</v>
      </c>
      <c r="D147" s="152" t="s">
        <v>110</v>
      </c>
      <c r="E147" s="152" t="s">
        <v>126</v>
      </c>
      <c r="F147" s="152" t="s">
        <v>112</v>
      </c>
      <c r="G147" s="152" t="s">
        <v>113</v>
      </c>
      <c r="H147" s="167"/>
      <c r="I147" s="167"/>
      <c r="J147" s="167"/>
      <c r="K147" s="129"/>
      <c r="L147" s="16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</row>
    <row r="148">
      <c r="A148" s="129"/>
      <c r="B148" s="129"/>
      <c r="C148" s="168"/>
      <c r="D148" s="168"/>
      <c r="E148" s="168"/>
      <c r="F148" s="168"/>
      <c r="G148" s="168"/>
      <c r="H148" s="167"/>
      <c r="I148" s="167"/>
      <c r="J148" s="167"/>
      <c r="K148" s="129"/>
      <c r="L148" s="16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</row>
    <row r="149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6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</row>
    <row r="150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6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</row>
    <row r="151" ht="28.5" customHeight="1">
      <c r="A151" s="129"/>
      <c r="B151" s="129"/>
      <c r="C151" s="134"/>
      <c r="D151" s="172" t="s">
        <v>135</v>
      </c>
      <c r="E151" s="23"/>
      <c r="F151" s="134"/>
      <c r="G151" s="133"/>
      <c r="H151" s="133"/>
      <c r="I151" s="133"/>
      <c r="J151" s="133"/>
      <c r="K151" s="129"/>
      <c r="L151" s="16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</row>
    <row r="152">
      <c r="A152" s="129"/>
      <c r="B152" s="129"/>
      <c r="C152" s="145" t="s">
        <v>114</v>
      </c>
      <c r="D152" s="145" t="s">
        <v>115</v>
      </c>
      <c r="E152" s="145" t="s">
        <v>116</v>
      </c>
      <c r="F152" s="145" t="s">
        <v>117</v>
      </c>
      <c r="G152" s="133"/>
      <c r="H152" s="147"/>
      <c r="I152" s="148" t="s">
        <v>118</v>
      </c>
      <c r="J152" s="23"/>
      <c r="K152" s="129"/>
      <c r="L152" s="16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</row>
    <row r="153">
      <c r="A153" s="129"/>
      <c r="B153" s="129"/>
      <c r="C153" s="152">
        <v>45483.0</v>
      </c>
      <c r="D153" s="153"/>
      <c r="E153" s="153"/>
      <c r="F153" s="153"/>
      <c r="G153" s="133"/>
      <c r="H153" s="154"/>
      <c r="I153" s="152" t="s">
        <v>120</v>
      </c>
      <c r="J153" s="155">
        <v>1530.0</v>
      </c>
      <c r="K153" s="129"/>
      <c r="L153" s="16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</row>
    <row r="154">
      <c r="A154" s="129"/>
      <c r="B154" s="129"/>
      <c r="C154" s="152">
        <v>45484.0</v>
      </c>
      <c r="D154" s="153"/>
      <c r="E154" s="153"/>
      <c r="F154" s="153"/>
      <c r="G154" s="133"/>
      <c r="H154" s="154"/>
      <c r="I154" s="152" t="s">
        <v>121</v>
      </c>
      <c r="J154" s="155">
        <v>120.0</v>
      </c>
      <c r="K154" s="129"/>
      <c r="L154" s="16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</row>
    <row r="155">
      <c r="A155" s="129"/>
      <c r="B155" s="129"/>
      <c r="C155" s="152">
        <v>45485.0</v>
      </c>
      <c r="D155" s="153"/>
      <c r="E155" s="153"/>
      <c r="F155" s="153"/>
      <c r="G155" s="133"/>
      <c r="H155" s="154"/>
      <c r="I155" s="152" t="s">
        <v>122</v>
      </c>
      <c r="J155" s="155">
        <v>150.0</v>
      </c>
      <c r="K155" s="129"/>
      <c r="L155" s="16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</row>
    <row r="156">
      <c r="A156" s="129"/>
      <c r="B156" s="129"/>
      <c r="C156" s="152">
        <v>45486.0</v>
      </c>
      <c r="D156" s="153"/>
      <c r="E156" s="153"/>
      <c r="F156" s="153"/>
      <c r="G156" s="133"/>
      <c r="H156" s="154"/>
      <c r="I156" s="152" t="s">
        <v>123</v>
      </c>
      <c r="J156" s="155">
        <v>50.0</v>
      </c>
      <c r="K156" s="129"/>
      <c r="L156" s="16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</row>
    <row r="157">
      <c r="A157" s="129"/>
      <c r="B157" s="129"/>
      <c r="C157" s="152">
        <v>45487.0</v>
      </c>
      <c r="D157" s="153"/>
      <c r="E157" s="153"/>
      <c r="F157" s="153"/>
      <c r="G157" s="133"/>
      <c r="H157" s="133"/>
      <c r="I157" s="133"/>
      <c r="J157" s="133"/>
      <c r="K157" s="129"/>
      <c r="L157" s="16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</row>
    <row r="158">
      <c r="A158" s="129"/>
      <c r="B158" s="129"/>
      <c r="C158" s="152">
        <v>45488.0</v>
      </c>
      <c r="D158" s="163"/>
      <c r="E158" s="153"/>
      <c r="F158" s="153"/>
      <c r="G158" s="133"/>
      <c r="H158" s="133"/>
      <c r="I158" s="133"/>
      <c r="J158" s="133"/>
      <c r="K158" s="129"/>
      <c r="L158" s="16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</row>
    <row r="159">
      <c r="A159" s="129"/>
      <c r="B159" s="129"/>
      <c r="C159" s="152">
        <v>45489.0</v>
      </c>
      <c r="D159" s="163"/>
      <c r="E159" s="153"/>
      <c r="F159" s="163"/>
      <c r="G159" s="133"/>
      <c r="H159" s="133"/>
      <c r="I159" s="133"/>
      <c r="J159" s="133"/>
      <c r="K159" s="129"/>
      <c r="L159" s="16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</row>
    <row r="160">
      <c r="A160" s="129"/>
      <c r="B160" s="129"/>
      <c r="C160" s="164" t="s">
        <v>124</v>
      </c>
      <c r="D160" s="165" t="str">
        <f t="shared" ref="D160:F160" si="22">AVERAGE(D153:D159)</f>
        <v>#DIV/0!</v>
      </c>
      <c r="E160" s="165" t="str">
        <f t="shared" si="22"/>
        <v>#DIV/0!</v>
      </c>
      <c r="F160" s="165" t="str">
        <f t="shared" si="22"/>
        <v>#DIV/0!</v>
      </c>
      <c r="G160" s="133"/>
      <c r="H160" s="133"/>
      <c r="I160" s="133"/>
      <c r="J160" s="133"/>
      <c r="K160" s="129"/>
      <c r="L160" s="16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</row>
    <row r="161">
      <c r="A161" s="129"/>
      <c r="B161" s="129"/>
      <c r="C161" s="134"/>
      <c r="D161" s="134"/>
      <c r="E161" s="134"/>
      <c r="F161" s="134"/>
      <c r="G161" s="133"/>
      <c r="H161" s="133"/>
      <c r="I161" s="133"/>
      <c r="J161" s="133"/>
      <c r="K161" s="129"/>
      <c r="L161" s="16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</row>
    <row r="162">
      <c r="A162" s="129"/>
      <c r="B162" s="129"/>
      <c r="C162" s="148" t="s">
        <v>125</v>
      </c>
      <c r="D162" s="38"/>
      <c r="E162" s="38"/>
      <c r="F162" s="38"/>
      <c r="G162" s="23"/>
      <c r="H162" s="167"/>
      <c r="I162" s="167"/>
      <c r="J162" s="167"/>
      <c r="K162" s="129"/>
      <c r="L162" s="16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</row>
    <row r="163">
      <c r="A163" s="129"/>
      <c r="B163" s="129"/>
      <c r="C163" s="152" t="s">
        <v>109</v>
      </c>
      <c r="D163" s="152" t="s">
        <v>110</v>
      </c>
      <c r="E163" s="152" t="s">
        <v>126</v>
      </c>
      <c r="F163" s="152" t="s">
        <v>112</v>
      </c>
      <c r="G163" s="152" t="s">
        <v>113</v>
      </c>
      <c r="H163" s="167"/>
      <c r="I163" s="167"/>
      <c r="J163" s="167"/>
      <c r="K163" s="129"/>
      <c r="L163" s="16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</row>
    <row r="164">
      <c r="A164" s="129"/>
      <c r="B164" s="129"/>
      <c r="C164" s="168"/>
      <c r="D164" s="168"/>
      <c r="E164" s="168"/>
      <c r="F164" s="168"/>
      <c r="G164" s="168"/>
      <c r="H164" s="167"/>
      <c r="I164" s="167"/>
      <c r="J164" s="167"/>
      <c r="K164" s="129"/>
      <c r="L164" s="16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</row>
    <row r="165">
      <c r="A165" s="129"/>
      <c r="B165" s="129"/>
      <c r="C165" s="129"/>
      <c r="D165" s="129"/>
      <c r="E165" s="129"/>
      <c r="F165" s="129"/>
      <c r="G165" s="129"/>
      <c r="H165" s="167"/>
      <c r="I165" s="167"/>
      <c r="J165" s="167"/>
      <c r="K165" s="129"/>
      <c r="L165" s="16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</row>
    <row r="166">
      <c r="A166" s="129"/>
      <c r="B166" s="129"/>
      <c r="C166" s="129"/>
      <c r="D166" s="129"/>
      <c r="E166" s="129"/>
      <c r="F166" s="129"/>
      <c r="G166" s="129"/>
      <c r="H166" s="167"/>
      <c r="I166" s="167"/>
      <c r="J166" s="167"/>
      <c r="K166" s="129"/>
      <c r="L166" s="16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</row>
    <row r="167" ht="31.5" customHeight="1">
      <c r="A167" s="129"/>
      <c r="B167" s="129"/>
      <c r="C167" s="134"/>
      <c r="D167" s="172" t="s">
        <v>136</v>
      </c>
      <c r="E167" s="23"/>
      <c r="F167" s="134"/>
      <c r="G167" s="133"/>
      <c r="H167" s="133"/>
      <c r="I167" s="133"/>
      <c r="J167" s="133"/>
      <c r="K167" s="129"/>
      <c r="L167" s="16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</row>
    <row r="168">
      <c r="A168" s="129"/>
      <c r="B168" s="129"/>
      <c r="C168" s="145" t="s">
        <v>114</v>
      </c>
      <c r="D168" s="145" t="s">
        <v>115</v>
      </c>
      <c r="E168" s="145" t="s">
        <v>116</v>
      </c>
      <c r="F168" s="145" t="s">
        <v>117</v>
      </c>
      <c r="G168" s="133"/>
      <c r="H168" s="147"/>
      <c r="I168" s="148" t="s">
        <v>118</v>
      </c>
      <c r="J168" s="23"/>
      <c r="K168" s="129"/>
      <c r="L168" s="16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</row>
    <row r="169">
      <c r="A169" s="129"/>
      <c r="B169" s="129"/>
      <c r="C169" s="152">
        <v>45483.0</v>
      </c>
      <c r="D169" s="153"/>
      <c r="E169" s="153"/>
      <c r="F169" s="153"/>
      <c r="G169" s="133"/>
      <c r="H169" s="154"/>
      <c r="I169" s="152" t="s">
        <v>120</v>
      </c>
      <c r="J169" s="155">
        <v>1530.0</v>
      </c>
      <c r="K169" s="129"/>
      <c r="L169" s="16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</row>
    <row r="170">
      <c r="A170" s="129"/>
      <c r="B170" s="129"/>
      <c r="C170" s="152">
        <v>45484.0</v>
      </c>
      <c r="D170" s="153"/>
      <c r="E170" s="153"/>
      <c r="F170" s="153"/>
      <c r="G170" s="133"/>
      <c r="H170" s="154"/>
      <c r="I170" s="152" t="s">
        <v>121</v>
      </c>
      <c r="J170" s="155">
        <v>120.0</v>
      </c>
      <c r="K170" s="129"/>
      <c r="L170" s="16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</row>
    <row r="171">
      <c r="A171" s="129"/>
      <c r="B171" s="129"/>
      <c r="C171" s="152">
        <v>45485.0</v>
      </c>
      <c r="D171" s="153"/>
      <c r="E171" s="153"/>
      <c r="F171" s="153"/>
      <c r="G171" s="133"/>
      <c r="H171" s="154"/>
      <c r="I171" s="152" t="s">
        <v>122</v>
      </c>
      <c r="J171" s="155">
        <v>150.0</v>
      </c>
      <c r="K171" s="129"/>
      <c r="L171" s="16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</row>
    <row r="172">
      <c r="A172" s="129"/>
      <c r="B172" s="129"/>
      <c r="C172" s="152">
        <v>45486.0</v>
      </c>
      <c r="D172" s="153"/>
      <c r="E172" s="153"/>
      <c r="F172" s="153"/>
      <c r="G172" s="133"/>
      <c r="H172" s="154"/>
      <c r="I172" s="152" t="s">
        <v>123</v>
      </c>
      <c r="J172" s="155">
        <v>50.0</v>
      </c>
      <c r="K172" s="129"/>
      <c r="L172" s="16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</row>
    <row r="173">
      <c r="A173" s="129"/>
      <c r="B173" s="129"/>
      <c r="C173" s="152">
        <v>45487.0</v>
      </c>
      <c r="D173" s="153"/>
      <c r="E173" s="153"/>
      <c r="F173" s="153"/>
      <c r="G173" s="133"/>
      <c r="H173" s="133"/>
      <c r="I173" s="133"/>
      <c r="J173" s="133"/>
      <c r="K173" s="129"/>
      <c r="L173" s="16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</row>
    <row r="174">
      <c r="A174" s="129"/>
      <c r="B174" s="129"/>
      <c r="C174" s="152">
        <v>45488.0</v>
      </c>
      <c r="D174" s="163"/>
      <c r="E174" s="153"/>
      <c r="F174" s="153"/>
      <c r="G174" s="133"/>
      <c r="H174" s="133"/>
      <c r="I174" s="133"/>
      <c r="J174" s="133"/>
      <c r="K174" s="129"/>
      <c r="L174" s="16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</row>
    <row r="175">
      <c r="A175" s="129"/>
      <c r="B175" s="129"/>
      <c r="C175" s="152">
        <v>45489.0</v>
      </c>
      <c r="D175" s="163"/>
      <c r="E175" s="153"/>
      <c r="F175" s="163"/>
      <c r="G175" s="133"/>
      <c r="H175" s="133"/>
      <c r="I175" s="133"/>
      <c r="J175" s="133"/>
      <c r="K175" s="129"/>
      <c r="L175" s="16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</row>
    <row r="176">
      <c r="A176" s="129"/>
      <c r="B176" s="129"/>
      <c r="C176" s="164" t="s">
        <v>124</v>
      </c>
      <c r="D176" s="165" t="str">
        <f t="shared" ref="D176:F176" si="23">AVERAGE(D169:D175)</f>
        <v>#DIV/0!</v>
      </c>
      <c r="E176" s="165" t="str">
        <f t="shared" si="23"/>
        <v>#DIV/0!</v>
      </c>
      <c r="F176" s="165" t="str">
        <f t="shared" si="23"/>
        <v>#DIV/0!</v>
      </c>
      <c r="G176" s="133"/>
      <c r="H176" s="133"/>
      <c r="I176" s="133"/>
      <c r="J176" s="133"/>
      <c r="K176" s="129"/>
      <c r="L176" s="16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</row>
    <row r="177">
      <c r="A177" s="129"/>
      <c r="B177" s="129"/>
      <c r="C177" s="134"/>
      <c r="D177" s="134"/>
      <c r="E177" s="134"/>
      <c r="F177" s="134"/>
      <c r="G177" s="133"/>
      <c r="H177" s="133"/>
      <c r="I177" s="133"/>
      <c r="J177" s="133"/>
      <c r="K177" s="129"/>
      <c r="L177" s="16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</row>
    <row r="178">
      <c r="A178" s="129"/>
      <c r="B178" s="129"/>
      <c r="C178" s="148" t="s">
        <v>125</v>
      </c>
      <c r="D178" s="38"/>
      <c r="E178" s="38"/>
      <c r="F178" s="38"/>
      <c r="G178" s="23"/>
      <c r="H178" s="167"/>
      <c r="I178" s="167"/>
      <c r="J178" s="167"/>
      <c r="K178" s="129"/>
      <c r="L178" s="16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</row>
    <row r="179">
      <c r="A179" s="129"/>
      <c r="B179" s="129"/>
      <c r="C179" s="152" t="s">
        <v>109</v>
      </c>
      <c r="D179" s="152" t="s">
        <v>110</v>
      </c>
      <c r="E179" s="152" t="s">
        <v>126</v>
      </c>
      <c r="F179" s="152" t="s">
        <v>112</v>
      </c>
      <c r="G179" s="152" t="s">
        <v>113</v>
      </c>
      <c r="H179" s="167"/>
      <c r="I179" s="167"/>
      <c r="J179" s="167"/>
      <c r="K179" s="129"/>
      <c r="L179" s="16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</row>
    <row r="180">
      <c r="A180" s="129"/>
      <c r="B180" s="129"/>
      <c r="C180" s="168"/>
      <c r="D180" s="168"/>
      <c r="E180" s="168"/>
      <c r="F180" s="168"/>
      <c r="G180" s="168"/>
      <c r="H180" s="167"/>
      <c r="I180" s="167"/>
      <c r="J180" s="167"/>
      <c r="K180" s="129"/>
      <c r="L180" s="16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</row>
    <row r="181">
      <c r="A181" s="129"/>
      <c r="B181" s="129"/>
      <c r="C181" s="129"/>
      <c r="D181" s="129"/>
      <c r="E181" s="129"/>
      <c r="F181" s="129"/>
      <c r="G181" s="129"/>
      <c r="H181" s="167"/>
      <c r="I181" s="167"/>
      <c r="J181" s="167"/>
      <c r="K181" s="129"/>
      <c r="L181" s="16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</row>
    <row r="182">
      <c r="A182" s="129"/>
      <c r="B182" s="129"/>
      <c r="C182" s="129"/>
      <c r="D182" s="129"/>
      <c r="E182" s="129"/>
      <c r="F182" s="129"/>
      <c r="G182" s="129"/>
      <c r="H182" s="167"/>
      <c r="I182" s="167"/>
      <c r="J182" s="167"/>
      <c r="K182" s="129"/>
      <c r="L182" s="16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</row>
    <row r="183" ht="30.0" customHeight="1">
      <c r="A183" s="129"/>
      <c r="B183" s="129"/>
      <c r="C183" s="134"/>
      <c r="D183" s="172" t="s">
        <v>137</v>
      </c>
      <c r="E183" s="23"/>
      <c r="F183" s="134"/>
      <c r="G183" s="133"/>
      <c r="H183" s="133"/>
      <c r="I183" s="133"/>
      <c r="J183" s="133"/>
      <c r="K183" s="129"/>
      <c r="L183" s="16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</row>
    <row r="184">
      <c r="A184" s="129"/>
      <c r="B184" s="129"/>
      <c r="C184" s="145" t="s">
        <v>114</v>
      </c>
      <c r="D184" s="145" t="s">
        <v>115</v>
      </c>
      <c r="E184" s="145" t="s">
        <v>116</v>
      </c>
      <c r="F184" s="145" t="s">
        <v>117</v>
      </c>
      <c r="G184" s="133"/>
      <c r="H184" s="147"/>
      <c r="I184" s="148" t="s">
        <v>118</v>
      </c>
      <c r="J184" s="23"/>
      <c r="K184" s="129"/>
      <c r="L184" s="16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</row>
    <row r="185">
      <c r="A185" s="129"/>
      <c r="B185" s="129"/>
      <c r="C185" s="152">
        <v>45483.0</v>
      </c>
      <c r="D185" s="153"/>
      <c r="E185" s="153"/>
      <c r="F185" s="153"/>
      <c r="G185" s="133"/>
      <c r="H185" s="154"/>
      <c r="I185" s="152" t="s">
        <v>120</v>
      </c>
      <c r="J185" s="155">
        <v>1530.0</v>
      </c>
      <c r="K185" s="129"/>
      <c r="L185" s="16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</row>
    <row r="186">
      <c r="A186" s="129"/>
      <c r="B186" s="129"/>
      <c r="C186" s="152">
        <v>45484.0</v>
      </c>
      <c r="D186" s="153"/>
      <c r="E186" s="153"/>
      <c r="F186" s="153"/>
      <c r="G186" s="133"/>
      <c r="H186" s="154"/>
      <c r="I186" s="152" t="s">
        <v>121</v>
      </c>
      <c r="J186" s="155">
        <v>120.0</v>
      </c>
      <c r="K186" s="129"/>
      <c r="L186" s="16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</row>
    <row r="187">
      <c r="A187" s="129"/>
      <c r="B187" s="129"/>
      <c r="C187" s="152">
        <v>45485.0</v>
      </c>
      <c r="D187" s="153"/>
      <c r="E187" s="153"/>
      <c r="F187" s="153"/>
      <c r="G187" s="133"/>
      <c r="H187" s="154"/>
      <c r="I187" s="152" t="s">
        <v>122</v>
      </c>
      <c r="J187" s="155">
        <v>150.0</v>
      </c>
      <c r="K187" s="129"/>
      <c r="L187" s="16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</row>
    <row r="188">
      <c r="A188" s="129"/>
      <c r="B188" s="129"/>
      <c r="C188" s="152">
        <v>45486.0</v>
      </c>
      <c r="D188" s="153"/>
      <c r="E188" s="153"/>
      <c r="F188" s="153"/>
      <c r="G188" s="133"/>
      <c r="H188" s="154"/>
      <c r="I188" s="152" t="s">
        <v>123</v>
      </c>
      <c r="J188" s="155">
        <v>50.0</v>
      </c>
      <c r="K188" s="129"/>
      <c r="L188" s="16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</row>
    <row r="189">
      <c r="A189" s="129"/>
      <c r="B189" s="129"/>
      <c r="C189" s="152">
        <v>45487.0</v>
      </c>
      <c r="D189" s="153"/>
      <c r="E189" s="153"/>
      <c r="F189" s="153"/>
      <c r="G189" s="133"/>
      <c r="H189" s="133"/>
      <c r="I189" s="133"/>
      <c r="J189" s="133"/>
      <c r="K189" s="129"/>
      <c r="L189" s="16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</row>
    <row r="190">
      <c r="A190" s="129"/>
      <c r="B190" s="129"/>
      <c r="C190" s="152">
        <v>45488.0</v>
      </c>
      <c r="D190" s="163"/>
      <c r="E190" s="153"/>
      <c r="F190" s="153"/>
      <c r="G190" s="133"/>
      <c r="H190" s="133"/>
      <c r="I190" s="133"/>
      <c r="J190" s="133"/>
      <c r="K190" s="129"/>
      <c r="L190" s="16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</row>
    <row r="191">
      <c r="A191" s="129"/>
      <c r="B191" s="129"/>
      <c r="C191" s="152">
        <v>45489.0</v>
      </c>
      <c r="D191" s="163"/>
      <c r="E191" s="153"/>
      <c r="F191" s="163"/>
      <c r="G191" s="133"/>
      <c r="H191" s="133"/>
      <c r="I191" s="133"/>
      <c r="J191" s="133"/>
      <c r="K191" s="129"/>
      <c r="L191" s="16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</row>
    <row r="192">
      <c r="A192" s="129"/>
      <c r="B192" s="129"/>
      <c r="C192" s="164" t="s">
        <v>124</v>
      </c>
      <c r="D192" s="165" t="str">
        <f t="shared" ref="D192:F192" si="24">AVERAGE(D185:D191)</f>
        <v>#DIV/0!</v>
      </c>
      <c r="E192" s="165" t="str">
        <f t="shared" si="24"/>
        <v>#DIV/0!</v>
      </c>
      <c r="F192" s="165" t="str">
        <f t="shared" si="24"/>
        <v>#DIV/0!</v>
      </c>
      <c r="G192" s="133"/>
      <c r="H192" s="133"/>
      <c r="I192" s="133"/>
      <c r="J192" s="133"/>
      <c r="K192" s="129"/>
      <c r="L192" s="16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</row>
    <row r="193">
      <c r="A193" s="129"/>
      <c r="B193" s="129"/>
      <c r="C193" s="134"/>
      <c r="D193" s="134"/>
      <c r="E193" s="134"/>
      <c r="F193" s="134"/>
      <c r="G193" s="133"/>
      <c r="H193" s="133"/>
      <c r="I193" s="133"/>
      <c r="J193" s="133"/>
      <c r="K193" s="129"/>
      <c r="L193" s="16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</row>
    <row r="194">
      <c r="A194" s="129"/>
      <c r="B194" s="129"/>
      <c r="C194" s="148" t="s">
        <v>125</v>
      </c>
      <c r="D194" s="38"/>
      <c r="E194" s="38"/>
      <c r="F194" s="38"/>
      <c r="G194" s="23"/>
      <c r="H194" s="167"/>
      <c r="I194" s="167"/>
      <c r="J194" s="167"/>
      <c r="K194" s="129"/>
      <c r="L194" s="16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</row>
    <row r="195">
      <c r="A195" s="129"/>
      <c r="B195" s="129"/>
      <c r="C195" s="152" t="s">
        <v>109</v>
      </c>
      <c r="D195" s="152" t="s">
        <v>110</v>
      </c>
      <c r="E195" s="152" t="s">
        <v>126</v>
      </c>
      <c r="F195" s="152" t="s">
        <v>112</v>
      </c>
      <c r="G195" s="152" t="s">
        <v>113</v>
      </c>
      <c r="H195" s="167"/>
      <c r="I195" s="167"/>
      <c r="J195" s="167"/>
      <c r="K195" s="129"/>
      <c r="L195" s="16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</row>
    <row r="196">
      <c r="A196" s="129"/>
      <c r="B196" s="129"/>
      <c r="C196" s="168"/>
      <c r="D196" s="168"/>
      <c r="E196" s="168"/>
      <c r="F196" s="168"/>
      <c r="G196" s="168"/>
      <c r="H196" s="167"/>
      <c r="I196" s="167"/>
      <c r="J196" s="167"/>
      <c r="K196" s="129"/>
      <c r="L196" s="16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</row>
    <row r="197">
      <c r="A197" s="129"/>
      <c r="B197" s="129"/>
      <c r="C197" s="129"/>
      <c r="D197" s="129"/>
      <c r="E197" s="129"/>
      <c r="F197" s="129"/>
      <c r="G197" s="129"/>
      <c r="H197" s="167"/>
      <c r="I197" s="167"/>
      <c r="J197" s="167"/>
      <c r="K197" s="129"/>
      <c r="L197" s="16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</row>
    <row r="198">
      <c r="A198" s="129"/>
      <c r="B198" s="129"/>
      <c r="C198" s="129"/>
      <c r="D198" s="129"/>
      <c r="E198" s="129"/>
      <c r="F198" s="129"/>
      <c r="G198" s="129"/>
      <c r="H198" s="167"/>
      <c r="I198" s="167"/>
      <c r="J198" s="167"/>
      <c r="K198" s="129"/>
      <c r="L198" s="16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</row>
    <row r="199" ht="25.5" customHeight="1">
      <c r="A199" s="129"/>
      <c r="B199" s="129"/>
      <c r="C199" s="134"/>
      <c r="D199" s="172" t="s">
        <v>138</v>
      </c>
      <c r="E199" s="23"/>
      <c r="F199" s="134"/>
      <c r="G199" s="133"/>
      <c r="H199" s="133"/>
      <c r="I199" s="133"/>
      <c r="J199" s="133"/>
      <c r="K199" s="129"/>
      <c r="L199" s="16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</row>
    <row r="200">
      <c r="A200" s="129"/>
      <c r="B200" s="129"/>
      <c r="C200" s="145" t="s">
        <v>114</v>
      </c>
      <c r="D200" s="145" t="s">
        <v>115</v>
      </c>
      <c r="E200" s="145" t="s">
        <v>116</v>
      </c>
      <c r="F200" s="145" t="s">
        <v>117</v>
      </c>
      <c r="G200" s="133"/>
      <c r="H200" s="147"/>
      <c r="I200" s="148" t="s">
        <v>118</v>
      </c>
      <c r="J200" s="23"/>
      <c r="K200" s="129"/>
      <c r="L200" s="16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</row>
    <row r="201">
      <c r="A201" s="129"/>
      <c r="B201" s="129"/>
      <c r="C201" s="152">
        <v>45483.0</v>
      </c>
      <c r="D201" s="153"/>
      <c r="E201" s="153"/>
      <c r="F201" s="153"/>
      <c r="G201" s="133"/>
      <c r="H201" s="154"/>
      <c r="I201" s="152" t="s">
        <v>120</v>
      </c>
      <c r="J201" s="155">
        <v>1530.0</v>
      </c>
      <c r="K201" s="129"/>
      <c r="L201" s="16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</row>
    <row r="202">
      <c r="A202" s="129"/>
      <c r="B202" s="129"/>
      <c r="C202" s="152">
        <v>45484.0</v>
      </c>
      <c r="D202" s="153"/>
      <c r="E202" s="153"/>
      <c r="F202" s="153"/>
      <c r="G202" s="133"/>
      <c r="H202" s="154"/>
      <c r="I202" s="152" t="s">
        <v>121</v>
      </c>
      <c r="J202" s="155">
        <v>120.0</v>
      </c>
      <c r="K202" s="129"/>
      <c r="L202" s="16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</row>
    <row r="203">
      <c r="A203" s="129"/>
      <c r="B203" s="129"/>
      <c r="C203" s="152">
        <v>45485.0</v>
      </c>
      <c r="D203" s="153"/>
      <c r="E203" s="153"/>
      <c r="F203" s="153"/>
      <c r="G203" s="133"/>
      <c r="H203" s="154"/>
      <c r="I203" s="152" t="s">
        <v>122</v>
      </c>
      <c r="J203" s="155">
        <v>150.0</v>
      </c>
      <c r="K203" s="129"/>
      <c r="L203" s="16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</row>
    <row r="204">
      <c r="A204" s="129"/>
      <c r="B204" s="129"/>
      <c r="C204" s="152">
        <v>45486.0</v>
      </c>
      <c r="D204" s="153"/>
      <c r="E204" s="153"/>
      <c r="F204" s="153"/>
      <c r="G204" s="133"/>
      <c r="H204" s="154"/>
      <c r="I204" s="152" t="s">
        <v>123</v>
      </c>
      <c r="J204" s="155">
        <v>50.0</v>
      </c>
      <c r="K204" s="129"/>
      <c r="L204" s="16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</row>
    <row r="205">
      <c r="A205" s="129"/>
      <c r="B205" s="129"/>
      <c r="C205" s="152">
        <v>45487.0</v>
      </c>
      <c r="D205" s="153"/>
      <c r="E205" s="153"/>
      <c r="F205" s="153"/>
      <c r="G205" s="133"/>
      <c r="H205" s="133"/>
      <c r="I205" s="133"/>
      <c r="J205" s="133"/>
      <c r="K205" s="129"/>
      <c r="L205" s="16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</row>
    <row r="206">
      <c r="A206" s="129"/>
      <c r="B206" s="129"/>
      <c r="C206" s="152">
        <v>45488.0</v>
      </c>
      <c r="D206" s="163"/>
      <c r="E206" s="153"/>
      <c r="F206" s="153"/>
      <c r="G206" s="133"/>
      <c r="H206" s="133"/>
      <c r="I206" s="133"/>
      <c r="J206" s="133"/>
      <c r="K206" s="129"/>
      <c r="L206" s="16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</row>
    <row r="207">
      <c r="A207" s="129"/>
      <c r="B207" s="129"/>
      <c r="C207" s="152">
        <v>45489.0</v>
      </c>
      <c r="D207" s="163"/>
      <c r="E207" s="153"/>
      <c r="F207" s="163"/>
      <c r="G207" s="133"/>
      <c r="H207" s="133"/>
      <c r="I207" s="133"/>
      <c r="J207" s="133"/>
      <c r="K207" s="129"/>
      <c r="L207" s="16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</row>
    <row r="208">
      <c r="A208" s="129"/>
      <c r="B208" s="129"/>
      <c r="C208" s="164" t="s">
        <v>124</v>
      </c>
      <c r="D208" s="165" t="str">
        <f t="shared" ref="D208:F208" si="25">AVERAGE(D201:D207)</f>
        <v>#DIV/0!</v>
      </c>
      <c r="E208" s="165" t="str">
        <f t="shared" si="25"/>
        <v>#DIV/0!</v>
      </c>
      <c r="F208" s="165" t="str">
        <f t="shared" si="25"/>
        <v>#DIV/0!</v>
      </c>
      <c r="G208" s="133"/>
      <c r="H208" s="133"/>
      <c r="I208" s="133"/>
      <c r="J208" s="133"/>
      <c r="K208" s="129"/>
      <c r="L208" s="16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</row>
    <row r="209">
      <c r="A209" s="129"/>
      <c r="B209" s="129"/>
      <c r="C209" s="134"/>
      <c r="D209" s="134"/>
      <c r="E209" s="134"/>
      <c r="F209" s="134"/>
      <c r="G209" s="133"/>
      <c r="H209" s="133"/>
      <c r="I209" s="133"/>
      <c r="J209" s="133"/>
      <c r="K209" s="129"/>
      <c r="L209" s="16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</row>
    <row r="210">
      <c r="A210" s="129"/>
      <c r="B210" s="129"/>
      <c r="C210" s="148" t="s">
        <v>125</v>
      </c>
      <c r="D210" s="38"/>
      <c r="E210" s="38"/>
      <c r="F210" s="38"/>
      <c r="G210" s="23"/>
      <c r="H210" s="167"/>
      <c r="I210" s="167"/>
      <c r="J210" s="167"/>
      <c r="K210" s="129"/>
      <c r="L210" s="16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</row>
    <row r="211">
      <c r="A211" s="129"/>
      <c r="B211" s="129"/>
      <c r="C211" s="152" t="s">
        <v>109</v>
      </c>
      <c r="D211" s="152" t="s">
        <v>110</v>
      </c>
      <c r="E211" s="152" t="s">
        <v>126</v>
      </c>
      <c r="F211" s="152" t="s">
        <v>112</v>
      </c>
      <c r="G211" s="152" t="s">
        <v>113</v>
      </c>
      <c r="H211" s="167"/>
      <c r="I211" s="167"/>
      <c r="J211" s="167"/>
      <c r="K211" s="129"/>
      <c r="L211" s="16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</row>
    <row r="212">
      <c r="A212" s="129"/>
      <c r="B212" s="129"/>
      <c r="C212" s="168"/>
      <c r="D212" s="168"/>
      <c r="E212" s="168"/>
      <c r="F212" s="168"/>
      <c r="G212" s="168"/>
      <c r="H212" s="167"/>
      <c r="I212" s="167"/>
      <c r="J212" s="167"/>
      <c r="K212" s="129"/>
      <c r="L212" s="16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</row>
    <row r="213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6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</row>
    <row r="214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6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</row>
    <row r="215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6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</row>
    <row r="216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6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</row>
    <row r="217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6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</row>
    <row r="218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6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</row>
    <row r="219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6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</row>
    <row r="220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6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</row>
    <row r="22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6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</row>
    <row r="222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6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</row>
    <row r="223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6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</row>
    <row r="224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6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</row>
    <row r="225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6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</row>
    <row r="226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6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</row>
    <row r="227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6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</row>
    <row r="228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6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</row>
    <row r="229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6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</row>
    <row r="230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6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</row>
    <row r="23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6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</row>
    <row r="232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6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</row>
    <row r="233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6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</row>
    <row r="234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6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</row>
    <row r="235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6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</row>
    <row r="236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6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</row>
    <row r="237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6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</row>
    <row r="238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6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</row>
    <row r="239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6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</row>
    <row r="240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6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</row>
    <row r="24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6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</row>
    <row r="242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6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</row>
    <row r="243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6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</row>
    <row r="244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6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</row>
    <row r="245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6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</row>
    <row r="246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6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</row>
    <row r="247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6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</row>
    <row r="248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6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</row>
    <row r="249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6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</row>
    <row r="250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6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</row>
    <row r="25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6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</row>
    <row r="252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6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</row>
    <row r="253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6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</row>
    <row r="254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6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</row>
    <row r="255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6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</row>
    <row r="256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6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</row>
    <row r="257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6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</row>
    <row r="258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6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</row>
    <row r="259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6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</row>
    <row r="260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6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</row>
    <row r="26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6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</row>
    <row r="262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6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</row>
    <row r="263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6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</row>
    <row r="264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6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</row>
    <row r="265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</row>
    <row r="266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6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</row>
    <row r="267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6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</row>
    <row r="268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6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</row>
    <row r="269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6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</row>
    <row r="270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6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</row>
    <row r="27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6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</row>
    <row r="272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6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</row>
    <row r="273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6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</row>
    <row r="274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6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</row>
    <row r="275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6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</row>
    <row r="276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6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</row>
    <row r="277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6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</row>
    <row r="278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6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</row>
    <row r="279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6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</row>
    <row r="280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6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</row>
    <row r="28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6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</row>
    <row r="282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6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</row>
    <row r="283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6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</row>
    <row r="284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6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</row>
    <row r="285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6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</row>
    <row r="286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6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</row>
    <row r="287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6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</row>
    <row r="288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6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</row>
    <row r="289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6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</row>
    <row r="290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6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</row>
    <row r="29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6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</row>
    <row r="292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6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</row>
    <row r="293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6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</row>
    <row r="294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6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</row>
    <row r="295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6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</row>
    <row r="296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6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</row>
    <row r="297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6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</row>
    <row r="298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6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</row>
    <row r="299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6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</row>
    <row r="300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6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</row>
    <row r="30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6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</row>
    <row r="302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6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</row>
    <row r="303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6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</row>
    <row r="304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6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</row>
    <row r="305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6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</row>
    <row r="306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6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</row>
    <row r="307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6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</row>
    <row r="308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6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</row>
    <row r="309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6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</row>
    <row r="310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6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</row>
    <row r="31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6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</row>
    <row r="312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6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</row>
    <row r="313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6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</row>
    <row r="314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6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</row>
    <row r="315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6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</row>
    <row r="316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6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</row>
    <row r="317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6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</row>
    <row r="318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6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</row>
    <row r="319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6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</row>
    <row r="320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6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</row>
    <row r="32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6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</row>
    <row r="322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6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</row>
    <row r="323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6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</row>
    <row r="324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6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</row>
    <row r="325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6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</row>
    <row r="326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6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</row>
    <row r="327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6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</row>
    <row r="328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6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</row>
    <row r="329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6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</row>
    <row r="330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6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</row>
    <row r="33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6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</row>
    <row r="332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6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</row>
    <row r="333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6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</row>
    <row r="334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6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</row>
    <row r="335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6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</row>
    <row r="336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6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</row>
    <row r="337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6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</row>
    <row r="338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6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</row>
    <row r="339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6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</row>
    <row r="340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6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</row>
    <row r="34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6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</row>
    <row r="342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6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</row>
    <row r="343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6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</row>
    <row r="344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6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</row>
    <row r="345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6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</row>
    <row r="346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6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</row>
    <row r="347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6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</row>
    <row r="348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6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</row>
    <row r="349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6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</row>
    <row r="350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6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</row>
    <row r="35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6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</row>
    <row r="352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6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</row>
    <row r="353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6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</row>
    <row r="354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6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</row>
    <row r="355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6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</row>
    <row r="356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6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</row>
    <row r="357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6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</row>
    <row r="358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6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</row>
    <row r="359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6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</row>
    <row r="360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6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</row>
    <row r="36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6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</row>
    <row r="362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6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</row>
    <row r="363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6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</row>
    <row r="364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6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</row>
    <row r="365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6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</row>
    <row r="366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6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</row>
    <row r="367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6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</row>
    <row r="368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6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</row>
    <row r="369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6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</row>
    <row r="370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6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</row>
    <row r="37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6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</row>
    <row r="372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6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</row>
    <row r="373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6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</row>
    <row r="374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6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</row>
    <row r="375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6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</row>
    <row r="376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6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</row>
    <row r="377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6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</row>
    <row r="378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6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</row>
    <row r="379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6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</row>
    <row r="380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6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</row>
    <row r="38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6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</row>
    <row r="382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6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</row>
    <row r="383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6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</row>
    <row r="384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6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</row>
    <row r="385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6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</row>
    <row r="386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6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</row>
    <row r="387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6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</row>
    <row r="388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6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</row>
    <row r="389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6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</row>
    <row r="390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6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</row>
    <row r="39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6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</row>
    <row r="392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6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</row>
    <row r="393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6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</row>
    <row r="394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6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</row>
    <row r="395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6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</row>
    <row r="396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6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</row>
    <row r="397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6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</row>
    <row r="398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6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</row>
    <row r="399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6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</row>
    <row r="400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6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</row>
    <row r="40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6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</row>
    <row r="402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6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</row>
    <row r="403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6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</row>
    <row r="404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6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</row>
    <row r="405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6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</row>
    <row r="406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6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</row>
    <row r="407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6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</row>
    <row r="408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6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</row>
    <row r="409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6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</row>
    <row r="410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6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</row>
    <row r="41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6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</row>
    <row r="412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6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</row>
    <row r="413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6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</row>
    <row r="414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6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</row>
    <row r="415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6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</row>
    <row r="416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6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</row>
    <row r="417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6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</row>
    <row r="418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6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</row>
    <row r="419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6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</row>
    <row r="420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6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</row>
    <row r="42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6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</row>
    <row r="422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6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</row>
    <row r="423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6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</row>
    <row r="424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6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</row>
    <row r="425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6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</row>
    <row r="426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6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</row>
    <row r="427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6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</row>
    <row r="428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6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</row>
    <row r="429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6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</row>
    <row r="430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6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</row>
    <row r="43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6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</row>
    <row r="432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6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</row>
    <row r="433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6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</row>
    <row r="434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6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</row>
    <row r="435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6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</row>
    <row r="436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6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</row>
    <row r="437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6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</row>
    <row r="438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6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</row>
    <row r="439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6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</row>
    <row r="440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6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</row>
    <row r="44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6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</row>
    <row r="442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6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</row>
    <row r="443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6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</row>
    <row r="444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6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</row>
    <row r="445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6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</row>
    <row r="446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6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</row>
    <row r="447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6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</row>
    <row r="448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6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</row>
    <row r="449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6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</row>
    <row r="450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6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</row>
    <row r="45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6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</row>
    <row r="452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6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</row>
    <row r="453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6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</row>
    <row r="454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6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</row>
    <row r="455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6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</row>
    <row r="456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6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</row>
    <row r="457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6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</row>
    <row r="458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6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</row>
    <row r="459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6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</row>
    <row r="460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6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</row>
    <row r="46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6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</row>
    <row r="462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6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</row>
    <row r="463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6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</row>
    <row r="464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6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</row>
    <row r="465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6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</row>
    <row r="466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6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</row>
    <row r="467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6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</row>
    <row r="468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6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</row>
    <row r="469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6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</row>
    <row r="470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6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</row>
    <row r="47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6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</row>
    <row r="472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6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</row>
    <row r="473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6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</row>
    <row r="474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6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</row>
    <row r="475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6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</row>
    <row r="476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6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</row>
    <row r="477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6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</row>
    <row r="478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6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</row>
    <row r="479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6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</row>
    <row r="480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6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</row>
    <row r="48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6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</row>
    <row r="482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6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</row>
    <row r="483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6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</row>
    <row r="484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6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</row>
    <row r="485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6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</row>
    <row r="486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6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</row>
    <row r="487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6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</row>
    <row r="488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6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</row>
    <row r="489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6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</row>
    <row r="490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6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</row>
    <row r="49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6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</row>
    <row r="492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6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</row>
    <row r="493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6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</row>
    <row r="494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6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</row>
    <row r="495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6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</row>
    <row r="496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6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</row>
    <row r="497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6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</row>
    <row r="498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6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</row>
    <row r="499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6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</row>
    <row r="500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6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</row>
    <row r="50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6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</row>
    <row r="502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6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</row>
    <row r="503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6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</row>
    <row r="504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6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</row>
    <row r="505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6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</row>
    <row r="506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6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</row>
    <row r="507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6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</row>
    <row r="508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6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</row>
    <row r="509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6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</row>
    <row r="510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6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</row>
    <row r="51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6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</row>
    <row r="512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6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</row>
    <row r="513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6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</row>
    <row r="514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6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</row>
    <row r="515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6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</row>
    <row r="516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6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</row>
    <row r="517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6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</row>
    <row r="518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6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</row>
    <row r="519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6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</row>
    <row r="520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6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</row>
    <row r="52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6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</row>
    <row r="522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6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</row>
    <row r="523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6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</row>
    <row r="524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6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</row>
    <row r="525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6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</row>
    <row r="526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6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</row>
    <row r="527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6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</row>
    <row r="528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6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</row>
    <row r="529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6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</row>
    <row r="530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6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</row>
    <row r="53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6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</row>
    <row r="532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6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</row>
    <row r="533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6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</row>
    <row r="534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6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</row>
    <row r="535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6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</row>
    <row r="536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6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</row>
    <row r="537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6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</row>
    <row r="538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6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</row>
    <row r="539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6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</row>
    <row r="540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6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</row>
    <row r="54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6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</row>
    <row r="542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6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</row>
    <row r="543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6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</row>
    <row r="544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6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</row>
    <row r="545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6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</row>
    <row r="546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6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</row>
    <row r="547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6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</row>
    <row r="548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6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</row>
    <row r="549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6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</row>
    <row r="550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6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</row>
    <row r="55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6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</row>
    <row r="552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6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</row>
    <row r="553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6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</row>
    <row r="554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6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</row>
    <row r="555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6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</row>
    <row r="556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6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</row>
    <row r="557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6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</row>
    <row r="558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6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</row>
    <row r="559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6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</row>
    <row r="560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6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</row>
    <row r="56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6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</row>
    <row r="562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6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</row>
    <row r="563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6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</row>
    <row r="564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6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</row>
    <row r="565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6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</row>
    <row r="566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6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</row>
    <row r="567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6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</row>
    <row r="568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6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</row>
    <row r="569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6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</row>
    <row r="570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6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</row>
    <row r="57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6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</row>
    <row r="572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6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</row>
    <row r="573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6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</row>
    <row r="574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6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</row>
    <row r="575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6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</row>
    <row r="576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6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</row>
    <row r="577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6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</row>
    <row r="578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6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</row>
    <row r="579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6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</row>
    <row r="580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6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</row>
    <row r="58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6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</row>
    <row r="582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6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</row>
    <row r="583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6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</row>
    <row r="584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6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</row>
    <row r="585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6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</row>
    <row r="586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6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</row>
    <row r="587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6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</row>
    <row r="588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6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</row>
    <row r="589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6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</row>
    <row r="590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6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</row>
    <row r="59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6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</row>
    <row r="592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6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</row>
    <row r="593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6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</row>
    <row r="594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6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</row>
    <row r="595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6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</row>
    <row r="596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6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</row>
    <row r="597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6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</row>
    <row r="598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6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</row>
    <row r="599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6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</row>
    <row r="600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6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</row>
    <row r="60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6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</row>
    <row r="602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6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</row>
    <row r="603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6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</row>
    <row r="604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6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</row>
    <row r="605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6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</row>
    <row r="606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6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</row>
    <row r="607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6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</row>
    <row r="608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6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</row>
    <row r="609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6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</row>
    <row r="610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6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</row>
    <row r="61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6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</row>
    <row r="612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6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</row>
    <row r="613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6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</row>
    <row r="614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6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</row>
    <row r="615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6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</row>
    <row r="616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6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</row>
    <row r="617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6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</row>
    <row r="618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6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</row>
    <row r="619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6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</row>
    <row r="620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6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</row>
    <row r="62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6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</row>
    <row r="622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6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</row>
    <row r="623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6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</row>
    <row r="624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6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</row>
    <row r="625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6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</row>
    <row r="626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6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</row>
    <row r="627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6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</row>
    <row r="628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6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</row>
    <row r="629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6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</row>
    <row r="630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6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</row>
    <row r="63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6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</row>
    <row r="632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6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</row>
    <row r="633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6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</row>
    <row r="634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6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</row>
    <row r="635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6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</row>
    <row r="636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6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</row>
    <row r="637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6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</row>
    <row r="638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6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</row>
    <row r="639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6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</row>
    <row r="640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6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</row>
    <row r="64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6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</row>
    <row r="642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6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</row>
    <row r="643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6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</row>
    <row r="644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6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</row>
    <row r="645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6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</row>
    <row r="646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6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</row>
    <row r="647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6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</row>
    <row r="648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6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</row>
    <row r="649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6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</row>
    <row r="650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6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</row>
    <row r="65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6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</row>
    <row r="652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6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</row>
    <row r="653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6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</row>
    <row r="654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6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</row>
    <row r="655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6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</row>
    <row r="656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6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</row>
    <row r="657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6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</row>
    <row r="658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6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</row>
    <row r="659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6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</row>
    <row r="660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6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</row>
    <row r="66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6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</row>
    <row r="662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6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</row>
    <row r="663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6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</row>
    <row r="664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6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</row>
    <row r="665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6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</row>
    <row r="666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6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</row>
    <row r="667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6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</row>
    <row r="668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6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</row>
    <row r="669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6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</row>
    <row r="670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6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</row>
    <row r="67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6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</row>
    <row r="672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6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</row>
    <row r="673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6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</row>
    <row r="674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6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</row>
    <row r="675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6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</row>
    <row r="676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6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</row>
    <row r="677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6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</row>
    <row r="678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6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</row>
    <row r="679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6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</row>
    <row r="680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6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</row>
    <row r="68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6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</row>
    <row r="682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6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</row>
    <row r="683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6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</row>
    <row r="684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6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</row>
    <row r="685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6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</row>
    <row r="686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6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</row>
    <row r="687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6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</row>
    <row r="688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6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</row>
    <row r="689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6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</row>
    <row r="690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6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</row>
    <row r="69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6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</row>
    <row r="692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6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</row>
    <row r="693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6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</row>
    <row r="694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6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</row>
    <row r="695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6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</row>
    <row r="696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6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</row>
    <row r="697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6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</row>
    <row r="698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6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</row>
    <row r="699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6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</row>
    <row r="700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6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</row>
    <row r="70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6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</row>
    <row r="702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6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</row>
    <row r="703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6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</row>
    <row r="704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6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</row>
    <row r="705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6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</row>
    <row r="706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6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</row>
    <row r="707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6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</row>
    <row r="708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6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</row>
    <row r="709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6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</row>
    <row r="710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6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</row>
    <row r="71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6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</row>
    <row r="712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6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</row>
    <row r="713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6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</row>
    <row r="714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6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</row>
    <row r="715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6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</row>
    <row r="716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6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</row>
    <row r="717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6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</row>
    <row r="718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6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</row>
    <row r="719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6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</row>
    <row r="720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6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</row>
    <row r="72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6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</row>
    <row r="722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6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</row>
    <row r="723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6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</row>
    <row r="724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6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</row>
    <row r="725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6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</row>
    <row r="726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6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</row>
    <row r="727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6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</row>
    <row r="728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6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</row>
    <row r="729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6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</row>
    <row r="730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6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</row>
    <row r="73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6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</row>
    <row r="732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6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</row>
    <row r="733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6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</row>
    <row r="734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6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</row>
    <row r="735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6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</row>
    <row r="736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6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</row>
    <row r="737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6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</row>
    <row r="738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6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</row>
    <row r="739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6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</row>
    <row r="740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6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</row>
    <row r="74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6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</row>
    <row r="742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6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</row>
    <row r="743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6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</row>
    <row r="744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6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</row>
    <row r="745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6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</row>
    <row r="746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6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</row>
    <row r="747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6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</row>
    <row r="748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6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</row>
    <row r="749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6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</row>
    <row r="750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6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</row>
    <row r="75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6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</row>
    <row r="752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6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</row>
    <row r="753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6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</row>
    <row r="754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6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</row>
    <row r="755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6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</row>
    <row r="756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6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</row>
    <row r="757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6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</row>
    <row r="758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6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</row>
    <row r="759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6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</row>
    <row r="760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6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</row>
    <row r="76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6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</row>
    <row r="762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6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</row>
    <row r="763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6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</row>
    <row r="764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6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</row>
    <row r="765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6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</row>
    <row r="766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6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</row>
    <row r="767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6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</row>
    <row r="768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6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</row>
    <row r="769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6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</row>
    <row r="770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6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</row>
    <row r="77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6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</row>
    <row r="772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6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</row>
    <row r="773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6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</row>
    <row r="774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6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</row>
    <row r="775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6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</row>
    <row r="776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6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</row>
    <row r="777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6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</row>
    <row r="778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6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</row>
    <row r="779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6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</row>
    <row r="780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6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</row>
    <row r="78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6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</row>
    <row r="782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6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</row>
    <row r="783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6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</row>
    <row r="784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6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</row>
    <row r="785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6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</row>
    <row r="786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6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</row>
    <row r="787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6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</row>
    <row r="788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6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</row>
    <row r="789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6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</row>
    <row r="790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6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</row>
    <row r="79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6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</row>
    <row r="792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6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</row>
    <row r="793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6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</row>
    <row r="794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6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</row>
    <row r="795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6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</row>
    <row r="796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6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</row>
    <row r="797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6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</row>
    <row r="798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6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</row>
    <row r="799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6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</row>
    <row r="800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6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</row>
    <row r="80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6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</row>
    <row r="802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6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</row>
    <row r="803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6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</row>
    <row r="804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6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</row>
    <row r="805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6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</row>
    <row r="806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6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</row>
    <row r="807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6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</row>
    <row r="808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6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</row>
    <row r="809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6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</row>
    <row r="810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6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</row>
    <row r="81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6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</row>
    <row r="812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6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</row>
    <row r="813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6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</row>
    <row r="814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6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</row>
    <row r="815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6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</row>
    <row r="816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6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</row>
    <row r="817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6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</row>
    <row r="818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6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</row>
    <row r="819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6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</row>
    <row r="820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6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</row>
    <row r="82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6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</row>
    <row r="822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6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</row>
    <row r="823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6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</row>
    <row r="824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6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</row>
    <row r="825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6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</row>
    <row r="826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6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</row>
    <row r="827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6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</row>
    <row r="828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6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</row>
    <row r="829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6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</row>
    <row r="830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6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</row>
    <row r="83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6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</row>
    <row r="832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6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</row>
    <row r="833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6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</row>
    <row r="834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6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</row>
    <row r="835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6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</row>
    <row r="836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6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</row>
    <row r="837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6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</row>
    <row r="838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6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</row>
    <row r="839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6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</row>
    <row r="840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6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</row>
    <row r="84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6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</row>
    <row r="842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6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</row>
    <row r="843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6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</row>
    <row r="844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6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</row>
    <row r="845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6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</row>
    <row r="846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6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</row>
    <row r="847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6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</row>
    <row r="848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6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</row>
    <row r="849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6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</row>
    <row r="850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6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</row>
    <row r="85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6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</row>
    <row r="852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6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</row>
    <row r="853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6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</row>
    <row r="854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6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</row>
    <row r="855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6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</row>
    <row r="856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6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</row>
    <row r="857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6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</row>
    <row r="858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6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</row>
    <row r="859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6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</row>
    <row r="860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6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</row>
    <row r="86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6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</row>
    <row r="862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6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</row>
    <row r="863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6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</row>
    <row r="864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6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</row>
    <row r="865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6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</row>
    <row r="866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6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</row>
    <row r="867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6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</row>
    <row r="868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6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</row>
    <row r="869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6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</row>
    <row r="870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6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</row>
    <row r="87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6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</row>
    <row r="872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6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</row>
    <row r="873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6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</row>
    <row r="874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6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</row>
    <row r="875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6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</row>
    <row r="876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6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</row>
    <row r="877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6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</row>
    <row r="878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6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</row>
    <row r="879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6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</row>
    <row r="880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6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</row>
    <row r="88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6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</row>
    <row r="882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6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</row>
    <row r="883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6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</row>
    <row r="884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6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</row>
    <row r="885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6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</row>
    <row r="886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6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</row>
    <row r="887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6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</row>
    <row r="888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6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</row>
    <row r="889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6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</row>
    <row r="890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6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</row>
    <row r="89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6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</row>
    <row r="892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6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</row>
    <row r="893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6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</row>
    <row r="894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6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</row>
    <row r="895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6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</row>
    <row r="896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6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</row>
    <row r="897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6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</row>
    <row r="898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6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</row>
    <row r="899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6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</row>
    <row r="900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6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</row>
    <row r="90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6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</row>
    <row r="902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6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</row>
    <row r="903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6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</row>
    <row r="904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6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</row>
    <row r="905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6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</row>
    <row r="906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6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</row>
    <row r="907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6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</row>
    <row r="908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6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</row>
    <row r="909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6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</row>
    <row r="910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6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</row>
    <row r="91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6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</row>
    <row r="912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6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</row>
    <row r="913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6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</row>
    <row r="914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6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</row>
    <row r="915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6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</row>
    <row r="916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6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</row>
    <row r="917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6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</row>
    <row r="918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6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</row>
    <row r="919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6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</row>
    <row r="920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6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</row>
    <row r="92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6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</row>
    <row r="922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6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</row>
    <row r="923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6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</row>
    <row r="924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6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</row>
    <row r="925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6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</row>
    <row r="926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6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</row>
    <row r="927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6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</row>
    <row r="928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6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</row>
    <row r="929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6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</row>
    <row r="930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6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</row>
    <row r="93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6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</row>
    <row r="932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6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</row>
    <row r="933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6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</row>
    <row r="934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6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</row>
    <row r="935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6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</row>
    <row r="936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6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</row>
    <row r="937">
      <c r="A937" s="129"/>
      <c r="B937" s="129"/>
      <c r="C937" s="174"/>
      <c r="D937" s="174"/>
      <c r="E937" s="174"/>
      <c r="F937" s="174"/>
      <c r="G937" s="174"/>
      <c r="H937" s="174"/>
      <c r="I937" s="174"/>
      <c r="J937" s="174"/>
      <c r="K937" s="174"/>
      <c r="L937" s="16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  <c r="AB937" s="174"/>
      <c r="AC937" s="174"/>
      <c r="AD937" s="174"/>
      <c r="AE937" s="174"/>
      <c r="AF937" s="174"/>
      <c r="AG937" s="174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9"/>
      <c r="B1" s="129"/>
      <c r="C1" s="129"/>
      <c r="D1" s="129"/>
      <c r="E1" s="129"/>
      <c r="F1" s="130"/>
      <c r="G1" s="130"/>
      <c r="H1" s="130"/>
      <c r="I1" s="130"/>
      <c r="J1" s="130"/>
      <c r="K1" s="130"/>
      <c r="L1" s="16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</row>
    <row r="2">
      <c r="A2" s="129"/>
      <c r="B2" s="129"/>
      <c r="C2" s="129"/>
      <c r="D2" s="129"/>
      <c r="E2" s="129"/>
      <c r="F2" s="130"/>
      <c r="G2" s="130"/>
      <c r="H2" s="130"/>
      <c r="I2" s="130"/>
      <c r="J2" s="130"/>
      <c r="K2" s="130"/>
      <c r="L2" s="16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</row>
    <row r="3" ht="217.5" customHeight="1">
      <c r="A3" s="36"/>
      <c r="B3" s="36"/>
      <c r="C3" s="16"/>
      <c r="D3" s="16"/>
      <c r="E3" s="16"/>
      <c r="F3" s="16"/>
      <c r="G3" s="16"/>
      <c r="H3" s="36"/>
      <c r="I3" s="16"/>
      <c r="J3" s="16"/>
      <c r="K3" s="16"/>
      <c r="L3" s="16"/>
      <c r="M3" s="130"/>
      <c r="N3" s="131"/>
      <c r="O3" s="130"/>
      <c r="P3" s="36"/>
      <c r="Q3" s="36"/>
      <c r="R3" s="36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</row>
    <row r="4" ht="75.0" customHeight="1">
      <c r="A4" s="36"/>
      <c r="B4" s="36"/>
      <c r="C4" s="16"/>
      <c r="D4" s="16"/>
      <c r="E4" s="16"/>
      <c r="F4" s="16"/>
      <c r="G4" s="16"/>
      <c r="H4" s="36"/>
      <c r="I4" s="16"/>
      <c r="J4" s="16"/>
      <c r="K4" s="16"/>
      <c r="L4" s="16"/>
      <c r="M4" s="130"/>
      <c r="N4" s="130"/>
      <c r="O4" s="130"/>
      <c r="P4" s="36"/>
      <c r="Q4" s="16"/>
      <c r="R4" s="16"/>
      <c r="S4" s="16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</row>
    <row r="5">
      <c r="A5" s="74"/>
      <c r="B5" s="74"/>
      <c r="C5" s="132" t="s">
        <v>100</v>
      </c>
      <c r="D5" s="38"/>
      <c r="E5" s="23"/>
      <c r="F5" s="16"/>
      <c r="G5" s="74"/>
      <c r="H5" s="74"/>
      <c r="I5" s="74"/>
      <c r="J5" s="74"/>
      <c r="K5" s="74"/>
      <c r="L5" s="16"/>
      <c r="M5" s="133"/>
      <c r="N5" s="133"/>
      <c r="O5" s="133"/>
      <c r="P5" s="75"/>
      <c r="Q5" s="134"/>
      <c r="R5" s="134"/>
      <c r="S5" s="134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</row>
    <row r="6">
      <c r="A6" s="74"/>
      <c r="B6" s="74"/>
      <c r="C6" s="132" t="s">
        <v>101</v>
      </c>
      <c r="D6" s="38"/>
      <c r="E6" s="23"/>
      <c r="F6" s="16"/>
      <c r="G6" s="74"/>
      <c r="H6" s="74"/>
      <c r="I6" s="74"/>
      <c r="J6" s="74"/>
      <c r="K6" s="16"/>
      <c r="L6" s="16"/>
      <c r="M6" s="133"/>
      <c r="N6" s="133"/>
      <c r="O6" s="133"/>
      <c r="P6" s="75"/>
      <c r="Q6" s="134"/>
      <c r="R6" s="134"/>
      <c r="S6" s="134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</row>
    <row r="7">
      <c r="A7" s="74"/>
      <c r="B7" s="74"/>
      <c r="C7" s="132" t="s">
        <v>102</v>
      </c>
      <c r="D7" s="38"/>
      <c r="E7" s="23"/>
      <c r="F7" s="16"/>
      <c r="G7" s="74"/>
      <c r="H7" s="74"/>
      <c r="I7" s="74"/>
      <c r="J7" s="74"/>
      <c r="K7" s="16"/>
      <c r="L7" s="16"/>
      <c r="M7" s="16"/>
      <c r="N7" s="16"/>
      <c r="O7" s="16"/>
      <c r="P7" s="16"/>
      <c r="Q7" s="16"/>
      <c r="R7" s="16"/>
      <c r="S7" s="16"/>
      <c r="T7" s="135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</row>
    <row r="8">
      <c r="A8" s="74"/>
      <c r="B8" s="74"/>
      <c r="C8" s="132" t="s">
        <v>103</v>
      </c>
      <c r="D8" s="38"/>
      <c r="E8" s="23"/>
      <c r="F8" s="16"/>
      <c r="G8" s="74"/>
      <c r="H8" s="74"/>
      <c r="I8" s="74"/>
      <c r="J8" s="74"/>
      <c r="K8" s="16"/>
      <c r="L8" s="16"/>
      <c r="M8" s="16"/>
      <c r="N8" s="16"/>
      <c r="O8" s="16"/>
      <c r="P8" s="16"/>
      <c r="Q8" s="16"/>
      <c r="R8" s="16"/>
      <c r="S8" s="16"/>
      <c r="T8" s="135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</row>
    <row r="9">
      <c r="A9" s="36"/>
      <c r="B9" s="36"/>
      <c r="C9" s="16"/>
      <c r="D9" s="16"/>
      <c r="E9" s="16"/>
      <c r="F9" s="16"/>
      <c r="G9" s="74"/>
      <c r="H9" s="74"/>
      <c r="I9" s="74"/>
      <c r="J9" s="74"/>
      <c r="K9" s="16"/>
      <c r="L9" s="16"/>
      <c r="M9" s="16"/>
      <c r="N9" s="16"/>
      <c r="O9" s="16"/>
      <c r="P9" s="16"/>
      <c r="Q9" s="16"/>
      <c r="R9" s="16"/>
      <c r="S9" s="16"/>
      <c r="T9" s="135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</row>
    <row r="10">
      <c r="A10" s="36"/>
      <c r="B10" s="36"/>
      <c r="C10" s="16"/>
      <c r="D10" s="16"/>
      <c r="E10" s="16"/>
      <c r="F10" s="16"/>
      <c r="G10" s="136"/>
      <c r="H10" s="136"/>
      <c r="I10" s="136"/>
      <c r="J10" s="136"/>
      <c r="K10" s="136"/>
      <c r="L10" s="16"/>
      <c r="M10" s="16"/>
      <c r="N10" s="16"/>
      <c r="O10" s="16"/>
      <c r="P10" s="16"/>
      <c r="Q10" s="16"/>
      <c r="R10" s="16"/>
      <c r="S10" s="16"/>
      <c r="T10" s="135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</row>
    <row r="11" ht="18.0" customHeight="1">
      <c r="A11" s="36"/>
      <c r="B11" s="36"/>
      <c r="C11" s="16"/>
      <c r="D11" s="16"/>
      <c r="E11" s="16"/>
      <c r="F11" s="16"/>
      <c r="G11" s="136"/>
      <c r="H11" s="136"/>
      <c r="I11" s="136"/>
      <c r="J11" s="136"/>
      <c r="K11" s="136"/>
      <c r="L11" s="16"/>
      <c r="M11" s="16"/>
      <c r="N11" s="16"/>
      <c r="O11" s="16"/>
      <c r="P11" s="16"/>
      <c r="Q11" s="16"/>
      <c r="R11" s="16"/>
      <c r="S11" s="16"/>
      <c r="T11" s="137"/>
      <c r="U11" s="16"/>
      <c r="V11" s="16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</row>
    <row r="12" ht="25.5" customHeight="1">
      <c r="A12" s="36"/>
      <c r="B12" s="36"/>
      <c r="C12" s="138" t="s">
        <v>104</v>
      </c>
      <c r="D12" s="38"/>
      <c r="E12" s="23"/>
      <c r="F12" s="16"/>
      <c r="G12" s="136"/>
      <c r="H12" s="36"/>
      <c r="I12" s="16"/>
      <c r="J12" s="16"/>
      <c r="K12" s="136"/>
      <c r="L12" s="16"/>
      <c r="M12" s="16"/>
      <c r="N12" s="16"/>
      <c r="O12" s="16"/>
      <c r="P12" s="16"/>
      <c r="Q12" s="16"/>
      <c r="R12" s="16"/>
      <c r="S12" s="16"/>
      <c r="T12" s="137"/>
      <c r="U12" s="16"/>
      <c r="V12" s="16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</row>
    <row r="13">
      <c r="A13" s="36"/>
      <c r="B13" s="36"/>
      <c r="C13" s="139" t="s">
        <v>105</v>
      </c>
      <c r="D13" s="140"/>
      <c r="E13" s="23"/>
      <c r="F13" s="16"/>
      <c r="G13" s="136"/>
      <c r="H13" s="36"/>
      <c r="I13" s="16"/>
      <c r="J13" s="16"/>
      <c r="K13" s="136"/>
      <c r="L13" s="16"/>
      <c r="M13" s="16"/>
      <c r="N13" s="16"/>
      <c r="O13" s="16"/>
      <c r="P13" s="16"/>
      <c r="Q13" s="16"/>
      <c r="R13" s="16"/>
      <c r="S13" s="16"/>
      <c r="T13" s="137"/>
      <c r="U13" s="16"/>
      <c r="V13" s="16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</row>
    <row r="14">
      <c r="A14" s="36"/>
      <c r="B14" s="36"/>
      <c r="C14" s="139" t="s">
        <v>58</v>
      </c>
      <c r="D14" s="140"/>
      <c r="E14" s="23"/>
      <c r="F14" s="16"/>
      <c r="G14" s="136"/>
      <c r="H14" s="36"/>
      <c r="I14" s="16"/>
      <c r="J14" s="16"/>
      <c r="K14" s="136"/>
      <c r="L14" s="16"/>
      <c r="M14" s="16"/>
      <c r="N14" s="16"/>
      <c r="O14" s="16"/>
      <c r="P14" s="16"/>
      <c r="Q14" s="16"/>
      <c r="R14" s="16"/>
      <c r="S14" s="16"/>
      <c r="T14" s="137"/>
      <c r="U14" s="16"/>
      <c r="V14" s="16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</row>
    <row r="15">
      <c r="A15" s="141"/>
      <c r="B15" s="141"/>
      <c r="C15" s="139" t="s">
        <v>59</v>
      </c>
      <c r="D15" s="140"/>
      <c r="E15" s="23"/>
      <c r="F15" s="134"/>
      <c r="G15" s="136"/>
      <c r="H15" s="36"/>
      <c r="I15" s="16"/>
      <c r="J15" s="16"/>
      <c r="K15" s="136"/>
      <c r="L15" s="16"/>
      <c r="M15" s="16"/>
      <c r="N15" s="16"/>
      <c r="O15" s="16"/>
      <c r="P15" s="16"/>
      <c r="Q15" s="16"/>
      <c r="R15" s="16"/>
      <c r="S15" s="16"/>
      <c r="T15" s="137"/>
      <c r="U15" s="16"/>
      <c r="V15" s="16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</row>
    <row r="16">
      <c r="A16" s="142"/>
      <c r="B16" s="142"/>
      <c r="C16" s="139" t="s">
        <v>106</v>
      </c>
      <c r="D16" s="143"/>
      <c r="E16" s="23"/>
      <c r="F16" s="134"/>
      <c r="G16" s="136"/>
      <c r="H16" s="36"/>
      <c r="I16" s="16"/>
      <c r="J16" s="16"/>
      <c r="K16" s="136"/>
      <c r="L16" s="16"/>
      <c r="M16" s="16"/>
      <c r="N16" s="16"/>
      <c r="O16" s="16"/>
      <c r="P16" s="16"/>
      <c r="Q16" s="16"/>
      <c r="R16" s="16"/>
      <c r="S16" s="16"/>
      <c r="T16" s="137"/>
      <c r="U16" s="16"/>
      <c r="V16" s="16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</row>
    <row r="17">
      <c r="A17" s="142"/>
      <c r="B17" s="142"/>
      <c r="C17" s="16"/>
      <c r="D17" s="16"/>
      <c r="E17" s="16"/>
      <c r="F17" s="134"/>
      <c r="G17" s="133"/>
      <c r="H17" s="133"/>
      <c r="I17" s="133"/>
      <c r="J17" s="133"/>
      <c r="K17" s="133"/>
      <c r="L17" s="16"/>
      <c r="M17" s="16"/>
      <c r="N17" s="16"/>
      <c r="O17" s="16"/>
      <c r="P17" s="16"/>
      <c r="Q17" s="16"/>
      <c r="R17" s="16"/>
      <c r="S17" s="16"/>
      <c r="T17" s="137"/>
      <c r="U17" s="16"/>
      <c r="V17" s="16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</row>
    <row r="18" ht="22.5" customHeight="1">
      <c r="A18" s="142"/>
      <c r="B18" s="142"/>
      <c r="C18" s="16"/>
      <c r="D18" s="16"/>
      <c r="E18" s="16"/>
      <c r="F18" s="133"/>
      <c r="G18" s="133"/>
      <c r="H18" s="133"/>
      <c r="I18" s="133"/>
      <c r="J18" s="133"/>
      <c r="K18" s="133"/>
      <c r="L18" s="16"/>
      <c r="M18" s="16"/>
      <c r="N18" s="16"/>
      <c r="O18" s="16"/>
      <c r="P18" s="16"/>
      <c r="Q18" s="16"/>
      <c r="R18" s="16"/>
      <c r="S18" s="16"/>
      <c r="T18" s="137"/>
      <c r="U18" s="16"/>
      <c r="V18" s="16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</row>
    <row r="19" ht="30.0" customHeight="1">
      <c r="A19" s="142"/>
      <c r="B19" s="142"/>
      <c r="C19" s="134"/>
      <c r="D19" s="144" t="s">
        <v>0</v>
      </c>
      <c r="E19" s="23"/>
      <c r="F19" s="134"/>
      <c r="G19" s="133"/>
      <c r="H19" s="133"/>
      <c r="I19" s="133"/>
      <c r="J19" s="133"/>
      <c r="K19" s="133"/>
      <c r="L19" s="145" t="s">
        <v>107</v>
      </c>
      <c r="M19" s="145" t="s">
        <v>108</v>
      </c>
      <c r="N19" s="145" t="s">
        <v>60</v>
      </c>
      <c r="O19" s="145" t="s">
        <v>109</v>
      </c>
      <c r="P19" s="175" t="s">
        <v>139</v>
      </c>
      <c r="Q19" s="145" t="s">
        <v>140</v>
      </c>
      <c r="R19" s="145" t="s">
        <v>112</v>
      </c>
      <c r="S19" s="145" t="s">
        <v>113</v>
      </c>
      <c r="T19" s="137"/>
      <c r="U19" s="16"/>
      <c r="V19" s="16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</row>
    <row r="20">
      <c r="A20" s="146"/>
      <c r="B20" s="146"/>
      <c r="C20" s="145" t="s">
        <v>114</v>
      </c>
      <c r="D20" s="145" t="s">
        <v>115</v>
      </c>
      <c r="E20" s="145" t="s">
        <v>116</v>
      </c>
      <c r="F20" s="145" t="s">
        <v>117</v>
      </c>
      <c r="G20" s="133"/>
      <c r="H20" s="147"/>
      <c r="I20" s="148" t="s">
        <v>118</v>
      </c>
      <c r="J20" s="23"/>
      <c r="K20" s="133"/>
      <c r="L20" s="149" t="s">
        <v>119</v>
      </c>
      <c r="M20" s="150">
        <v>45479.0</v>
      </c>
      <c r="N20" s="151"/>
      <c r="O20" s="151"/>
      <c r="P20" s="151"/>
      <c r="Q20" s="151"/>
      <c r="R20" s="151"/>
      <c r="S20" s="151"/>
      <c r="T20" s="137"/>
      <c r="U20" s="16"/>
      <c r="V20" s="16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</row>
    <row r="21">
      <c r="A21" s="75"/>
      <c r="B21" s="75"/>
      <c r="C21" s="152">
        <v>45483.0</v>
      </c>
      <c r="D21" s="153"/>
      <c r="E21" s="153"/>
      <c r="F21" s="153"/>
      <c r="G21" s="133"/>
      <c r="H21" s="154"/>
      <c r="I21" s="152" t="s">
        <v>120</v>
      </c>
      <c r="J21" s="155">
        <v>2700.0</v>
      </c>
      <c r="K21" s="133"/>
      <c r="L21" s="149">
        <v>1.0</v>
      </c>
      <c r="M21" s="156">
        <f t="shared" ref="M21:M32" si="2">M20+7</f>
        <v>45486</v>
      </c>
      <c r="N21" s="157" t="str">
        <f>D28</f>
        <v>#DIV/0!</v>
      </c>
      <c r="O21" s="158" t="str">
        <f t="shared" ref="O21:S21" si="1">C32</f>
        <v/>
      </c>
      <c r="P21" s="158" t="str">
        <f t="shared" si="1"/>
        <v/>
      </c>
      <c r="Q21" s="158" t="str">
        <f t="shared" si="1"/>
        <v/>
      </c>
      <c r="R21" s="158" t="str">
        <f t="shared" si="1"/>
        <v/>
      </c>
      <c r="S21" s="158" t="str">
        <f t="shared" si="1"/>
        <v/>
      </c>
      <c r="T21" s="137"/>
      <c r="U21" s="16"/>
      <c r="V21" s="16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</row>
    <row r="22">
      <c r="A22" s="147"/>
      <c r="B22" s="147"/>
      <c r="C22" s="152">
        <v>45484.0</v>
      </c>
      <c r="D22" s="153"/>
      <c r="E22" s="153"/>
      <c r="F22" s="153"/>
      <c r="G22" s="133"/>
      <c r="H22" s="154"/>
      <c r="I22" s="152" t="s">
        <v>121</v>
      </c>
      <c r="J22" s="155">
        <v>160.0</v>
      </c>
      <c r="K22" s="133"/>
      <c r="L22" s="149">
        <v>2.0</v>
      </c>
      <c r="M22" s="156">
        <f t="shared" si="2"/>
        <v>45493</v>
      </c>
      <c r="N22" s="159" t="str">
        <f>AVERAGE(D55:D61)</f>
        <v>#DIV/0!</v>
      </c>
      <c r="O22" s="160" t="str">
        <f t="shared" ref="O22:S22" si="3">C49</f>
        <v/>
      </c>
      <c r="P22" s="160" t="str">
        <f t="shared" si="3"/>
        <v/>
      </c>
      <c r="Q22" s="160" t="str">
        <f t="shared" si="3"/>
        <v/>
      </c>
      <c r="R22" s="160" t="str">
        <f t="shared" si="3"/>
        <v/>
      </c>
      <c r="S22" s="160" t="str">
        <f t="shared" si="3"/>
        <v/>
      </c>
      <c r="T22" s="137"/>
      <c r="U22" s="16"/>
      <c r="V22" s="16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</row>
    <row r="23">
      <c r="A23" s="161"/>
      <c r="B23" s="161"/>
      <c r="C23" s="152">
        <v>45485.0</v>
      </c>
      <c r="D23" s="153"/>
      <c r="E23" s="153"/>
      <c r="F23" s="153"/>
      <c r="G23" s="133"/>
      <c r="H23" s="154"/>
      <c r="I23" s="152" t="s">
        <v>122</v>
      </c>
      <c r="J23" s="155">
        <v>380.0</v>
      </c>
      <c r="K23" s="133"/>
      <c r="L23" s="149">
        <v>3.0</v>
      </c>
      <c r="M23" s="156">
        <f t="shared" si="2"/>
        <v>45500</v>
      </c>
      <c r="N23" s="153" t="str">
        <f>AVERAGE(D55:D61)</f>
        <v>#DIV/0!</v>
      </c>
      <c r="O23" s="162" t="str">
        <f t="shared" ref="O23:S23" si="4">C66</f>
        <v/>
      </c>
      <c r="P23" s="162" t="str">
        <f t="shared" si="4"/>
        <v/>
      </c>
      <c r="Q23" s="162" t="str">
        <f t="shared" si="4"/>
        <v/>
      </c>
      <c r="R23" s="162" t="str">
        <f t="shared" si="4"/>
        <v/>
      </c>
      <c r="S23" s="162" t="str">
        <f t="shared" si="4"/>
        <v/>
      </c>
      <c r="T23" s="137"/>
      <c r="U23" s="16"/>
      <c r="V23" s="16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</row>
    <row r="24">
      <c r="A24" s="133"/>
      <c r="B24" s="133"/>
      <c r="C24" s="152">
        <v>45486.0</v>
      </c>
      <c r="D24" s="153"/>
      <c r="E24" s="153"/>
      <c r="F24" s="153"/>
      <c r="G24" s="133"/>
      <c r="H24" s="154"/>
      <c r="I24" s="152" t="s">
        <v>123</v>
      </c>
      <c r="J24" s="155">
        <v>60.0</v>
      </c>
      <c r="K24" s="133"/>
      <c r="L24" s="149">
        <v>4.0</v>
      </c>
      <c r="M24" s="156">
        <f t="shared" si="2"/>
        <v>45507</v>
      </c>
      <c r="N24" s="159" t="str">
        <f>AVERAGE(D71:D77)</f>
        <v>#DIV/0!</v>
      </c>
      <c r="O24" s="160" t="str">
        <f t="shared" ref="O24:S24" si="5">C82</f>
        <v/>
      </c>
      <c r="P24" s="160" t="str">
        <f t="shared" si="5"/>
        <v/>
      </c>
      <c r="Q24" s="160" t="str">
        <f t="shared" si="5"/>
        <v/>
      </c>
      <c r="R24" s="160" t="str">
        <f t="shared" si="5"/>
        <v/>
      </c>
      <c r="S24" s="160" t="str">
        <f t="shared" si="5"/>
        <v/>
      </c>
      <c r="T24" s="137"/>
      <c r="U24" s="16"/>
      <c r="V24" s="16"/>
      <c r="W24" s="16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</row>
    <row r="25">
      <c r="A25" s="161"/>
      <c r="B25" s="161"/>
      <c r="C25" s="152">
        <v>45487.0</v>
      </c>
      <c r="D25" s="153"/>
      <c r="E25" s="153"/>
      <c r="F25" s="153"/>
      <c r="G25" s="133"/>
      <c r="H25" s="133"/>
      <c r="I25" s="133"/>
      <c r="J25" s="133"/>
      <c r="K25" s="133"/>
      <c r="L25" s="149">
        <v>5.0</v>
      </c>
      <c r="M25" s="156">
        <f t="shared" si="2"/>
        <v>45514</v>
      </c>
      <c r="N25" s="153" t="str">
        <f>AVERAGE(D87:D93)</f>
        <v>#DIV/0!</v>
      </c>
      <c r="O25" s="162" t="str">
        <f t="shared" ref="O25:S25" si="6">C98</f>
        <v/>
      </c>
      <c r="P25" s="162" t="str">
        <f t="shared" si="6"/>
        <v/>
      </c>
      <c r="Q25" s="162" t="str">
        <f t="shared" si="6"/>
        <v/>
      </c>
      <c r="R25" s="162" t="str">
        <f t="shared" si="6"/>
        <v/>
      </c>
      <c r="S25" s="162" t="str">
        <f t="shared" si="6"/>
        <v/>
      </c>
      <c r="T25" s="137"/>
      <c r="U25" s="16"/>
      <c r="V25" s="16"/>
      <c r="W25" s="16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</row>
    <row r="26">
      <c r="A26" s="161"/>
      <c r="B26" s="161"/>
      <c r="C26" s="152">
        <v>45488.0</v>
      </c>
      <c r="D26" s="163"/>
      <c r="E26" s="153"/>
      <c r="F26" s="153"/>
      <c r="G26" s="133"/>
      <c r="H26" s="133"/>
      <c r="I26" s="133"/>
      <c r="J26" s="133"/>
      <c r="K26" s="133"/>
      <c r="L26" s="149">
        <v>6.0</v>
      </c>
      <c r="M26" s="156">
        <f t="shared" si="2"/>
        <v>45521</v>
      </c>
      <c r="N26" s="159" t="str">
        <f>AVERAGE(D103:D109)</f>
        <v>#DIV/0!</v>
      </c>
      <c r="O26" s="160" t="str">
        <f t="shared" ref="O26:S26" si="7">C114</f>
        <v/>
      </c>
      <c r="P26" s="160" t="str">
        <f t="shared" si="7"/>
        <v/>
      </c>
      <c r="Q26" s="160" t="str">
        <f t="shared" si="7"/>
        <v/>
      </c>
      <c r="R26" s="160" t="str">
        <f t="shared" si="7"/>
        <v/>
      </c>
      <c r="S26" s="160" t="str">
        <f t="shared" si="7"/>
        <v/>
      </c>
      <c r="T26" s="137"/>
      <c r="U26" s="16"/>
      <c r="V26" s="16"/>
      <c r="W26" s="16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</row>
    <row r="27">
      <c r="A27" s="133"/>
      <c r="B27" s="133"/>
      <c r="C27" s="152">
        <v>45489.0</v>
      </c>
      <c r="D27" s="163"/>
      <c r="E27" s="153"/>
      <c r="F27" s="163"/>
      <c r="G27" s="133"/>
      <c r="H27" s="133"/>
      <c r="I27" s="133"/>
      <c r="J27" s="133"/>
      <c r="K27" s="133"/>
      <c r="L27" s="149">
        <v>7.0</v>
      </c>
      <c r="M27" s="156">
        <f t="shared" si="2"/>
        <v>45528</v>
      </c>
      <c r="N27" s="153" t="str">
        <f>AVERAGE(D120:D126)</f>
        <v>#DIV/0!</v>
      </c>
      <c r="O27" s="162" t="str">
        <f t="shared" ref="O27:S27" si="8">C131</f>
        <v/>
      </c>
      <c r="P27" s="162" t="str">
        <f t="shared" si="8"/>
        <v/>
      </c>
      <c r="Q27" s="162" t="str">
        <f t="shared" si="8"/>
        <v/>
      </c>
      <c r="R27" s="162" t="str">
        <f t="shared" si="8"/>
        <v/>
      </c>
      <c r="S27" s="162" t="str">
        <f t="shared" si="8"/>
        <v/>
      </c>
      <c r="T27" s="137"/>
      <c r="U27" s="16"/>
      <c r="V27" s="16"/>
      <c r="W27" s="16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</row>
    <row r="28">
      <c r="A28" s="161"/>
      <c r="B28" s="161"/>
      <c r="C28" s="164" t="s">
        <v>124</v>
      </c>
      <c r="D28" s="165" t="str">
        <f t="shared" ref="D28:F28" si="9">AVERAGE(D21:D27)</f>
        <v>#DIV/0!</v>
      </c>
      <c r="E28" s="165" t="str">
        <f t="shared" si="9"/>
        <v>#DIV/0!</v>
      </c>
      <c r="F28" s="165" t="str">
        <f t="shared" si="9"/>
        <v>#DIV/0!</v>
      </c>
      <c r="G28" s="133"/>
      <c r="H28" s="133"/>
      <c r="I28" s="133"/>
      <c r="J28" s="133"/>
      <c r="K28" s="133"/>
      <c r="L28" s="149">
        <v>8.0</v>
      </c>
      <c r="M28" s="156">
        <f t="shared" si="2"/>
        <v>45535</v>
      </c>
      <c r="N28" s="159" t="str">
        <f>AVERAGE(D137:D143)</f>
        <v>#DIV/0!</v>
      </c>
      <c r="O28" s="160" t="str">
        <f t="shared" ref="O28:S28" si="10">C148</f>
        <v/>
      </c>
      <c r="P28" s="160" t="str">
        <f t="shared" si="10"/>
        <v/>
      </c>
      <c r="Q28" s="160" t="str">
        <f t="shared" si="10"/>
        <v/>
      </c>
      <c r="R28" s="160" t="str">
        <f t="shared" si="10"/>
        <v/>
      </c>
      <c r="S28" s="160" t="str">
        <f t="shared" si="10"/>
        <v/>
      </c>
      <c r="T28" s="137"/>
      <c r="U28" s="16"/>
      <c r="V28" s="16"/>
      <c r="W28" s="16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</row>
    <row r="29">
      <c r="A29" s="161"/>
      <c r="B29" s="161"/>
      <c r="C29" s="134"/>
      <c r="D29" s="134"/>
      <c r="E29" s="134"/>
      <c r="F29" s="134"/>
      <c r="G29" s="133"/>
      <c r="H29" s="133"/>
      <c r="I29" s="133"/>
      <c r="J29" s="133"/>
      <c r="K29" s="133"/>
      <c r="L29" s="149">
        <v>9.0</v>
      </c>
      <c r="M29" s="156">
        <f t="shared" si="2"/>
        <v>45542</v>
      </c>
      <c r="N29" s="153" t="str">
        <f>AVERAGE(D153:D159)</f>
        <v>#DIV/0!</v>
      </c>
      <c r="O29" s="162" t="str">
        <f t="shared" ref="O29:S29" si="11">C164</f>
        <v/>
      </c>
      <c r="P29" s="162" t="str">
        <f t="shared" si="11"/>
        <v/>
      </c>
      <c r="Q29" s="162" t="str">
        <f t="shared" si="11"/>
        <v/>
      </c>
      <c r="R29" s="162" t="str">
        <f t="shared" si="11"/>
        <v/>
      </c>
      <c r="S29" s="162" t="str">
        <f t="shared" si="11"/>
        <v/>
      </c>
      <c r="T29" s="137"/>
      <c r="U29" s="16"/>
      <c r="V29" s="16"/>
      <c r="W29" s="16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</row>
    <row r="30">
      <c r="A30" s="166"/>
      <c r="B30" s="166"/>
      <c r="C30" s="148" t="s">
        <v>125</v>
      </c>
      <c r="D30" s="38"/>
      <c r="E30" s="38"/>
      <c r="F30" s="38"/>
      <c r="G30" s="23"/>
      <c r="H30" s="167"/>
      <c r="I30" s="167"/>
      <c r="J30" s="167"/>
      <c r="K30" s="167"/>
      <c r="L30" s="149">
        <v>10.0</v>
      </c>
      <c r="M30" s="156">
        <f t="shared" si="2"/>
        <v>45549</v>
      </c>
      <c r="N30" s="159" t="str">
        <f>AVERAGE(D169:D175)</f>
        <v>#DIV/0!</v>
      </c>
      <c r="O30" s="160" t="str">
        <f>C164</f>
        <v/>
      </c>
      <c r="P30" s="160" t="str">
        <f t="shared" ref="P30:S30" si="12">D180</f>
        <v/>
      </c>
      <c r="Q30" s="160" t="str">
        <f t="shared" si="12"/>
        <v/>
      </c>
      <c r="R30" s="160" t="str">
        <f t="shared" si="12"/>
        <v/>
      </c>
      <c r="S30" s="160" t="str">
        <f t="shared" si="12"/>
        <v/>
      </c>
      <c r="T30" s="137"/>
      <c r="U30" s="167"/>
      <c r="V30" s="167"/>
      <c r="W30" s="167"/>
      <c r="X30" s="167"/>
      <c r="Y30" s="167"/>
      <c r="Z30" s="167"/>
      <c r="AA30" s="167"/>
      <c r="AB30" s="167"/>
      <c r="AC30" s="167"/>
      <c r="AD30" s="167"/>
      <c r="AE30" s="167"/>
      <c r="AF30" s="167"/>
      <c r="AG30" s="167"/>
    </row>
    <row r="31">
      <c r="A31" s="75"/>
      <c r="B31" s="75"/>
      <c r="C31" s="152" t="s">
        <v>109</v>
      </c>
      <c r="D31" s="176" t="s">
        <v>141</v>
      </c>
      <c r="E31" s="152" t="s">
        <v>142</v>
      </c>
      <c r="F31" s="152" t="s">
        <v>112</v>
      </c>
      <c r="G31" s="152" t="s">
        <v>113</v>
      </c>
      <c r="H31" s="167"/>
      <c r="I31" s="167"/>
      <c r="J31" s="167"/>
      <c r="K31" s="167"/>
      <c r="L31" s="149">
        <v>11.0</v>
      </c>
      <c r="M31" s="156">
        <f t="shared" si="2"/>
        <v>45556</v>
      </c>
      <c r="N31" s="153" t="str">
        <f>AVERAGE(D185:D191)</f>
        <v>#DIV/0!</v>
      </c>
      <c r="O31" s="162" t="str">
        <f t="shared" ref="O31:S31" si="13">C196</f>
        <v/>
      </c>
      <c r="P31" s="162" t="str">
        <f t="shared" si="13"/>
        <v/>
      </c>
      <c r="Q31" s="162" t="str">
        <f t="shared" si="13"/>
        <v/>
      </c>
      <c r="R31" s="162" t="str">
        <f t="shared" si="13"/>
        <v/>
      </c>
      <c r="S31" s="162" t="str">
        <f t="shared" si="13"/>
        <v/>
      </c>
      <c r="T31" s="137"/>
      <c r="U31" s="167"/>
      <c r="V31" s="167"/>
      <c r="W31" s="167"/>
      <c r="X31" s="167"/>
      <c r="Y31" s="167"/>
      <c r="Z31" s="167"/>
      <c r="AA31" s="167"/>
      <c r="AB31" s="167"/>
      <c r="AC31" s="167"/>
      <c r="AD31" s="167"/>
      <c r="AE31" s="167"/>
      <c r="AF31" s="167"/>
      <c r="AG31" s="167"/>
    </row>
    <row r="32">
      <c r="A32" s="147"/>
      <c r="B32" s="147"/>
      <c r="C32" s="168"/>
      <c r="D32" s="168"/>
      <c r="E32" s="168"/>
      <c r="F32" s="168"/>
      <c r="G32" s="168"/>
      <c r="H32" s="167"/>
      <c r="I32" s="167"/>
      <c r="J32" s="167"/>
      <c r="K32" s="167"/>
      <c r="L32" s="149">
        <v>12.0</v>
      </c>
      <c r="M32" s="156">
        <f t="shared" si="2"/>
        <v>45563</v>
      </c>
      <c r="N32" s="159" t="str">
        <f>AVERAGE(D201:D207)</f>
        <v>#DIV/0!</v>
      </c>
      <c r="O32" s="160" t="str">
        <f t="shared" ref="O32:S32" si="14">C212</f>
        <v/>
      </c>
      <c r="P32" s="160" t="str">
        <f t="shared" si="14"/>
        <v/>
      </c>
      <c r="Q32" s="160" t="str">
        <f t="shared" si="14"/>
        <v/>
      </c>
      <c r="R32" s="160" t="str">
        <f t="shared" si="14"/>
        <v/>
      </c>
      <c r="S32" s="160" t="str">
        <f t="shared" si="14"/>
        <v/>
      </c>
      <c r="T32" s="13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  <c r="AG32" s="167"/>
    </row>
    <row r="33">
      <c r="A33" s="154"/>
      <c r="B33" s="154"/>
      <c r="C33" s="133"/>
      <c r="D33" s="133"/>
      <c r="E33" s="133"/>
      <c r="F33" s="133"/>
      <c r="G33" s="167"/>
      <c r="H33" s="167"/>
      <c r="I33" s="167"/>
      <c r="J33" s="167"/>
      <c r="K33" s="167"/>
      <c r="L33" s="133"/>
      <c r="M33" s="133"/>
      <c r="N33" s="133"/>
      <c r="O33" s="133"/>
      <c r="P33" s="133"/>
      <c r="Q33" s="133"/>
      <c r="R33" s="133"/>
      <c r="S33" s="133"/>
      <c r="T33" s="13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  <c r="AF33" s="167"/>
      <c r="AG33" s="167"/>
    </row>
    <row r="34">
      <c r="A34" s="133"/>
      <c r="B34" s="133"/>
      <c r="C34" s="16"/>
      <c r="D34" s="16"/>
      <c r="E34" s="16"/>
      <c r="F34" s="16"/>
      <c r="G34" s="167"/>
      <c r="H34" s="167"/>
      <c r="I34" s="167"/>
      <c r="J34" s="167"/>
      <c r="K34" s="167"/>
      <c r="L34" s="16"/>
      <c r="M34" s="133"/>
      <c r="N34" s="74" t="s">
        <v>127</v>
      </c>
      <c r="O34" s="133"/>
      <c r="P34" s="133"/>
      <c r="Q34" s="133"/>
      <c r="R34" s="133"/>
      <c r="S34" s="133"/>
      <c r="T34" s="137"/>
      <c r="U34" s="169" t="s">
        <v>128</v>
      </c>
      <c r="V34" s="23"/>
      <c r="W34" s="167"/>
      <c r="X34" s="167"/>
      <c r="Y34" s="167"/>
      <c r="Z34" s="167"/>
      <c r="AA34" s="167"/>
      <c r="AB34" s="167"/>
      <c r="AC34" s="167"/>
      <c r="AD34" s="167"/>
      <c r="AE34" s="167"/>
      <c r="AF34" s="167"/>
      <c r="AG34" s="167"/>
    </row>
    <row r="35">
      <c r="A35" s="133"/>
      <c r="B35" s="133"/>
      <c r="C35" s="16"/>
      <c r="D35" s="16"/>
      <c r="E35" s="16"/>
      <c r="F35" s="16"/>
      <c r="G35" s="167"/>
      <c r="H35" s="167"/>
      <c r="I35" s="167"/>
      <c r="J35" s="167"/>
      <c r="K35" s="167"/>
      <c r="L35" s="133"/>
      <c r="M35" s="133"/>
      <c r="N35" s="133"/>
      <c r="O35" s="133"/>
      <c r="P35" s="133"/>
      <c r="Q35" s="133"/>
      <c r="R35" s="133"/>
      <c r="S35" s="133"/>
      <c r="T35" s="137"/>
      <c r="U35" s="170" t="s">
        <v>129</v>
      </c>
      <c r="V35" s="171"/>
      <c r="W35" s="167"/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</row>
    <row r="36" ht="31.5" customHeight="1">
      <c r="A36" s="133"/>
      <c r="B36" s="133"/>
      <c r="C36" s="134"/>
      <c r="D36" s="172" t="s">
        <v>1</v>
      </c>
      <c r="E36" s="23"/>
      <c r="F36" s="134"/>
      <c r="G36" s="133"/>
      <c r="H36" s="133"/>
      <c r="I36" s="133"/>
      <c r="J36" s="133"/>
      <c r="K36" s="167"/>
      <c r="L36" s="133"/>
      <c r="M36" s="133"/>
      <c r="N36" s="133"/>
      <c r="O36" s="133"/>
      <c r="P36" s="133"/>
      <c r="Q36" s="133"/>
      <c r="R36" s="133"/>
      <c r="S36" s="133"/>
      <c r="T36" s="137"/>
      <c r="U36" s="170" t="s">
        <v>130</v>
      </c>
      <c r="V36" s="173"/>
      <c r="W36" s="167"/>
      <c r="X36" s="167"/>
      <c r="Y36" s="167"/>
      <c r="Z36" s="167"/>
      <c r="AA36" s="167"/>
      <c r="AB36" s="167"/>
      <c r="AC36" s="167"/>
      <c r="AD36" s="167"/>
      <c r="AE36" s="167"/>
      <c r="AF36" s="167"/>
      <c r="AG36" s="167"/>
    </row>
    <row r="37">
      <c r="A37" s="161"/>
      <c r="B37" s="161"/>
      <c r="C37" s="145" t="s">
        <v>114</v>
      </c>
      <c r="D37" s="145" t="s">
        <v>115</v>
      </c>
      <c r="E37" s="145" t="s">
        <v>116</v>
      </c>
      <c r="F37" s="145" t="s">
        <v>117</v>
      </c>
      <c r="G37" s="133"/>
      <c r="H37" s="147"/>
      <c r="I37" s="148" t="s">
        <v>118</v>
      </c>
      <c r="J37" s="23"/>
      <c r="K37" s="167"/>
      <c r="L37" s="133"/>
      <c r="M37" s="133"/>
      <c r="N37" s="133"/>
      <c r="O37" s="133"/>
      <c r="P37" s="133"/>
      <c r="Q37" s="133"/>
      <c r="R37" s="133"/>
      <c r="S37" s="133"/>
      <c r="T37" s="137"/>
      <c r="U37" s="167"/>
      <c r="V37" s="167"/>
      <c r="W37" s="167"/>
      <c r="X37" s="167"/>
      <c r="Y37" s="167"/>
      <c r="Z37" s="167"/>
      <c r="AA37" s="167"/>
      <c r="AB37" s="167"/>
      <c r="AC37" s="167"/>
      <c r="AD37" s="167"/>
      <c r="AE37" s="167"/>
      <c r="AF37" s="167"/>
      <c r="AG37" s="167"/>
    </row>
    <row r="38">
      <c r="A38" s="36"/>
      <c r="B38" s="36"/>
      <c r="C38" s="152">
        <v>45483.0</v>
      </c>
      <c r="D38" s="153"/>
      <c r="E38" s="153"/>
      <c r="F38" s="153"/>
      <c r="G38" s="133"/>
      <c r="H38" s="154"/>
      <c r="I38" s="152" t="s">
        <v>120</v>
      </c>
      <c r="J38" s="155">
        <v>2700.0</v>
      </c>
      <c r="K38" s="167"/>
      <c r="L38" s="133"/>
      <c r="M38" s="133"/>
      <c r="N38" s="133"/>
      <c r="O38" s="133"/>
      <c r="P38" s="133"/>
      <c r="Q38" s="133"/>
      <c r="R38" s="133"/>
      <c r="S38" s="133"/>
      <c r="T38" s="13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167"/>
      <c r="AG38" s="167"/>
    </row>
    <row r="39">
      <c r="A39" s="167"/>
      <c r="B39" s="167"/>
      <c r="C39" s="152">
        <v>45484.0</v>
      </c>
      <c r="D39" s="153"/>
      <c r="E39" s="153"/>
      <c r="F39" s="153"/>
      <c r="G39" s="133"/>
      <c r="H39" s="154"/>
      <c r="I39" s="152" t="s">
        <v>121</v>
      </c>
      <c r="J39" s="155">
        <v>160.0</v>
      </c>
      <c r="K39" s="167"/>
      <c r="L39" s="133"/>
      <c r="M39" s="133"/>
      <c r="N39" s="133"/>
      <c r="O39" s="133"/>
      <c r="P39" s="133"/>
      <c r="Q39" s="133"/>
      <c r="R39" s="133"/>
      <c r="S39" s="133"/>
      <c r="T39" s="137"/>
      <c r="U39" s="167"/>
      <c r="V39" s="167"/>
      <c r="W39" s="167"/>
      <c r="X39" s="167"/>
      <c r="Y39" s="167"/>
      <c r="Z39" s="167"/>
      <c r="AA39" s="167"/>
      <c r="AB39" s="167"/>
      <c r="AC39" s="167"/>
      <c r="AD39" s="167"/>
      <c r="AE39" s="167"/>
      <c r="AF39" s="167"/>
      <c r="AG39" s="167"/>
    </row>
    <row r="40">
      <c r="A40" s="167"/>
      <c r="B40" s="167"/>
      <c r="C40" s="152">
        <v>45485.0</v>
      </c>
      <c r="D40" s="153"/>
      <c r="E40" s="153"/>
      <c r="F40" s="153"/>
      <c r="G40" s="133"/>
      <c r="H40" s="154"/>
      <c r="I40" s="152" t="s">
        <v>122</v>
      </c>
      <c r="J40" s="155">
        <v>380.0</v>
      </c>
      <c r="K40" s="167"/>
      <c r="L40" s="133"/>
      <c r="M40" s="133"/>
      <c r="N40" s="133"/>
      <c r="O40" s="133"/>
      <c r="P40" s="133"/>
      <c r="Q40" s="133"/>
      <c r="R40" s="133"/>
      <c r="S40" s="133"/>
      <c r="T40" s="137"/>
      <c r="U40" s="167"/>
      <c r="V40" s="167"/>
      <c r="W40" s="167"/>
      <c r="X40" s="167"/>
      <c r="Y40" s="167"/>
      <c r="Z40" s="167"/>
      <c r="AA40" s="167"/>
      <c r="AB40" s="167"/>
      <c r="AC40" s="167"/>
      <c r="AD40" s="167"/>
      <c r="AE40" s="167"/>
      <c r="AF40" s="167"/>
      <c r="AG40" s="167"/>
    </row>
    <row r="41">
      <c r="A41" s="167"/>
      <c r="B41" s="167"/>
      <c r="C41" s="152">
        <v>45486.0</v>
      </c>
      <c r="D41" s="153"/>
      <c r="E41" s="153"/>
      <c r="F41" s="153"/>
      <c r="G41" s="133"/>
      <c r="H41" s="154"/>
      <c r="I41" s="152" t="s">
        <v>123</v>
      </c>
      <c r="J41" s="155">
        <v>60.0</v>
      </c>
      <c r="K41" s="167"/>
      <c r="L41" s="133"/>
      <c r="M41" s="133"/>
      <c r="N41" s="133"/>
      <c r="O41" s="133"/>
      <c r="P41" s="133"/>
      <c r="Q41" s="133"/>
      <c r="R41" s="133"/>
      <c r="S41" s="133"/>
      <c r="T41" s="137"/>
      <c r="U41" s="167"/>
      <c r="V41" s="167"/>
      <c r="W41" s="167"/>
      <c r="X41" s="167"/>
      <c r="Y41" s="167"/>
      <c r="Z41" s="167"/>
      <c r="AA41" s="167"/>
      <c r="AB41" s="167"/>
      <c r="AC41" s="167"/>
      <c r="AD41" s="167"/>
      <c r="AE41" s="167"/>
      <c r="AF41" s="167"/>
      <c r="AG41" s="167"/>
    </row>
    <row r="42">
      <c r="A42" s="167"/>
      <c r="B42" s="167"/>
      <c r="C42" s="152">
        <v>45487.0</v>
      </c>
      <c r="D42" s="153"/>
      <c r="E42" s="153"/>
      <c r="F42" s="153"/>
      <c r="G42" s="133"/>
      <c r="H42" s="133"/>
      <c r="I42" s="133"/>
      <c r="J42" s="133"/>
      <c r="K42" s="167"/>
      <c r="L42" s="133"/>
      <c r="M42" s="133"/>
      <c r="N42" s="133"/>
      <c r="O42" s="133"/>
      <c r="P42" s="133"/>
      <c r="Q42" s="133"/>
      <c r="R42" s="133"/>
      <c r="S42" s="133"/>
      <c r="T42" s="137"/>
      <c r="U42" s="167"/>
      <c r="V42" s="167"/>
      <c r="W42" s="167"/>
      <c r="X42" s="167"/>
      <c r="Y42" s="167"/>
      <c r="Z42" s="167"/>
      <c r="AA42" s="167"/>
      <c r="AB42" s="167"/>
      <c r="AC42" s="167"/>
      <c r="AD42" s="167"/>
      <c r="AE42" s="167"/>
      <c r="AF42" s="167"/>
      <c r="AG42" s="167"/>
    </row>
    <row r="43">
      <c r="A43" s="129"/>
      <c r="B43" s="129"/>
      <c r="C43" s="152">
        <v>45488.0</v>
      </c>
      <c r="D43" s="163"/>
      <c r="E43" s="153"/>
      <c r="F43" s="153"/>
      <c r="G43" s="133"/>
      <c r="H43" s="133"/>
      <c r="I43" s="133"/>
      <c r="J43" s="133"/>
      <c r="K43" s="129"/>
      <c r="L43" s="133"/>
      <c r="M43" s="133"/>
      <c r="N43" s="133"/>
      <c r="O43" s="133"/>
      <c r="P43" s="133"/>
      <c r="Q43" s="133"/>
      <c r="R43" s="133"/>
      <c r="S43" s="133"/>
      <c r="T43" s="137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</row>
    <row r="44">
      <c r="A44" s="129"/>
      <c r="B44" s="129"/>
      <c r="C44" s="152">
        <v>45489.0</v>
      </c>
      <c r="D44" s="163"/>
      <c r="E44" s="153"/>
      <c r="F44" s="163"/>
      <c r="G44" s="133"/>
      <c r="H44" s="133"/>
      <c r="I44" s="133"/>
      <c r="J44" s="133"/>
      <c r="K44" s="129"/>
      <c r="L44" s="133"/>
      <c r="M44" s="133"/>
      <c r="N44" s="133"/>
      <c r="O44" s="133"/>
      <c r="P44" s="133"/>
      <c r="Q44" s="133"/>
      <c r="R44" s="133"/>
      <c r="S44" s="133"/>
      <c r="T44" s="137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</row>
    <row r="45">
      <c r="A45" s="129"/>
      <c r="B45" s="129"/>
      <c r="C45" s="164" t="s">
        <v>124</v>
      </c>
      <c r="D45" s="165" t="str">
        <f t="shared" ref="D45:F45" si="15">AVERAGE(D38:D44)</f>
        <v>#DIV/0!</v>
      </c>
      <c r="E45" s="165" t="str">
        <f t="shared" si="15"/>
        <v>#DIV/0!</v>
      </c>
      <c r="F45" s="165" t="str">
        <f t="shared" si="15"/>
        <v>#DIV/0!</v>
      </c>
      <c r="G45" s="133"/>
      <c r="H45" s="133"/>
      <c r="I45" s="133"/>
      <c r="J45" s="133"/>
      <c r="K45" s="129"/>
      <c r="L45" s="133"/>
      <c r="M45" s="133"/>
      <c r="N45" s="133"/>
      <c r="O45" s="133"/>
      <c r="P45" s="133"/>
      <c r="Q45" s="133"/>
      <c r="R45" s="133"/>
      <c r="S45" s="133"/>
      <c r="T45" s="137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</row>
    <row r="46">
      <c r="A46" s="129"/>
      <c r="B46" s="129"/>
      <c r="C46" s="134"/>
      <c r="D46" s="134"/>
      <c r="E46" s="134"/>
      <c r="F46" s="134"/>
      <c r="G46" s="133"/>
      <c r="H46" s="133"/>
      <c r="I46" s="133"/>
      <c r="J46" s="133"/>
      <c r="K46" s="129"/>
      <c r="L46" s="133"/>
      <c r="M46" s="133"/>
      <c r="N46" s="133"/>
      <c r="O46" s="133"/>
      <c r="P46" s="133"/>
      <c r="Q46" s="133"/>
      <c r="R46" s="133"/>
      <c r="S46" s="133"/>
      <c r="T46" s="137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</row>
    <row r="47">
      <c r="A47" s="129"/>
      <c r="B47" s="129"/>
      <c r="C47" s="148" t="s">
        <v>125</v>
      </c>
      <c r="D47" s="38"/>
      <c r="E47" s="38"/>
      <c r="F47" s="38"/>
      <c r="G47" s="23"/>
      <c r="H47" s="167"/>
      <c r="I47" s="167"/>
      <c r="J47" s="167"/>
      <c r="K47" s="129"/>
      <c r="L47" s="133"/>
      <c r="M47" s="133"/>
      <c r="N47" s="133"/>
      <c r="O47" s="133"/>
      <c r="P47" s="133"/>
      <c r="Q47" s="133"/>
      <c r="R47" s="133"/>
      <c r="S47" s="133"/>
      <c r="T47" s="137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</row>
    <row r="48">
      <c r="A48" s="129"/>
      <c r="B48" s="129"/>
      <c r="C48" s="152" t="s">
        <v>109</v>
      </c>
      <c r="D48" s="176" t="s">
        <v>141</v>
      </c>
      <c r="E48" s="152" t="s">
        <v>142</v>
      </c>
      <c r="F48" s="152" t="s">
        <v>112</v>
      </c>
      <c r="G48" s="152" t="s">
        <v>113</v>
      </c>
      <c r="H48" s="167"/>
      <c r="I48" s="167"/>
      <c r="J48" s="167"/>
      <c r="K48" s="129"/>
      <c r="L48" s="137"/>
      <c r="M48" s="137"/>
      <c r="N48" s="137"/>
      <c r="O48" s="137"/>
      <c r="P48" s="137"/>
      <c r="Q48" s="137"/>
      <c r="R48" s="137"/>
      <c r="S48" s="137"/>
      <c r="T48" s="137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</row>
    <row r="49">
      <c r="A49" s="129"/>
      <c r="B49" s="129"/>
      <c r="C49" s="168"/>
      <c r="D49" s="168"/>
      <c r="E49" s="168"/>
      <c r="F49" s="168"/>
      <c r="G49" s="168"/>
      <c r="H49" s="167"/>
      <c r="I49" s="167"/>
      <c r="J49" s="167"/>
      <c r="K49" s="129"/>
      <c r="L49" s="137"/>
      <c r="M49" s="137"/>
      <c r="N49" s="137"/>
      <c r="O49" s="137"/>
      <c r="P49" s="137"/>
      <c r="Q49" s="137"/>
      <c r="R49" s="137"/>
      <c r="S49" s="137"/>
      <c r="T49" s="137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</row>
    <row r="50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6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</row>
    <row r="5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6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</row>
    <row r="52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6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</row>
    <row r="53" ht="30.0" customHeight="1">
      <c r="A53" s="129"/>
      <c r="B53" s="129"/>
      <c r="C53" s="134"/>
      <c r="D53" s="172" t="s">
        <v>2</v>
      </c>
      <c r="E53" s="23"/>
      <c r="F53" s="134"/>
      <c r="G53" s="133"/>
      <c r="H53" s="133"/>
      <c r="I53" s="133"/>
      <c r="J53" s="133"/>
      <c r="K53" s="129"/>
      <c r="L53" s="16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</row>
    <row r="54">
      <c r="A54" s="129"/>
      <c r="B54" s="129"/>
      <c r="C54" s="145" t="s">
        <v>114</v>
      </c>
      <c r="D54" s="145" t="s">
        <v>115</v>
      </c>
      <c r="E54" s="145" t="s">
        <v>116</v>
      </c>
      <c r="F54" s="145" t="s">
        <v>117</v>
      </c>
      <c r="G54" s="133"/>
      <c r="H54" s="147"/>
      <c r="I54" s="148" t="s">
        <v>118</v>
      </c>
      <c r="J54" s="23"/>
      <c r="K54" s="129"/>
      <c r="L54" s="16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</row>
    <row r="55">
      <c r="A55" s="129"/>
      <c r="B55" s="129"/>
      <c r="C55" s="152">
        <v>45483.0</v>
      </c>
      <c r="D55" s="153"/>
      <c r="E55" s="153"/>
      <c r="F55" s="153"/>
      <c r="G55" s="133"/>
      <c r="H55" s="154"/>
      <c r="I55" s="152" t="s">
        <v>120</v>
      </c>
      <c r="J55" s="155">
        <v>2700.0</v>
      </c>
      <c r="K55" s="129"/>
      <c r="L55" s="16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</row>
    <row r="56">
      <c r="A56" s="129"/>
      <c r="B56" s="129"/>
      <c r="C56" s="152">
        <v>45484.0</v>
      </c>
      <c r="D56" s="153"/>
      <c r="E56" s="153"/>
      <c r="F56" s="153"/>
      <c r="G56" s="133"/>
      <c r="H56" s="154"/>
      <c r="I56" s="152" t="s">
        <v>121</v>
      </c>
      <c r="J56" s="155">
        <v>160.0</v>
      </c>
      <c r="K56" s="129"/>
      <c r="L56" s="16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</row>
    <row r="57">
      <c r="A57" s="129"/>
      <c r="B57" s="129"/>
      <c r="C57" s="152">
        <v>45485.0</v>
      </c>
      <c r="D57" s="153"/>
      <c r="E57" s="153"/>
      <c r="F57" s="153"/>
      <c r="G57" s="133"/>
      <c r="H57" s="154"/>
      <c r="I57" s="152" t="s">
        <v>122</v>
      </c>
      <c r="J57" s="155">
        <v>380.0</v>
      </c>
      <c r="K57" s="129"/>
      <c r="L57" s="16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</row>
    <row r="58">
      <c r="A58" s="129"/>
      <c r="B58" s="129"/>
      <c r="C58" s="152">
        <v>45486.0</v>
      </c>
      <c r="D58" s="153"/>
      <c r="E58" s="153"/>
      <c r="F58" s="153"/>
      <c r="G58" s="133"/>
      <c r="H58" s="154"/>
      <c r="I58" s="152" t="s">
        <v>123</v>
      </c>
      <c r="J58" s="155">
        <v>60.0</v>
      </c>
      <c r="K58" s="129"/>
      <c r="L58" s="16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</row>
    <row r="59">
      <c r="A59" s="129"/>
      <c r="B59" s="129"/>
      <c r="C59" s="152">
        <v>45487.0</v>
      </c>
      <c r="D59" s="153"/>
      <c r="E59" s="153"/>
      <c r="F59" s="153"/>
      <c r="G59" s="133"/>
      <c r="H59" s="133"/>
      <c r="I59" s="133"/>
      <c r="J59" s="133"/>
      <c r="K59" s="129"/>
      <c r="L59" s="16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</row>
    <row r="60">
      <c r="A60" s="129"/>
      <c r="B60" s="129"/>
      <c r="C60" s="152">
        <v>45488.0</v>
      </c>
      <c r="D60" s="163"/>
      <c r="E60" s="153"/>
      <c r="F60" s="153"/>
      <c r="G60" s="133"/>
      <c r="H60" s="133"/>
      <c r="I60" s="133"/>
      <c r="J60" s="133"/>
      <c r="K60" s="129"/>
      <c r="L60" s="16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</row>
    <row r="61">
      <c r="A61" s="129"/>
      <c r="B61" s="129"/>
      <c r="C61" s="152">
        <v>45489.0</v>
      </c>
      <c r="D61" s="163"/>
      <c r="E61" s="153"/>
      <c r="F61" s="163"/>
      <c r="G61" s="133"/>
      <c r="H61" s="133"/>
      <c r="I61" s="133"/>
      <c r="J61" s="133"/>
      <c r="K61" s="129"/>
      <c r="L61" s="16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</row>
    <row r="62">
      <c r="A62" s="129"/>
      <c r="B62" s="129"/>
      <c r="C62" s="164" t="s">
        <v>124</v>
      </c>
      <c r="D62" s="165" t="str">
        <f t="shared" ref="D62:F62" si="16">AVERAGE(D55:D61)</f>
        <v>#DIV/0!</v>
      </c>
      <c r="E62" s="165" t="str">
        <f t="shared" si="16"/>
        <v>#DIV/0!</v>
      </c>
      <c r="F62" s="165" t="str">
        <f t="shared" si="16"/>
        <v>#DIV/0!</v>
      </c>
      <c r="G62" s="133"/>
      <c r="H62" s="133"/>
      <c r="I62" s="133"/>
      <c r="J62" s="133"/>
      <c r="K62" s="129"/>
      <c r="L62" s="16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</row>
    <row r="63">
      <c r="A63" s="129"/>
      <c r="B63" s="129"/>
      <c r="C63" s="134"/>
      <c r="D63" s="134"/>
      <c r="E63" s="134"/>
      <c r="F63" s="134"/>
      <c r="G63" s="133"/>
      <c r="H63" s="133"/>
      <c r="I63" s="133"/>
      <c r="J63" s="133"/>
      <c r="K63" s="129"/>
      <c r="L63" s="16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</row>
    <row r="64">
      <c r="A64" s="129"/>
      <c r="B64" s="129"/>
      <c r="C64" s="148" t="s">
        <v>125</v>
      </c>
      <c r="D64" s="38"/>
      <c r="E64" s="38"/>
      <c r="F64" s="38"/>
      <c r="G64" s="23"/>
      <c r="H64" s="167"/>
      <c r="I64" s="167"/>
      <c r="J64" s="167"/>
      <c r="K64" s="129"/>
      <c r="L64" s="16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</row>
    <row r="65">
      <c r="A65" s="129"/>
      <c r="B65" s="129"/>
      <c r="C65" s="152" t="s">
        <v>109</v>
      </c>
      <c r="D65" s="176" t="s">
        <v>141</v>
      </c>
      <c r="E65" s="152" t="s">
        <v>142</v>
      </c>
      <c r="F65" s="152" t="s">
        <v>112</v>
      </c>
      <c r="G65" s="152" t="s">
        <v>113</v>
      </c>
      <c r="H65" s="167"/>
      <c r="I65" s="167"/>
      <c r="J65" s="167"/>
      <c r="K65" s="129"/>
      <c r="L65" s="16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</row>
    <row r="66">
      <c r="A66" s="129"/>
      <c r="B66" s="129"/>
      <c r="C66" s="168"/>
      <c r="D66" s="168"/>
      <c r="E66" s="168"/>
      <c r="F66" s="168"/>
      <c r="G66" s="168"/>
      <c r="H66" s="167"/>
      <c r="I66" s="167"/>
      <c r="J66" s="167"/>
      <c r="K66" s="129"/>
      <c r="L66" s="16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</row>
    <row r="67" ht="21.0" customHeight="1">
      <c r="A67" s="129"/>
      <c r="B67" s="129"/>
      <c r="C67" s="129"/>
      <c r="D67" s="129"/>
      <c r="E67" s="129"/>
      <c r="F67" s="129"/>
      <c r="G67" s="129"/>
      <c r="H67" s="167"/>
      <c r="I67" s="167"/>
      <c r="J67" s="167"/>
      <c r="K67" s="129"/>
      <c r="L67" s="16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</row>
    <row r="68" ht="31.5" customHeight="1">
      <c r="A68" s="129"/>
      <c r="B68" s="129"/>
      <c r="C68" s="129"/>
      <c r="D68" s="129"/>
      <c r="E68" s="129"/>
      <c r="F68" s="129"/>
      <c r="G68" s="129"/>
      <c r="H68" s="167"/>
      <c r="I68" s="167"/>
      <c r="J68" s="167"/>
      <c r="K68" s="129"/>
      <c r="L68" s="16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</row>
    <row r="69" ht="30.0" customHeight="1">
      <c r="A69" s="129"/>
      <c r="B69" s="129"/>
      <c r="C69" s="134"/>
      <c r="D69" s="172" t="s">
        <v>3</v>
      </c>
      <c r="E69" s="23"/>
      <c r="F69" s="134"/>
      <c r="G69" s="133"/>
      <c r="H69" s="133"/>
      <c r="I69" s="133"/>
      <c r="J69" s="133"/>
      <c r="K69" s="129"/>
      <c r="L69" s="16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</row>
    <row r="70">
      <c r="A70" s="129"/>
      <c r="B70" s="129"/>
      <c r="C70" s="145" t="s">
        <v>114</v>
      </c>
      <c r="D70" s="145" t="s">
        <v>115</v>
      </c>
      <c r="E70" s="145" t="s">
        <v>116</v>
      </c>
      <c r="F70" s="145" t="s">
        <v>117</v>
      </c>
      <c r="G70" s="133"/>
      <c r="H70" s="147"/>
      <c r="I70" s="148" t="s">
        <v>118</v>
      </c>
      <c r="J70" s="23"/>
      <c r="K70" s="129"/>
      <c r="L70" s="16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</row>
    <row r="71">
      <c r="A71" s="129"/>
      <c r="B71" s="129"/>
      <c r="C71" s="152">
        <v>45483.0</v>
      </c>
      <c r="D71" s="153"/>
      <c r="E71" s="153"/>
      <c r="F71" s="153"/>
      <c r="G71" s="133"/>
      <c r="H71" s="154"/>
      <c r="I71" s="152" t="s">
        <v>120</v>
      </c>
      <c r="J71" s="155">
        <v>2700.0</v>
      </c>
      <c r="K71" s="129"/>
      <c r="L71" s="16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</row>
    <row r="72">
      <c r="A72" s="129"/>
      <c r="B72" s="129"/>
      <c r="C72" s="152">
        <v>45484.0</v>
      </c>
      <c r="D72" s="153"/>
      <c r="E72" s="153"/>
      <c r="F72" s="153"/>
      <c r="G72" s="133"/>
      <c r="H72" s="154"/>
      <c r="I72" s="152" t="s">
        <v>121</v>
      </c>
      <c r="J72" s="155">
        <v>160.0</v>
      </c>
      <c r="K72" s="129"/>
      <c r="L72" s="16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</row>
    <row r="73">
      <c r="A73" s="129"/>
      <c r="B73" s="129"/>
      <c r="C73" s="152">
        <v>45485.0</v>
      </c>
      <c r="D73" s="153"/>
      <c r="E73" s="153"/>
      <c r="F73" s="153"/>
      <c r="G73" s="133"/>
      <c r="H73" s="154"/>
      <c r="I73" s="152" t="s">
        <v>122</v>
      </c>
      <c r="J73" s="155">
        <v>380.0</v>
      </c>
      <c r="K73" s="129"/>
      <c r="L73" s="16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</row>
    <row r="74">
      <c r="A74" s="129"/>
      <c r="B74" s="129"/>
      <c r="C74" s="152">
        <v>45486.0</v>
      </c>
      <c r="D74" s="153"/>
      <c r="E74" s="153"/>
      <c r="F74" s="153"/>
      <c r="G74" s="133"/>
      <c r="H74" s="154"/>
      <c r="I74" s="152" t="s">
        <v>123</v>
      </c>
      <c r="J74" s="155">
        <v>60.0</v>
      </c>
      <c r="K74" s="129"/>
      <c r="L74" s="16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</row>
    <row r="75">
      <c r="A75" s="129"/>
      <c r="B75" s="129"/>
      <c r="C75" s="152">
        <v>45487.0</v>
      </c>
      <c r="D75" s="153"/>
      <c r="E75" s="153"/>
      <c r="F75" s="153"/>
      <c r="G75" s="133"/>
      <c r="H75" s="133"/>
      <c r="I75" s="133"/>
      <c r="J75" s="133"/>
      <c r="K75" s="129"/>
      <c r="L75" s="16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</row>
    <row r="76">
      <c r="A76" s="129"/>
      <c r="B76" s="129"/>
      <c r="C76" s="152">
        <v>45488.0</v>
      </c>
      <c r="D76" s="163"/>
      <c r="E76" s="153"/>
      <c r="F76" s="153"/>
      <c r="G76" s="133"/>
      <c r="H76" s="133"/>
      <c r="I76" s="133"/>
      <c r="J76" s="133"/>
      <c r="K76" s="129"/>
      <c r="L76" s="16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</row>
    <row r="77">
      <c r="A77" s="129"/>
      <c r="B77" s="129"/>
      <c r="C77" s="152">
        <v>45489.0</v>
      </c>
      <c r="D77" s="163"/>
      <c r="E77" s="153"/>
      <c r="F77" s="163"/>
      <c r="G77" s="133"/>
      <c r="H77" s="133"/>
      <c r="I77" s="133"/>
      <c r="J77" s="133"/>
      <c r="K77" s="129"/>
      <c r="L77" s="16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</row>
    <row r="78">
      <c r="A78" s="129"/>
      <c r="B78" s="129"/>
      <c r="C78" s="164" t="s">
        <v>124</v>
      </c>
      <c r="D78" s="165" t="str">
        <f t="shared" ref="D78:F78" si="17">AVERAGE(D71:D77)</f>
        <v>#DIV/0!</v>
      </c>
      <c r="E78" s="165" t="str">
        <f t="shared" si="17"/>
        <v>#DIV/0!</v>
      </c>
      <c r="F78" s="165" t="str">
        <f t="shared" si="17"/>
        <v>#DIV/0!</v>
      </c>
      <c r="G78" s="133"/>
      <c r="H78" s="133"/>
      <c r="I78" s="133"/>
      <c r="J78" s="133"/>
      <c r="K78" s="129"/>
      <c r="L78" s="16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</row>
    <row r="79">
      <c r="A79" s="129"/>
      <c r="B79" s="129"/>
      <c r="C79" s="134"/>
      <c r="D79" s="134"/>
      <c r="E79" s="134"/>
      <c r="F79" s="134"/>
      <c r="G79" s="133"/>
      <c r="H79" s="133"/>
      <c r="I79" s="133"/>
      <c r="J79" s="133"/>
      <c r="K79" s="129"/>
      <c r="L79" s="16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</row>
    <row r="80">
      <c r="A80" s="129"/>
      <c r="B80" s="129"/>
      <c r="C80" s="148" t="s">
        <v>125</v>
      </c>
      <c r="D80" s="38"/>
      <c r="E80" s="38"/>
      <c r="F80" s="38"/>
      <c r="G80" s="23"/>
      <c r="H80" s="167"/>
      <c r="I80" s="167"/>
      <c r="J80" s="167"/>
      <c r="K80" s="129"/>
      <c r="L80" s="16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</row>
    <row r="81">
      <c r="A81" s="129"/>
      <c r="B81" s="129"/>
      <c r="C81" s="152" t="s">
        <v>109</v>
      </c>
      <c r="D81" s="176" t="s">
        <v>141</v>
      </c>
      <c r="E81" s="152" t="s">
        <v>142</v>
      </c>
      <c r="F81" s="152" t="s">
        <v>112</v>
      </c>
      <c r="G81" s="152" t="s">
        <v>113</v>
      </c>
      <c r="H81" s="167"/>
      <c r="I81" s="167"/>
      <c r="J81" s="167"/>
      <c r="K81" s="129"/>
      <c r="L81" s="16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</row>
    <row r="82">
      <c r="A82" s="129"/>
      <c r="B82" s="129"/>
      <c r="C82" s="168"/>
      <c r="D82" s="168"/>
      <c r="E82" s="168"/>
      <c r="F82" s="168"/>
      <c r="G82" s="168"/>
      <c r="H82" s="167"/>
      <c r="I82" s="167"/>
      <c r="J82" s="167"/>
      <c r="K82" s="129"/>
      <c r="L82" s="16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</row>
    <row r="83">
      <c r="A83" s="129"/>
      <c r="B83" s="129"/>
      <c r="C83" s="129"/>
      <c r="D83" s="129"/>
      <c r="E83" s="129"/>
      <c r="F83" s="129"/>
      <c r="G83" s="129"/>
      <c r="H83" s="167"/>
      <c r="I83" s="167"/>
      <c r="J83" s="167"/>
      <c r="K83" s="129"/>
      <c r="L83" s="16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</row>
    <row r="84">
      <c r="A84" s="129"/>
      <c r="B84" s="129"/>
      <c r="C84" s="129"/>
      <c r="D84" s="129"/>
      <c r="E84" s="129"/>
      <c r="F84" s="129"/>
      <c r="G84" s="129"/>
      <c r="H84" s="167"/>
      <c r="I84" s="167"/>
      <c r="J84" s="167"/>
      <c r="K84" s="129"/>
      <c r="L84" s="16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</row>
    <row r="85" ht="30.0" customHeight="1">
      <c r="A85" s="129"/>
      <c r="B85" s="129"/>
      <c r="C85" s="134"/>
      <c r="D85" s="172" t="s">
        <v>131</v>
      </c>
      <c r="E85" s="23"/>
      <c r="F85" s="134"/>
      <c r="G85" s="133"/>
      <c r="H85" s="133"/>
      <c r="I85" s="133"/>
      <c r="J85" s="133"/>
      <c r="K85" s="129"/>
      <c r="L85" s="16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</row>
    <row r="86">
      <c r="A86" s="129"/>
      <c r="B86" s="129"/>
      <c r="C86" s="145" t="s">
        <v>114</v>
      </c>
      <c r="D86" s="145" t="s">
        <v>115</v>
      </c>
      <c r="E86" s="145" t="s">
        <v>116</v>
      </c>
      <c r="F86" s="145" t="s">
        <v>117</v>
      </c>
      <c r="G86" s="133"/>
      <c r="H86" s="147"/>
      <c r="I86" s="148" t="s">
        <v>118</v>
      </c>
      <c r="J86" s="23"/>
      <c r="K86" s="129"/>
      <c r="L86" s="16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</row>
    <row r="87">
      <c r="A87" s="129"/>
      <c r="B87" s="129"/>
      <c r="C87" s="152">
        <v>45483.0</v>
      </c>
      <c r="D87" s="153"/>
      <c r="E87" s="153"/>
      <c r="F87" s="153"/>
      <c r="G87" s="133"/>
      <c r="H87" s="154"/>
      <c r="I87" s="152" t="s">
        <v>120</v>
      </c>
      <c r="J87" s="155">
        <v>2700.0</v>
      </c>
      <c r="K87" s="129"/>
      <c r="L87" s="16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</row>
    <row r="88">
      <c r="A88" s="129"/>
      <c r="B88" s="129"/>
      <c r="C88" s="152">
        <v>45484.0</v>
      </c>
      <c r="D88" s="153"/>
      <c r="E88" s="153"/>
      <c r="F88" s="153"/>
      <c r="G88" s="133"/>
      <c r="H88" s="154"/>
      <c r="I88" s="152" t="s">
        <v>121</v>
      </c>
      <c r="J88" s="155">
        <v>160.0</v>
      </c>
      <c r="K88" s="129"/>
      <c r="L88" s="16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</row>
    <row r="89">
      <c r="A89" s="129"/>
      <c r="B89" s="129"/>
      <c r="C89" s="152">
        <v>45485.0</v>
      </c>
      <c r="D89" s="153"/>
      <c r="E89" s="153"/>
      <c r="F89" s="153"/>
      <c r="G89" s="133"/>
      <c r="H89" s="154"/>
      <c r="I89" s="152" t="s">
        <v>122</v>
      </c>
      <c r="J89" s="155">
        <v>380.0</v>
      </c>
      <c r="K89" s="129"/>
      <c r="L89" s="16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</row>
    <row r="90">
      <c r="A90" s="129"/>
      <c r="B90" s="129"/>
      <c r="C90" s="152">
        <v>45486.0</v>
      </c>
      <c r="D90" s="153"/>
      <c r="E90" s="153"/>
      <c r="F90" s="153"/>
      <c r="G90" s="133"/>
      <c r="H90" s="154"/>
      <c r="I90" s="152" t="s">
        <v>123</v>
      </c>
      <c r="J90" s="155">
        <v>60.0</v>
      </c>
      <c r="K90" s="129"/>
      <c r="L90" s="16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</row>
    <row r="91">
      <c r="A91" s="129"/>
      <c r="B91" s="129"/>
      <c r="C91" s="152">
        <v>45487.0</v>
      </c>
      <c r="D91" s="153"/>
      <c r="E91" s="153"/>
      <c r="F91" s="153"/>
      <c r="G91" s="133"/>
      <c r="H91" s="133"/>
      <c r="I91" s="133"/>
      <c r="J91" s="133"/>
      <c r="K91" s="129"/>
      <c r="L91" s="16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</row>
    <row r="92">
      <c r="A92" s="129"/>
      <c r="B92" s="129"/>
      <c r="C92" s="152">
        <v>45488.0</v>
      </c>
      <c r="D92" s="163"/>
      <c r="E92" s="153"/>
      <c r="F92" s="153"/>
      <c r="G92" s="133"/>
      <c r="H92" s="133"/>
      <c r="I92" s="133"/>
      <c r="J92" s="133"/>
      <c r="K92" s="129"/>
      <c r="L92" s="16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</row>
    <row r="93">
      <c r="A93" s="129"/>
      <c r="B93" s="129"/>
      <c r="C93" s="152">
        <v>45489.0</v>
      </c>
      <c r="D93" s="163"/>
      <c r="E93" s="153"/>
      <c r="F93" s="163"/>
      <c r="G93" s="133"/>
      <c r="H93" s="133"/>
      <c r="I93" s="133"/>
      <c r="J93" s="133"/>
      <c r="K93" s="129"/>
      <c r="L93" s="16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</row>
    <row r="94">
      <c r="A94" s="129"/>
      <c r="B94" s="129"/>
      <c r="C94" s="164" t="s">
        <v>124</v>
      </c>
      <c r="D94" s="165" t="str">
        <f t="shared" ref="D94:F94" si="18">AVERAGE(D87:D93)</f>
        <v>#DIV/0!</v>
      </c>
      <c r="E94" s="165" t="str">
        <f t="shared" si="18"/>
        <v>#DIV/0!</v>
      </c>
      <c r="F94" s="165" t="str">
        <f t="shared" si="18"/>
        <v>#DIV/0!</v>
      </c>
      <c r="G94" s="133"/>
      <c r="H94" s="133"/>
      <c r="I94" s="133"/>
      <c r="J94" s="133"/>
      <c r="K94" s="129"/>
      <c r="L94" s="16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</row>
    <row r="95">
      <c r="A95" s="129"/>
      <c r="B95" s="129"/>
      <c r="C95" s="134"/>
      <c r="D95" s="134"/>
      <c r="E95" s="134"/>
      <c r="F95" s="134"/>
      <c r="G95" s="133"/>
      <c r="H95" s="133"/>
      <c r="I95" s="133"/>
      <c r="J95" s="133"/>
      <c r="K95" s="129"/>
      <c r="L95" s="16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</row>
    <row r="96">
      <c r="A96" s="129"/>
      <c r="B96" s="129"/>
      <c r="C96" s="148" t="s">
        <v>125</v>
      </c>
      <c r="D96" s="38"/>
      <c r="E96" s="38"/>
      <c r="F96" s="38"/>
      <c r="G96" s="23"/>
      <c r="H96" s="167"/>
      <c r="I96" s="167"/>
      <c r="J96" s="167"/>
      <c r="K96" s="129"/>
      <c r="L96" s="16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</row>
    <row r="97">
      <c r="A97" s="129"/>
      <c r="B97" s="129"/>
      <c r="C97" s="152" t="s">
        <v>109</v>
      </c>
      <c r="D97" s="176" t="s">
        <v>141</v>
      </c>
      <c r="E97" s="152" t="s">
        <v>142</v>
      </c>
      <c r="F97" s="152" t="s">
        <v>112</v>
      </c>
      <c r="G97" s="152" t="s">
        <v>113</v>
      </c>
      <c r="H97" s="167"/>
      <c r="I97" s="167"/>
      <c r="J97" s="167"/>
      <c r="K97" s="129"/>
      <c r="L97" s="16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</row>
    <row r="98">
      <c r="A98" s="129"/>
      <c r="B98" s="129"/>
      <c r="C98" s="168"/>
      <c r="D98" s="168"/>
      <c r="E98" s="168"/>
      <c r="F98" s="168"/>
      <c r="G98" s="168"/>
      <c r="H98" s="167"/>
      <c r="I98" s="167"/>
      <c r="J98" s="167"/>
      <c r="K98" s="129"/>
      <c r="L98" s="16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</row>
    <row r="99">
      <c r="A99" s="129"/>
      <c r="B99" s="129"/>
      <c r="C99" s="129"/>
      <c r="D99" s="129"/>
      <c r="E99" s="129"/>
      <c r="F99" s="129"/>
      <c r="G99" s="129"/>
      <c r="H99" s="167"/>
      <c r="I99" s="167"/>
      <c r="J99" s="167"/>
      <c r="K99" s="129"/>
      <c r="L99" s="16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</row>
    <row r="100">
      <c r="A100" s="129"/>
      <c r="B100" s="129"/>
      <c r="C100" s="129"/>
      <c r="D100" s="129"/>
      <c r="E100" s="129"/>
      <c r="F100" s="129"/>
      <c r="G100" s="129"/>
      <c r="H100" s="167"/>
      <c r="I100" s="167"/>
      <c r="J100" s="167"/>
      <c r="K100" s="129"/>
      <c r="L100" s="16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</row>
    <row r="101" ht="27.0" customHeight="1">
      <c r="A101" s="129"/>
      <c r="B101" s="129"/>
      <c r="C101" s="134"/>
      <c r="D101" s="172" t="s">
        <v>132</v>
      </c>
      <c r="E101" s="23"/>
      <c r="F101" s="134"/>
      <c r="G101" s="133"/>
      <c r="H101" s="133"/>
      <c r="I101" s="133"/>
      <c r="J101" s="133"/>
      <c r="K101" s="129"/>
      <c r="L101" s="16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</row>
    <row r="102">
      <c r="A102" s="129"/>
      <c r="B102" s="129"/>
      <c r="C102" s="145" t="s">
        <v>114</v>
      </c>
      <c r="D102" s="145" t="s">
        <v>115</v>
      </c>
      <c r="E102" s="145" t="s">
        <v>116</v>
      </c>
      <c r="F102" s="145" t="s">
        <v>117</v>
      </c>
      <c r="G102" s="133"/>
      <c r="H102" s="147"/>
      <c r="I102" s="148" t="s">
        <v>118</v>
      </c>
      <c r="J102" s="23"/>
      <c r="K102" s="129"/>
      <c r="L102" s="16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</row>
    <row r="103">
      <c r="A103" s="129"/>
      <c r="B103" s="129"/>
      <c r="C103" s="152">
        <v>45483.0</v>
      </c>
      <c r="D103" s="153"/>
      <c r="E103" s="153"/>
      <c r="F103" s="153"/>
      <c r="G103" s="133"/>
      <c r="H103" s="154"/>
      <c r="I103" s="152" t="s">
        <v>120</v>
      </c>
      <c r="J103" s="155">
        <v>2700.0</v>
      </c>
      <c r="K103" s="129"/>
      <c r="L103" s="16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</row>
    <row r="104">
      <c r="A104" s="129"/>
      <c r="B104" s="129"/>
      <c r="C104" s="152">
        <v>45484.0</v>
      </c>
      <c r="D104" s="153"/>
      <c r="E104" s="153"/>
      <c r="F104" s="153"/>
      <c r="G104" s="133"/>
      <c r="H104" s="154"/>
      <c r="I104" s="152" t="s">
        <v>121</v>
      </c>
      <c r="J104" s="155">
        <v>160.0</v>
      </c>
      <c r="K104" s="129"/>
      <c r="L104" s="16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</row>
    <row r="105">
      <c r="A105" s="129"/>
      <c r="B105" s="129"/>
      <c r="C105" s="152">
        <v>45485.0</v>
      </c>
      <c r="D105" s="153"/>
      <c r="E105" s="153"/>
      <c r="F105" s="153"/>
      <c r="G105" s="133"/>
      <c r="H105" s="154"/>
      <c r="I105" s="152" t="s">
        <v>122</v>
      </c>
      <c r="J105" s="155">
        <v>380.0</v>
      </c>
      <c r="K105" s="129"/>
      <c r="L105" s="16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</row>
    <row r="106">
      <c r="A106" s="129"/>
      <c r="B106" s="129"/>
      <c r="C106" s="152">
        <v>45486.0</v>
      </c>
      <c r="D106" s="153"/>
      <c r="E106" s="153"/>
      <c r="F106" s="153"/>
      <c r="G106" s="133"/>
      <c r="H106" s="154"/>
      <c r="I106" s="152" t="s">
        <v>123</v>
      </c>
      <c r="J106" s="155">
        <v>60.0</v>
      </c>
      <c r="K106" s="129"/>
      <c r="L106" s="16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</row>
    <row r="107">
      <c r="A107" s="129"/>
      <c r="B107" s="129"/>
      <c r="C107" s="152">
        <v>45487.0</v>
      </c>
      <c r="D107" s="153"/>
      <c r="E107" s="153"/>
      <c r="F107" s="153"/>
      <c r="G107" s="133"/>
      <c r="H107" s="133"/>
      <c r="I107" s="133"/>
      <c r="J107" s="133"/>
      <c r="K107" s="129"/>
      <c r="L107" s="16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</row>
    <row r="108">
      <c r="A108" s="129"/>
      <c r="B108" s="129"/>
      <c r="C108" s="152">
        <v>45488.0</v>
      </c>
      <c r="D108" s="163"/>
      <c r="E108" s="153"/>
      <c r="F108" s="153"/>
      <c r="G108" s="133"/>
      <c r="H108" s="133"/>
      <c r="I108" s="133"/>
      <c r="J108" s="133"/>
      <c r="K108" s="129"/>
      <c r="L108" s="16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</row>
    <row r="109">
      <c r="A109" s="129"/>
      <c r="B109" s="129"/>
      <c r="C109" s="152">
        <v>45489.0</v>
      </c>
      <c r="D109" s="163"/>
      <c r="E109" s="153"/>
      <c r="F109" s="163"/>
      <c r="G109" s="133"/>
      <c r="H109" s="133"/>
      <c r="I109" s="133"/>
      <c r="J109" s="133"/>
      <c r="K109" s="129"/>
      <c r="L109" s="16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</row>
    <row r="110">
      <c r="A110" s="129"/>
      <c r="B110" s="129"/>
      <c r="C110" s="164" t="s">
        <v>124</v>
      </c>
      <c r="D110" s="165" t="str">
        <f t="shared" ref="D110:F110" si="19">AVERAGE(D103:D109)</f>
        <v>#DIV/0!</v>
      </c>
      <c r="E110" s="165" t="str">
        <f t="shared" si="19"/>
        <v>#DIV/0!</v>
      </c>
      <c r="F110" s="165" t="str">
        <f t="shared" si="19"/>
        <v>#DIV/0!</v>
      </c>
      <c r="G110" s="133"/>
      <c r="H110" s="133"/>
      <c r="I110" s="133"/>
      <c r="J110" s="133"/>
      <c r="K110" s="129"/>
      <c r="L110" s="16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</row>
    <row r="111">
      <c r="A111" s="129"/>
      <c r="B111" s="129"/>
      <c r="C111" s="134"/>
      <c r="D111" s="134"/>
      <c r="E111" s="134"/>
      <c r="F111" s="134"/>
      <c r="G111" s="133"/>
      <c r="H111" s="133"/>
      <c r="I111" s="133"/>
      <c r="J111" s="133"/>
      <c r="K111" s="129"/>
      <c r="L111" s="16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</row>
    <row r="112">
      <c r="A112" s="129"/>
      <c r="B112" s="129"/>
      <c r="C112" s="148" t="s">
        <v>125</v>
      </c>
      <c r="D112" s="38"/>
      <c r="E112" s="38"/>
      <c r="F112" s="38"/>
      <c r="G112" s="23"/>
      <c r="H112" s="167"/>
      <c r="I112" s="167"/>
      <c r="J112" s="167"/>
      <c r="K112" s="129"/>
      <c r="L112" s="16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</row>
    <row r="113">
      <c r="A113" s="129"/>
      <c r="B113" s="129"/>
      <c r="C113" s="152" t="s">
        <v>109</v>
      </c>
      <c r="D113" s="176" t="s">
        <v>141</v>
      </c>
      <c r="E113" s="152" t="s">
        <v>142</v>
      </c>
      <c r="F113" s="152" t="s">
        <v>112</v>
      </c>
      <c r="G113" s="152" t="s">
        <v>113</v>
      </c>
      <c r="H113" s="167"/>
      <c r="I113" s="167"/>
      <c r="J113" s="167"/>
      <c r="K113" s="129"/>
      <c r="L113" s="16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</row>
    <row r="114">
      <c r="A114" s="129"/>
      <c r="B114" s="129"/>
      <c r="C114" s="168"/>
      <c r="D114" s="168"/>
      <c r="E114" s="168"/>
      <c r="F114" s="168"/>
      <c r="G114" s="168"/>
      <c r="H114" s="167"/>
      <c r="I114" s="167"/>
      <c r="J114" s="167"/>
      <c r="K114" s="129"/>
      <c r="L114" s="16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</row>
    <row r="115">
      <c r="A115" s="129"/>
      <c r="B115" s="129"/>
      <c r="C115" s="133"/>
      <c r="D115" s="133"/>
      <c r="E115" s="133"/>
      <c r="F115" s="133"/>
      <c r="G115" s="129"/>
      <c r="H115" s="129"/>
      <c r="I115" s="129"/>
      <c r="J115" s="129"/>
      <c r="K115" s="129"/>
      <c r="L115" s="16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</row>
    <row r="116">
      <c r="A116" s="129"/>
      <c r="B116" s="129"/>
      <c r="C116" s="16"/>
      <c r="D116" s="16"/>
      <c r="E116" s="16"/>
      <c r="F116" s="16"/>
      <c r="G116" s="129"/>
      <c r="H116" s="129"/>
      <c r="I116" s="129"/>
      <c r="J116" s="129"/>
      <c r="K116" s="129"/>
      <c r="L116" s="16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</row>
    <row r="117">
      <c r="A117" s="129"/>
      <c r="B117" s="129"/>
      <c r="C117" s="16"/>
      <c r="D117" s="16"/>
      <c r="E117" s="16"/>
      <c r="F117" s="16"/>
      <c r="G117" s="129"/>
      <c r="H117" s="129"/>
      <c r="I117" s="129"/>
      <c r="J117" s="129"/>
      <c r="K117" s="129"/>
      <c r="L117" s="16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</row>
    <row r="118" ht="30.0" customHeight="1">
      <c r="A118" s="129"/>
      <c r="B118" s="129"/>
      <c r="C118" s="134"/>
      <c r="D118" s="172" t="s">
        <v>133</v>
      </c>
      <c r="E118" s="23"/>
      <c r="F118" s="134"/>
      <c r="G118" s="133"/>
      <c r="H118" s="133"/>
      <c r="I118" s="133"/>
      <c r="J118" s="133"/>
      <c r="K118" s="129"/>
      <c r="L118" s="16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</row>
    <row r="119">
      <c r="A119" s="129"/>
      <c r="B119" s="129"/>
      <c r="C119" s="145" t="s">
        <v>114</v>
      </c>
      <c r="D119" s="145" t="s">
        <v>115</v>
      </c>
      <c r="E119" s="145" t="s">
        <v>116</v>
      </c>
      <c r="F119" s="145" t="s">
        <v>117</v>
      </c>
      <c r="G119" s="133"/>
      <c r="H119" s="147"/>
      <c r="I119" s="148" t="s">
        <v>118</v>
      </c>
      <c r="J119" s="23"/>
      <c r="K119" s="129"/>
      <c r="L119" s="16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</row>
    <row r="120">
      <c r="A120" s="129"/>
      <c r="B120" s="129"/>
      <c r="C120" s="152">
        <v>45483.0</v>
      </c>
      <c r="D120" s="153"/>
      <c r="E120" s="153"/>
      <c r="F120" s="153"/>
      <c r="G120" s="133"/>
      <c r="H120" s="154"/>
      <c r="I120" s="152" t="s">
        <v>120</v>
      </c>
      <c r="J120" s="155">
        <v>2700.0</v>
      </c>
      <c r="K120" s="129"/>
      <c r="L120" s="16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</row>
    <row r="121">
      <c r="A121" s="129"/>
      <c r="B121" s="129"/>
      <c r="C121" s="152">
        <v>45484.0</v>
      </c>
      <c r="D121" s="153"/>
      <c r="E121" s="153"/>
      <c r="F121" s="153"/>
      <c r="G121" s="133"/>
      <c r="H121" s="154"/>
      <c r="I121" s="152" t="s">
        <v>121</v>
      </c>
      <c r="J121" s="155">
        <v>160.0</v>
      </c>
      <c r="K121" s="129"/>
      <c r="L121" s="16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</row>
    <row r="122">
      <c r="A122" s="129"/>
      <c r="B122" s="129"/>
      <c r="C122" s="152">
        <v>45485.0</v>
      </c>
      <c r="D122" s="153"/>
      <c r="E122" s="153"/>
      <c r="F122" s="153"/>
      <c r="G122" s="133"/>
      <c r="H122" s="154"/>
      <c r="I122" s="152" t="s">
        <v>122</v>
      </c>
      <c r="J122" s="155">
        <v>380.0</v>
      </c>
      <c r="K122" s="129"/>
      <c r="L122" s="16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</row>
    <row r="123">
      <c r="A123" s="129"/>
      <c r="B123" s="129"/>
      <c r="C123" s="152">
        <v>45486.0</v>
      </c>
      <c r="D123" s="153"/>
      <c r="E123" s="153"/>
      <c r="F123" s="153"/>
      <c r="G123" s="133"/>
      <c r="H123" s="154"/>
      <c r="I123" s="152" t="s">
        <v>123</v>
      </c>
      <c r="J123" s="155">
        <v>60.0</v>
      </c>
      <c r="K123" s="129"/>
      <c r="L123" s="16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</row>
    <row r="124">
      <c r="A124" s="129"/>
      <c r="B124" s="129"/>
      <c r="C124" s="152">
        <v>45487.0</v>
      </c>
      <c r="D124" s="153"/>
      <c r="E124" s="153"/>
      <c r="F124" s="153"/>
      <c r="G124" s="133"/>
      <c r="H124" s="133"/>
      <c r="I124" s="133"/>
      <c r="J124" s="133"/>
      <c r="K124" s="129"/>
      <c r="L124" s="16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</row>
    <row r="125">
      <c r="A125" s="129"/>
      <c r="B125" s="129"/>
      <c r="C125" s="152">
        <v>45488.0</v>
      </c>
      <c r="D125" s="163"/>
      <c r="E125" s="153"/>
      <c r="F125" s="153"/>
      <c r="G125" s="133"/>
      <c r="H125" s="133"/>
      <c r="I125" s="133"/>
      <c r="J125" s="133"/>
      <c r="K125" s="129"/>
      <c r="L125" s="16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</row>
    <row r="126">
      <c r="A126" s="129"/>
      <c r="B126" s="129"/>
      <c r="C126" s="152">
        <v>45489.0</v>
      </c>
      <c r="D126" s="163"/>
      <c r="E126" s="153"/>
      <c r="F126" s="163"/>
      <c r="G126" s="133"/>
      <c r="H126" s="133"/>
      <c r="I126" s="133"/>
      <c r="J126" s="133"/>
      <c r="K126" s="129"/>
      <c r="L126" s="16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</row>
    <row r="127">
      <c r="A127" s="129"/>
      <c r="B127" s="129"/>
      <c r="C127" s="164" t="s">
        <v>124</v>
      </c>
      <c r="D127" s="165" t="str">
        <f t="shared" ref="D127:F127" si="20">AVERAGE(D120:D126)</f>
        <v>#DIV/0!</v>
      </c>
      <c r="E127" s="165" t="str">
        <f t="shared" si="20"/>
        <v>#DIV/0!</v>
      </c>
      <c r="F127" s="165" t="str">
        <f t="shared" si="20"/>
        <v>#DIV/0!</v>
      </c>
      <c r="G127" s="133"/>
      <c r="H127" s="133"/>
      <c r="I127" s="133"/>
      <c r="J127" s="133"/>
      <c r="K127" s="129"/>
      <c r="L127" s="16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</row>
    <row r="128">
      <c r="A128" s="129"/>
      <c r="B128" s="129"/>
      <c r="C128" s="134"/>
      <c r="D128" s="134"/>
      <c r="E128" s="134"/>
      <c r="F128" s="134"/>
      <c r="G128" s="133"/>
      <c r="H128" s="133"/>
      <c r="I128" s="133"/>
      <c r="J128" s="133"/>
      <c r="K128" s="129"/>
      <c r="L128" s="16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</row>
    <row r="129">
      <c r="A129" s="129"/>
      <c r="B129" s="129"/>
      <c r="C129" s="148" t="s">
        <v>125</v>
      </c>
      <c r="D129" s="38"/>
      <c r="E129" s="38"/>
      <c r="F129" s="38"/>
      <c r="G129" s="23"/>
      <c r="H129" s="167"/>
      <c r="I129" s="167"/>
      <c r="J129" s="167"/>
      <c r="K129" s="129"/>
      <c r="L129" s="16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</row>
    <row r="130">
      <c r="A130" s="129"/>
      <c r="B130" s="129"/>
      <c r="C130" s="152" t="s">
        <v>109</v>
      </c>
      <c r="D130" s="176" t="s">
        <v>141</v>
      </c>
      <c r="E130" s="152" t="s">
        <v>142</v>
      </c>
      <c r="F130" s="152" t="s">
        <v>112</v>
      </c>
      <c r="G130" s="152" t="s">
        <v>113</v>
      </c>
      <c r="H130" s="167"/>
      <c r="I130" s="167"/>
      <c r="J130" s="167"/>
      <c r="K130" s="129"/>
      <c r="L130" s="16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</row>
    <row r="131">
      <c r="A131" s="129"/>
      <c r="B131" s="129"/>
      <c r="C131" s="168"/>
      <c r="D131" s="168"/>
      <c r="E131" s="168"/>
      <c r="F131" s="168"/>
      <c r="G131" s="168"/>
      <c r="H131" s="167"/>
      <c r="I131" s="167"/>
      <c r="J131" s="167"/>
      <c r="K131" s="129"/>
      <c r="L131" s="16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</row>
    <row r="132">
      <c r="A132" s="129"/>
      <c r="B132" s="129"/>
      <c r="C132" s="129"/>
      <c r="D132" s="129"/>
      <c r="E132" s="129"/>
      <c r="F132" s="129"/>
      <c r="G132" s="129"/>
      <c r="H132" s="167"/>
      <c r="I132" s="167"/>
      <c r="J132" s="167"/>
      <c r="K132" s="129"/>
      <c r="L132" s="16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</row>
    <row r="133">
      <c r="A133" s="129"/>
      <c r="B133" s="129"/>
      <c r="C133" s="129"/>
      <c r="D133" s="129"/>
      <c r="E133" s="129"/>
      <c r="F133" s="129"/>
      <c r="G133" s="129"/>
      <c r="H133" s="167"/>
      <c r="I133" s="167"/>
      <c r="J133" s="167"/>
      <c r="K133" s="129"/>
      <c r="L133" s="16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</row>
    <row r="134">
      <c r="A134" s="129"/>
      <c r="B134" s="129"/>
      <c r="C134" s="129"/>
      <c r="D134" s="129"/>
      <c r="E134" s="129"/>
      <c r="F134" s="129"/>
      <c r="G134" s="129"/>
      <c r="H134" s="167"/>
      <c r="I134" s="167"/>
      <c r="J134" s="167"/>
      <c r="K134" s="129"/>
      <c r="L134" s="16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</row>
    <row r="135" ht="31.5" customHeight="1">
      <c r="A135" s="129"/>
      <c r="B135" s="129"/>
      <c r="C135" s="134"/>
      <c r="D135" s="172" t="s">
        <v>134</v>
      </c>
      <c r="E135" s="23"/>
      <c r="F135" s="134"/>
      <c r="G135" s="133"/>
      <c r="H135" s="133"/>
      <c r="I135" s="133"/>
      <c r="J135" s="133"/>
      <c r="K135" s="129"/>
      <c r="L135" s="16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</row>
    <row r="136">
      <c r="A136" s="129"/>
      <c r="B136" s="129"/>
      <c r="C136" s="145" t="s">
        <v>114</v>
      </c>
      <c r="D136" s="145" t="s">
        <v>115</v>
      </c>
      <c r="E136" s="145" t="s">
        <v>116</v>
      </c>
      <c r="F136" s="145" t="s">
        <v>117</v>
      </c>
      <c r="G136" s="133"/>
      <c r="H136" s="147"/>
      <c r="I136" s="148" t="s">
        <v>118</v>
      </c>
      <c r="J136" s="23"/>
      <c r="K136" s="129"/>
      <c r="L136" s="16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</row>
    <row r="137">
      <c r="A137" s="129"/>
      <c r="B137" s="129"/>
      <c r="C137" s="152">
        <v>45483.0</v>
      </c>
      <c r="D137" s="153"/>
      <c r="E137" s="153"/>
      <c r="F137" s="153"/>
      <c r="G137" s="133"/>
      <c r="H137" s="154"/>
      <c r="I137" s="152" t="s">
        <v>120</v>
      </c>
      <c r="J137" s="155">
        <v>2700.0</v>
      </c>
      <c r="K137" s="129"/>
      <c r="L137" s="16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</row>
    <row r="138">
      <c r="A138" s="129"/>
      <c r="B138" s="129"/>
      <c r="C138" s="152">
        <v>45484.0</v>
      </c>
      <c r="D138" s="153"/>
      <c r="E138" s="153"/>
      <c r="F138" s="153"/>
      <c r="G138" s="133"/>
      <c r="H138" s="154"/>
      <c r="I138" s="152" t="s">
        <v>121</v>
      </c>
      <c r="J138" s="155">
        <v>160.0</v>
      </c>
      <c r="K138" s="129"/>
      <c r="L138" s="16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</row>
    <row r="139">
      <c r="A139" s="129"/>
      <c r="B139" s="129"/>
      <c r="C139" s="152">
        <v>45485.0</v>
      </c>
      <c r="D139" s="153"/>
      <c r="E139" s="153"/>
      <c r="F139" s="153"/>
      <c r="G139" s="133"/>
      <c r="H139" s="154"/>
      <c r="I139" s="152" t="s">
        <v>122</v>
      </c>
      <c r="J139" s="155">
        <v>380.0</v>
      </c>
      <c r="K139" s="129"/>
      <c r="L139" s="16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</row>
    <row r="140">
      <c r="A140" s="129"/>
      <c r="B140" s="129"/>
      <c r="C140" s="152">
        <v>45486.0</v>
      </c>
      <c r="D140" s="153"/>
      <c r="E140" s="153"/>
      <c r="F140" s="153"/>
      <c r="G140" s="133"/>
      <c r="H140" s="154"/>
      <c r="I140" s="152" t="s">
        <v>123</v>
      </c>
      <c r="J140" s="155">
        <v>60.0</v>
      </c>
      <c r="K140" s="129"/>
      <c r="L140" s="16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</row>
    <row r="141">
      <c r="A141" s="129"/>
      <c r="B141" s="129"/>
      <c r="C141" s="152">
        <v>45487.0</v>
      </c>
      <c r="D141" s="153"/>
      <c r="E141" s="153"/>
      <c r="F141" s="153"/>
      <c r="G141" s="133"/>
      <c r="H141" s="133"/>
      <c r="I141" s="133"/>
      <c r="J141" s="133"/>
      <c r="K141" s="129"/>
      <c r="L141" s="16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</row>
    <row r="142">
      <c r="A142" s="129"/>
      <c r="B142" s="129"/>
      <c r="C142" s="152">
        <v>45488.0</v>
      </c>
      <c r="D142" s="163"/>
      <c r="E142" s="153"/>
      <c r="F142" s="153"/>
      <c r="G142" s="133"/>
      <c r="H142" s="133"/>
      <c r="I142" s="133"/>
      <c r="J142" s="133"/>
      <c r="K142" s="129"/>
      <c r="L142" s="16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</row>
    <row r="143">
      <c r="A143" s="129"/>
      <c r="B143" s="129"/>
      <c r="C143" s="152">
        <v>45489.0</v>
      </c>
      <c r="D143" s="163"/>
      <c r="E143" s="153"/>
      <c r="F143" s="163"/>
      <c r="G143" s="133"/>
      <c r="H143" s="133"/>
      <c r="I143" s="133"/>
      <c r="J143" s="133"/>
      <c r="K143" s="129"/>
      <c r="L143" s="16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</row>
    <row r="144">
      <c r="A144" s="129"/>
      <c r="B144" s="129"/>
      <c r="C144" s="164" t="s">
        <v>124</v>
      </c>
      <c r="D144" s="165" t="str">
        <f t="shared" ref="D144:F144" si="21">AVERAGE(D137:D143)</f>
        <v>#DIV/0!</v>
      </c>
      <c r="E144" s="165" t="str">
        <f t="shared" si="21"/>
        <v>#DIV/0!</v>
      </c>
      <c r="F144" s="165" t="str">
        <f t="shared" si="21"/>
        <v>#DIV/0!</v>
      </c>
      <c r="G144" s="133"/>
      <c r="H144" s="133"/>
      <c r="I144" s="133"/>
      <c r="J144" s="133"/>
      <c r="K144" s="129"/>
      <c r="L144" s="16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</row>
    <row r="145">
      <c r="A145" s="129"/>
      <c r="B145" s="129"/>
      <c r="C145" s="134"/>
      <c r="D145" s="134"/>
      <c r="E145" s="134"/>
      <c r="F145" s="134"/>
      <c r="G145" s="133"/>
      <c r="H145" s="133"/>
      <c r="I145" s="133"/>
      <c r="J145" s="133"/>
      <c r="K145" s="129"/>
      <c r="L145" s="16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</row>
    <row r="146">
      <c r="A146" s="129"/>
      <c r="B146" s="129"/>
      <c r="C146" s="148" t="s">
        <v>125</v>
      </c>
      <c r="D146" s="38"/>
      <c r="E146" s="38"/>
      <c r="F146" s="38"/>
      <c r="G146" s="23"/>
      <c r="H146" s="167"/>
      <c r="I146" s="167"/>
      <c r="J146" s="167"/>
      <c r="K146" s="129"/>
      <c r="L146" s="16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</row>
    <row r="147">
      <c r="A147" s="129"/>
      <c r="B147" s="129"/>
      <c r="C147" s="152" t="s">
        <v>109</v>
      </c>
      <c r="D147" s="176" t="s">
        <v>141</v>
      </c>
      <c r="E147" s="152" t="s">
        <v>142</v>
      </c>
      <c r="F147" s="152" t="s">
        <v>112</v>
      </c>
      <c r="G147" s="152" t="s">
        <v>113</v>
      </c>
      <c r="H147" s="167"/>
      <c r="I147" s="167"/>
      <c r="J147" s="167"/>
      <c r="K147" s="129"/>
      <c r="L147" s="16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</row>
    <row r="148">
      <c r="A148" s="129"/>
      <c r="B148" s="129"/>
      <c r="C148" s="168"/>
      <c r="D148" s="168"/>
      <c r="E148" s="168"/>
      <c r="F148" s="168"/>
      <c r="G148" s="168"/>
      <c r="H148" s="167"/>
      <c r="I148" s="167"/>
      <c r="J148" s="167"/>
      <c r="K148" s="129"/>
      <c r="L148" s="16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</row>
    <row r="149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6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</row>
    <row r="150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6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</row>
    <row r="151" ht="28.5" customHeight="1">
      <c r="A151" s="129"/>
      <c r="B151" s="129"/>
      <c r="C151" s="134"/>
      <c r="D151" s="172" t="s">
        <v>135</v>
      </c>
      <c r="E151" s="23"/>
      <c r="F151" s="134"/>
      <c r="G151" s="133"/>
      <c r="H151" s="133"/>
      <c r="I151" s="133"/>
      <c r="J151" s="133"/>
      <c r="K151" s="129"/>
      <c r="L151" s="16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</row>
    <row r="152">
      <c r="A152" s="129"/>
      <c r="B152" s="129"/>
      <c r="C152" s="145" t="s">
        <v>114</v>
      </c>
      <c r="D152" s="145" t="s">
        <v>115</v>
      </c>
      <c r="E152" s="145" t="s">
        <v>116</v>
      </c>
      <c r="F152" s="145" t="s">
        <v>117</v>
      </c>
      <c r="G152" s="133"/>
      <c r="H152" s="147"/>
      <c r="I152" s="148" t="s">
        <v>118</v>
      </c>
      <c r="J152" s="23"/>
      <c r="K152" s="129"/>
      <c r="L152" s="16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</row>
    <row r="153">
      <c r="A153" s="129"/>
      <c r="B153" s="129"/>
      <c r="C153" s="152">
        <v>45483.0</v>
      </c>
      <c r="D153" s="153"/>
      <c r="E153" s="153"/>
      <c r="F153" s="153"/>
      <c r="G153" s="133"/>
      <c r="H153" s="154"/>
      <c r="I153" s="152" t="s">
        <v>120</v>
      </c>
      <c r="J153" s="155">
        <v>2700.0</v>
      </c>
      <c r="K153" s="129"/>
      <c r="L153" s="16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</row>
    <row r="154">
      <c r="A154" s="129"/>
      <c r="B154" s="129"/>
      <c r="C154" s="152">
        <v>45484.0</v>
      </c>
      <c r="D154" s="153"/>
      <c r="E154" s="153"/>
      <c r="F154" s="153"/>
      <c r="G154" s="133"/>
      <c r="H154" s="154"/>
      <c r="I154" s="152" t="s">
        <v>121</v>
      </c>
      <c r="J154" s="155">
        <v>160.0</v>
      </c>
      <c r="K154" s="129"/>
      <c r="L154" s="16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</row>
    <row r="155">
      <c r="A155" s="129"/>
      <c r="B155" s="129"/>
      <c r="C155" s="152">
        <v>45485.0</v>
      </c>
      <c r="D155" s="153"/>
      <c r="E155" s="153"/>
      <c r="F155" s="153"/>
      <c r="G155" s="133"/>
      <c r="H155" s="154"/>
      <c r="I155" s="152" t="s">
        <v>122</v>
      </c>
      <c r="J155" s="155">
        <v>380.0</v>
      </c>
      <c r="K155" s="129"/>
      <c r="L155" s="16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</row>
    <row r="156">
      <c r="A156" s="129"/>
      <c r="B156" s="129"/>
      <c r="C156" s="152">
        <v>45486.0</v>
      </c>
      <c r="D156" s="153"/>
      <c r="E156" s="153"/>
      <c r="F156" s="153"/>
      <c r="G156" s="133"/>
      <c r="H156" s="154"/>
      <c r="I156" s="152" t="s">
        <v>123</v>
      </c>
      <c r="J156" s="155">
        <v>60.0</v>
      </c>
      <c r="K156" s="129"/>
      <c r="L156" s="16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</row>
    <row r="157">
      <c r="A157" s="129"/>
      <c r="B157" s="129"/>
      <c r="C157" s="152">
        <v>45487.0</v>
      </c>
      <c r="D157" s="153"/>
      <c r="E157" s="153"/>
      <c r="F157" s="153"/>
      <c r="G157" s="133"/>
      <c r="H157" s="133"/>
      <c r="I157" s="133"/>
      <c r="J157" s="133"/>
      <c r="K157" s="129"/>
      <c r="L157" s="16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</row>
    <row r="158">
      <c r="A158" s="129"/>
      <c r="B158" s="129"/>
      <c r="C158" s="152">
        <v>45488.0</v>
      </c>
      <c r="D158" s="163"/>
      <c r="E158" s="153"/>
      <c r="F158" s="153"/>
      <c r="G158" s="133"/>
      <c r="H158" s="133"/>
      <c r="I158" s="133"/>
      <c r="J158" s="133"/>
      <c r="K158" s="129"/>
      <c r="L158" s="16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</row>
    <row r="159">
      <c r="A159" s="129"/>
      <c r="B159" s="129"/>
      <c r="C159" s="152">
        <v>45489.0</v>
      </c>
      <c r="D159" s="163"/>
      <c r="E159" s="153"/>
      <c r="F159" s="163"/>
      <c r="G159" s="133"/>
      <c r="H159" s="133"/>
      <c r="I159" s="133"/>
      <c r="J159" s="133"/>
      <c r="K159" s="129"/>
      <c r="L159" s="16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</row>
    <row r="160">
      <c r="A160" s="129"/>
      <c r="B160" s="129"/>
      <c r="C160" s="164" t="s">
        <v>124</v>
      </c>
      <c r="D160" s="165" t="str">
        <f t="shared" ref="D160:F160" si="22">AVERAGE(D153:D159)</f>
        <v>#DIV/0!</v>
      </c>
      <c r="E160" s="165" t="str">
        <f t="shared" si="22"/>
        <v>#DIV/0!</v>
      </c>
      <c r="F160" s="165" t="str">
        <f t="shared" si="22"/>
        <v>#DIV/0!</v>
      </c>
      <c r="G160" s="133"/>
      <c r="H160" s="133"/>
      <c r="I160" s="133"/>
      <c r="J160" s="133"/>
      <c r="K160" s="129"/>
      <c r="L160" s="16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</row>
    <row r="161">
      <c r="A161" s="129"/>
      <c r="B161" s="129"/>
      <c r="C161" s="134"/>
      <c r="D161" s="134"/>
      <c r="E161" s="134"/>
      <c r="F161" s="134"/>
      <c r="G161" s="133"/>
      <c r="H161" s="133"/>
      <c r="I161" s="133"/>
      <c r="J161" s="133"/>
      <c r="K161" s="129"/>
      <c r="L161" s="16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</row>
    <row r="162">
      <c r="A162" s="129"/>
      <c r="B162" s="129"/>
      <c r="C162" s="148" t="s">
        <v>125</v>
      </c>
      <c r="D162" s="38"/>
      <c r="E162" s="38"/>
      <c r="F162" s="38"/>
      <c r="G162" s="23"/>
      <c r="H162" s="167"/>
      <c r="I162" s="167"/>
      <c r="J162" s="167"/>
      <c r="K162" s="129"/>
      <c r="L162" s="16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</row>
    <row r="163">
      <c r="A163" s="129"/>
      <c r="B163" s="129"/>
      <c r="C163" s="152" t="s">
        <v>109</v>
      </c>
      <c r="D163" s="176" t="s">
        <v>141</v>
      </c>
      <c r="E163" s="152" t="s">
        <v>142</v>
      </c>
      <c r="F163" s="152" t="s">
        <v>112</v>
      </c>
      <c r="G163" s="152" t="s">
        <v>113</v>
      </c>
      <c r="H163" s="167"/>
      <c r="I163" s="167"/>
      <c r="J163" s="167"/>
      <c r="K163" s="129"/>
      <c r="L163" s="16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</row>
    <row r="164">
      <c r="A164" s="129"/>
      <c r="B164" s="129"/>
      <c r="C164" s="168"/>
      <c r="D164" s="168"/>
      <c r="E164" s="168"/>
      <c r="F164" s="168"/>
      <c r="G164" s="168"/>
      <c r="H164" s="167"/>
      <c r="I164" s="167"/>
      <c r="J164" s="167"/>
      <c r="K164" s="129"/>
      <c r="L164" s="16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</row>
    <row r="165">
      <c r="A165" s="129"/>
      <c r="B165" s="129"/>
      <c r="C165" s="129"/>
      <c r="D165" s="129"/>
      <c r="E165" s="129"/>
      <c r="F165" s="129"/>
      <c r="G165" s="129"/>
      <c r="H165" s="167"/>
      <c r="I165" s="167"/>
      <c r="J165" s="167"/>
      <c r="K165" s="129"/>
      <c r="L165" s="16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</row>
    <row r="166">
      <c r="A166" s="129"/>
      <c r="B166" s="129"/>
      <c r="C166" s="129"/>
      <c r="D166" s="129"/>
      <c r="E166" s="129"/>
      <c r="F166" s="129"/>
      <c r="G166" s="129"/>
      <c r="H166" s="167"/>
      <c r="I166" s="167"/>
      <c r="J166" s="167"/>
      <c r="K166" s="129"/>
      <c r="L166" s="16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</row>
    <row r="167" ht="31.5" customHeight="1">
      <c r="A167" s="129"/>
      <c r="B167" s="129"/>
      <c r="C167" s="134"/>
      <c r="D167" s="172" t="s">
        <v>136</v>
      </c>
      <c r="E167" s="23"/>
      <c r="F167" s="134"/>
      <c r="G167" s="133"/>
      <c r="H167" s="133"/>
      <c r="I167" s="133"/>
      <c r="J167" s="133"/>
      <c r="K167" s="129"/>
      <c r="L167" s="16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</row>
    <row r="168">
      <c r="A168" s="129"/>
      <c r="B168" s="129"/>
      <c r="C168" s="145" t="s">
        <v>114</v>
      </c>
      <c r="D168" s="145" t="s">
        <v>115</v>
      </c>
      <c r="E168" s="145" t="s">
        <v>116</v>
      </c>
      <c r="F168" s="145" t="s">
        <v>117</v>
      </c>
      <c r="G168" s="133"/>
      <c r="H168" s="147"/>
      <c r="I168" s="148" t="s">
        <v>118</v>
      </c>
      <c r="J168" s="23"/>
      <c r="K168" s="129"/>
      <c r="L168" s="16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</row>
    <row r="169">
      <c r="A169" s="129"/>
      <c r="B169" s="129"/>
      <c r="C169" s="152">
        <v>45483.0</v>
      </c>
      <c r="D169" s="153"/>
      <c r="E169" s="153"/>
      <c r="F169" s="153"/>
      <c r="G169" s="133"/>
      <c r="H169" s="154"/>
      <c r="I169" s="152" t="s">
        <v>120</v>
      </c>
      <c r="J169" s="155">
        <v>2700.0</v>
      </c>
      <c r="K169" s="129"/>
      <c r="L169" s="16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</row>
    <row r="170">
      <c r="A170" s="129"/>
      <c r="B170" s="129"/>
      <c r="C170" s="152">
        <v>45484.0</v>
      </c>
      <c r="D170" s="153"/>
      <c r="E170" s="153"/>
      <c r="F170" s="153"/>
      <c r="G170" s="133"/>
      <c r="H170" s="154"/>
      <c r="I170" s="152" t="s">
        <v>121</v>
      </c>
      <c r="J170" s="155">
        <v>160.0</v>
      </c>
      <c r="K170" s="129"/>
      <c r="L170" s="16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</row>
    <row r="171">
      <c r="A171" s="129"/>
      <c r="B171" s="129"/>
      <c r="C171" s="152">
        <v>45485.0</v>
      </c>
      <c r="D171" s="153"/>
      <c r="E171" s="153"/>
      <c r="F171" s="153"/>
      <c r="G171" s="133"/>
      <c r="H171" s="154"/>
      <c r="I171" s="152" t="s">
        <v>122</v>
      </c>
      <c r="J171" s="155">
        <v>380.0</v>
      </c>
      <c r="K171" s="129"/>
      <c r="L171" s="16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</row>
    <row r="172">
      <c r="A172" s="129"/>
      <c r="B172" s="129"/>
      <c r="C172" s="152">
        <v>45486.0</v>
      </c>
      <c r="D172" s="153"/>
      <c r="E172" s="153"/>
      <c r="F172" s="153"/>
      <c r="G172" s="133"/>
      <c r="H172" s="154"/>
      <c r="I172" s="152" t="s">
        <v>123</v>
      </c>
      <c r="J172" s="155">
        <v>60.0</v>
      </c>
      <c r="K172" s="129"/>
      <c r="L172" s="16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</row>
    <row r="173">
      <c r="A173" s="129"/>
      <c r="B173" s="129"/>
      <c r="C173" s="152">
        <v>45487.0</v>
      </c>
      <c r="D173" s="153"/>
      <c r="E173" s="153"/>
      <c r="F173" s="153"/>
      <c r="G173" s="133"/>
      <c r="H173" s="133"/>
      <c r="I173" s="133"/>
      <c r="J173" s="133"/>
      <c r="K173" s="129"/>
      <c r="L173" s="16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</row>
    <row r="174">
      <c r="A174" s="129"/>
      <c r="B174" s="129"/>
      <c r="C174" s="152">
        <v>45488.0</v>
      </c>
      <c r="D174" s="163"/>
      <c r="E174" s="153"/>
      <c r="F174" s="153"/>
      <c r="G174" s="133"/>
      <c r="H174" s="133"/>
      <c r="I174" s="133"/>
      <c r="J174" s="133"/>
      <c r="K174" s="129"/>
      <c r="L174" s="16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</row>
    <row r="175">
      <c r="A175" s="129"/>
      <c r="B175" s="129"/>
      <c r="C175" s="152">
        <v>45489.0</v>
      </c>
      <c r="D175" s="163"/>
      <c r="E175" s="153"/>
      <c r="F175" s="163"/>
      <c r="G175" s="133"/>
      <c r="H175" s="133"/>
      <c r="I175" s="133"/>
      <c r="J175" s="133"/>
      <c r="K175" s="129"/>
      <c r="L175" s="16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</row>
    <row r="176">
      <c r="A176" s="129"/>
      <c r="B176" s="129"/>
      <c r="C176" s="164" t="s">
        <v>124</v>
      </c>
      <c r="D176" s="165" t="str">
        <f t="shared" ref="D176:F176" si="23">AVERAGE(D169:D175)</f>
        <v>#DIV/0!</v>
      </c>
      <c r="E176" s="165" t="str">
        <f t="shared" si="23"/>
        <v>#DIV/0!</v>
      </c>
      <c r="F176" s="165" t="str">
        <f t="shared" si="23"/>
        <v>#DIV/0!</v>
      </c>
      <c r="G176" s="133"/>
      <c r="H176" s="133"/>
      <c r="I176" s="133"/>
      <c r="J176" s="133"/>
      <c r="K176" s="129"/>
      <c r="L176" s="16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</row>
    <row r="177">
      <c r="A177" s="129"/>
      <c r="B177" s="129"/>
      <c r="C177" s="134"/>
      <c r="D177" s="134"/>
      <c r="E177" s="134"/>
      <c r="F177" s="134"/>
      <c r="G177" s="133"/>
      <c r="H177" s="133"/>
      <c r="I177" s="133"/>
      <c r="J177" s="133"/>
      <c r="K177" s="129"/>
      <c r="L177" s="16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</row>
    <row r="178">
      <c r="A178" s="129"/>
      <c r="B178" s="129"/>
      <c r="C178" s="148" t="s">
        <v>125</v>
      </c>
      <c r="D178" s="38"/>
      <c r="E178" s="38"/>
      <c r="F178" s="38"/>
      <c r="G178" s="23"/>
      <c r="H178" s="167"/>
      <c r="I178" s="167"/>
      <c r="J178" s="167"/>
      <c r="K178" s="129"/>
      <c r="L178" s="16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</row>
    <row r="179">
      <c r="A179" s="129"/>
      <c r="B179" s="129"/>
      <c r="C179" s="152" t="s">
        <v>109</v>
      </c>
      <c r="D179" s="176" t="s">
        <v>141</v>
      </c>
      <c r="E179" s="152" t="s">
        <v>142</v>
      </c>
      <c r="F179" s="152" t="s">
        <v>112</v>
      </c>
      <c r="G179" s="152" t="s">
        <v>113</v>
      </c>
      <c r="H179" s="167"/>
      <c r="I179" s="167"/>
      <c r="J179" s="167"/>
      <c r="K179" s="129"/>
      <c r="L179" s="16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</row>
    <row r="180">
      <c r="A180" s="129"/>
      <c r="B180" s="129"/>
      <c r="C180" s="168"/>
      <c r="D180" s="168"/>
      <c r="E180" s="168"/>
      <c r="F180" s="168"/>
      <c r="G180" s="168"/>
      <c r="H180" s="167"/>
      <c r="I180" s="167"/>
      <c r="J180" s="167"/>
      <c r="K180" s="129"/>
      <c r="L180" s="16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</row>
    <row r="181">
      <c r="A181" s="129"/>
      <c r="B181" s="129"/>
      <c r="C181" s="129"/>
      <c r="D181" s="129"/>
      <c r="E181" s="129"/>
      <c r="F181" s="129"/>
      <c r="G181" s="129"/>
      <c r="H181" s="167"/>
      <c r="I181" s="167"/>
      <c r="J181" s="167"/>
      <c r="K181" s="129"/>
      <c r="L181" s="16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</row>
    <row r="182">
      <c r="A182" s="129"/>
      <c r="B182" s="129"/>
      <c r="C182" s="129"/>
      <c r="D182" s="129"/>
      <c r="E182" s="129"/>
      <c r="F182" s="129"/>
      <c r="G182" s="129"/>
      <c r="H182" s="167"/>
      <c r="I182" s="167"/>
      <c r="J182" s="167"/>
      <c r="K182" s="129"/>
      <c r="L182" s="16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</row>
    <row r="183" ht="30.0" customHeight="1">
      <c r="A183" s="129"/>
      <c r="B183" s="129"/>
      <c r="C183" s="134"/>
      <c r="D183" s="172" t="s">
        <v>137</v>
      </c>
      <c r="E183" s="23"/>
      <c r="F183" s="134"/>
      <c r="G183" s="133"/>
      <c r="H183" s="133"/>
      <c r="I183" s="133"/>
      <c r="J183" s="133"/>
      <c r="K183" s="129"/>
      <c r="L183" s="16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</row>
    <row r="184">
      <c r="A184" s="129"/>
      <c r="B184" s="129"/>
      <c r="C184" s="145" t="s">
        <v>114</v>
      </c>
      <c r="D184" s="145" t="s">
        <v>115</v>
      </c>
      <c r="E184" s="145" t="s">
        <v>116</v>
      </c>
      <c r="F184" s="145" t="s">
        <v>117</v>
      </c>
      <c r="G184" s="133"/>
      <c r="H184" s="147"/>
      <c r="I184" s="148" t="s">
        <v>118</v>
      </c>
      <c r="J184" s="23"/>
      <c r="K184" s="129"/>
      <c r="L184" s="16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</row>
    <row r="185">
      <c r="A185" s="129"/>
      <c r="B185" s="129"/>
      <c r="C185" s="152">
        <v>45483.0</v>
      </c>
      <c r="D185" s="153"/>
      <c r="E185" s="153"/>
      <c r="F185" s="153"/>
      <c r="G185" s="133"/>
      <c r="H185" s="154"/>
      <c r="I185" s="152" t="s">
        <v>120</v>
      </c>
      <c r="J185" s="155">
        <v>2700.0</v>
      </c>
      <c r="K185" s="129"/>
      <c r="L185" s="16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</row>
    <row r="186">
      <c r="A186" s="129"/>
      <c r="B186" s="129"/>
      <c r="C186" s="152">
        <v>45484.0</v>
      </c>
      <c r="D186" s="153"/>
      <c r="E186" s="153"/>
      <c r="F186" s="153"/>
      <c r="G186" s="133"/>
      <c r="H186" s="154"/>
      <c r="I186" s="152" t="s">
        <v>121</v>
      </c>
      <c r="J186" s="155">
        <v>160.0</v>
      </c>
      <c r="K186" s="129"/>
      <c r="L186" s="16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</row>
    <row r="187">
      <c r="A187" s="129"/>
      <c r="B187" s="129"/>
      <c r="C187" s="152">
        <v>45485.0</v>
      </c>
      <c r="D187" s="153"/>
      <c r="E187" s="153"/>
      <c r="F187" s="153"/>
      <c r="G187" s="133"/>
      <c r="H187" s="154"/>
      <c r="I187" s="152" t="s">
        <v>122</v>
      </c>
      <c r="J187" s="155">
        <v>380.0</v>
      </c>
      <c r="K187" s="129"/>
      <c r="L187" s="16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</row>
    <row r="188">
      <c r="A188" s="129"/>
      <c r="B188" s="129"/>
      <c r="C188" s="152">
        <v>45486.0</v>
      </c>
      <c r="D188" s="153"/>
      <c r="E188" s="153"/>
      <c r="F188" s="153"/>
      <c r="G188" s="133"/>
      <c r="H188" s="154"/>
      <c r="I188" s="152" t="s">
        <v>123</v>
      </c>
      <c r="J188" s="155">
        <v>60.0</v>
      </c>
      <c r="K188" s="129"/>
      <c r="L188" s="16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</row>
    <row r="189">
      <c r="A189" s="129"/>
      <c r="B189" s="129"/>
      <c r="C189" s="152">
        <v>45487.0</v>
      </c>
      <c r="D189" s="153"/>
      <c r="E189" s="153"/>
      <c r="F189" s="153"/>
      <c r="G189" s="133"/>
      <c r="H189" s="133"/>
      <c r="I189" s="133"/>
      <c r="J189" s="133"/>
      <c r="K189" s="129"/>
      <c r="L189" s="16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</row>
    <row r="190">
      <c r="A190" s="129"/>
      <c r="B190" s="129"/>
      <c r="C190" s="152">
        <v>45488.0</v>
      </c>
      <c r="D190" s="163"/>
      <c r="E190" s="153"/>
      <c r="F190" s="153"/>
      <c r="G190" s="133"/>
      <c r="H190" s="133"/>
      <c r="I190" s="133"/>
      <c r="J190" s="133"/>
      <c r="K190" s="129"/>
      <c r="L190" s="16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</row>
    <row r="191">
      <c r="A191" s="129"/>
      <c r="B191" s="129"/>
      <c r="C191" s="152">
        <v>45489.0</v>
      </c>
      <c r="D191" s="163"/>
      <c r="E191" s="153"/>
      <c r="F191" s="163"/>
      <c r="G191" s="133"/>
      <c r="H191" s="133"/>
      <c r="I191" s="133"/>
      <c r="J191" s="133"/>
      <c r="K191" s="129"/>
      <c r="L191" s="16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</row>
    <row r="192">
      <c r="A192" s="129"/>
      <c r="B192" s="129"/>
      <c r="C192" s="164" t="s">
        <v>124</v>
      </c>
      <c r="D192" s="165" t="str">
        <f t="shared" ref="D192:F192" si="24">AVERAGE(D185:D191)</f>
        <v>#DIV/0!</v>
      </c>
      <c r="E192" s="165" t="str">
        <f t="shared" si="24"/>
        <v>#DIV/0!</v>
      </c>
      <c r="F192" s="165" t="str">
        <f t="shared" si="24"/>
        <v>#DIV/0!</v>
      </c>
      <c r="G192" s="133"/>
      <c r="H192" s="133"/>
      <c r="I192" s="133"/>
      <c r="J192" s="133"/>
      <c r="K192" s="129"/>
      <c r="L192" s="16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</row>
    <row r="193">
      <c r="A193" s="129"/>
      <c r="B193" s="129"/>
      <c r="C193" s="134"/>
      <c r="D193" s="134"/>
      <c r="E193" s="134"/>
      <c r="F193" s="134"/>
      <c r="G193" s="133"/>
      <c r="H193" s="133"/>
      <c r="I193" s="133"/>
      <c r="J193" s="133"/>
      <c r="K193" s="129"/>
      <c r="L193" s="16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</row>
    <row r="194">
      <c r="A194" s="129"/>
      <c r="B194" s="129"/>
      <c r="C194" s="148" t="s">
        <v>125</v>
      </c>
      <c r="D194" s="38"/>
      <c r="E194" s="38"/>
      <c r="F194" s="38"/>
      <c r="G194" s="23"/>
      <c r="H194" s="167"/>
      <c r="I194" s="167"/>
      <c r="J194" s="167"/>
      <c r="K194" s="129"/>
      <c r="L194" s="16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</row>
    <row r="195">
      <c r="A195" s="129"/>
      <c r="B195" s="129"/>
      <c r="C195" s="152" t="s">
        <v>109</v>
      </c>
      <c r="D195" s="176" t="s">
        <v>141</v>
      </c>
      <c r="E195" s="152" t="s">
        <v>142</v>
      </c>
      <c r="F195" s="152" t="s">
        <v>112</v>
      </c>
      <c r="G195" s="152" t="s">
        <v>113</v>
      </c>
      <c r="H195" s="167"/>
      <c r="I195" s="167"/>
      <c r="J195" s="167"/>
      <c r="K195" s="129"/>
      <c r="L195" s="16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</row>
    <row r="196">
      <c r="A196" s="129"/>
      <c r="B196" s="129"/>
      <c r="C196" s="168"/>
      <c r="D196" s="168"/>
      <c r="E196" s="168"/>
      <c r="F196" s="168"/>
      <c r="G196" s="168"/>
      <c r="H196" s="167"/>
      <c r="I196" s="167"/>
      <c r="J196" s="167"/>
      <c r="K196" s="129"/>
      <c r="L196" s="16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</row>
    <row r="197">
      <c r="A197" s="129"/>
      <c r="B197" s="129"/>
      <c r="C197" s="129"/>
      <c r="D197" s="129"/>
      <c r="E197" s="129"/>
      <c r="F197" s="129"/>
      <c r="G197" s="129"/>
      <c r="H197" s="167"/>
      <c r="I197" s="167"/>
      <c r="J197" s="167"/>
      <c r="K197" s="129"/>
      <c r="L197" s="16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</row>
    <row r="198">
      <c r="A198" s="129"/>
      <c r="B198" s="129"/>
      <c r="C198" s="129"/>
      <c r="D198" s="129"/>
      <c r="E198" s="129"/>
      <c r="F198" s="129"/>
      <c r="G198" s="129"/>
      <c r="H198" s="167"/>
      <c r="I198" s="167"/>
      <c r="J198" s="167"/>
      <c r="K198" s="129"/>
      <c r="L198" s="16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</row>
    <row r="199" ht="25.5" customHeight="1">
      <c r="A199" s="129"/>
      <c r="B199" s="129"/>
      <c r="C199" s="134"/>
      <c r="D199" s="172" t="s">
        <v>138</v>
      </c>
      <c r="E199" s="23"/>
      <c r="F199" s="134"/>
      <c r="G199" s="133"/>
      <c r="H199" s="133"/>
      <c r="I199" s="133"/>
      <c r="J199" s="133"/>
      <c r="K199" s="129"/>
      <c r="L199" s="16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</row>
    <row r="200">
      <c r="A200" s="129"/>
      <c r="B200" s="129"/>
      <c r="C200" s="145" t="s">
        <v>114</v>
      </c>
      <c r="D200" s="145" t="s">
        <v>115</v>
      </c>
      <c r="E200" s="145" t="s">
        <v>116</v>
      </c>
      <c r="F200" s="145" t="s">
        <v>117</v>
      </c>
      <c r="G200" s="133"/>
      <c r="H200" s="147"/>
      <c r="I200" s="148" t="s">
        <v>118</v>
      </c>
      <c r="J200" s="23"/>
      <c r="K200" s="129"/>
      <c r="L200" s="16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</row>
    <row r="201">
      <c r="A201" s="129"/>
      <c r="B201" s="129"/>
      <c r="C201" s="152">
        <v>45483.0</v>
      </c>
      <c r="D201" s="153"/>
      <c r="E201" s="153"/>
      <c r="F201" s="153"/>
      <c r="G201" s="133"/>
      <c r="H201" s="154"/>
      <c r="I201" s="152" t="s">
        <v>120</v>
      </c>
      <c r="J201" s="155">
        <v>2700.0</v>
      </c>
      <c r="K201" s="129"/>
      <c r="L201" s="16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</row>
    <row r="202">
      <c r="A202" s="129"/>
      <c r="B202" s="129"/>
      <c r="C202" s="152">
        <v>45484.0</v>
      </c>
      <c r="D202" s="153"/>
      <c r="E202" s="153"/>
      <c r="F202" s="153"/>
      <c r="G202" s="133"/>
      <c r="H202" s="154"/>
      <c r="I202" s="152" t="s">
        <v>121</v>
      </c>
      <c r="J202" s="155">
        <v>160.0</v>
      </c>
      <c r="K202" s="129"/>
      <c r="L202" s="16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</row>
    <row r="203">
      <c r="A203" s="129"/>
      <c r="B203" s="129"/>
      <c r="C203" s="152">
        <v>45485.0</v>
      </c>
      <c r="D203" s="153"/>
      <c r="E203" s="153"/>
      <c r="F203" s="153"/>
      <c r="G203" s="133"/>
      <c r="H203" s="154"/>
      <c r="I203" s="152" t="s">
        <v>122</v>
      </c>
      <c r="J203" s="155">
        <v>380.0</v>
      </c>
      <c r="K203" s="129"/>
      <c r="L203" s="16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</row>
    <row r="204">
      <c r="A204" s="129"/>
      <c r="B204" s="129"/>
      <c r="C204" s="152">
        <v>45486.0</v>
      </c>
      <c r="D204" s="153"/>
      <c r="E204" s="153"/>
      <c r="F204" s="153"/>
      <c r="G204" s="133"/>
      <c r="H204" s="154"/>
      <c r="I204" s="152" t="s">
        <v>123</v>
      </c>
      <c r="J204" s="155">
        <v>60.0</v>
      </c>
      <c r="K204" s="129"/>
      <c r="L204" s="16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</row>
    <row r="205">
      <c r="A205" s="129"/>
      <c r="B205" s="129"/>
      <c r="C205" s="152">
        <v>45487.0</v>
      </c>
      <c r="D205" s="153"/>
      <c r="E205" s="153"/>
      <c r="F205" s="153"/>
      <c r="G205" s="133"/>
      <c r="H205" s="133"/>
      <c r="I205" s="133"/>
      <c r="J205" s="133"/>
      <c r="K205" s="129"/>
      <c r="L205" s="16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</row>
    <row r="206">
      <c r="A206" s="129"/>
      <c r="B206" s="129"/>
      <c r="C206" s="152">
        <v>45488.0</v>
      </c>
      <c r="D206" s="163"/>
      <c r="E206" s="153"/>
      <c r="F206" s="153"/>
      <c r="G206" s="133"/>
      <c r="H206" s="133"/>
      <c r="I206" s="133"/>
      <c r="J206" s="133"/>
      <c r="K206" s="129"/>
      <c r="L206" s="16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</row>
    <row r="207">
      <c r="A207" s="129"/>
      <c r="B207" s="129"/>
      <c r="C207" s="152">
        <v>45489.0</v>
      </c>
      <c r="D207" s="163"/>
      <c r="E207" s="153"/>
      <c r="F207" s="163"/>
      <c r="G207" s="133"/>
      <c r="H207" s="133"/>
      <c r="I207" s="133"/>
      <c r="J207" s="133"/>
      <c r="K207" s="129"/>
      <c r="L207" s="16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</row>
    <row r="208">
      <c r="A208" s="129"/>
      <c r="B208" s="129"/>
      <c r="C208" s="164" t="s">
        <v>124</v>
      </c>
      <c r="D208" s="165" t="str">
        <f t="shared" ref="D208:F208" si="25">AVERAGE(D201:D207)</f>
        <v>#DIV/0!</v>
      </c>
      <c r="E208" s="165" t="str">
        <f t="shared" si="25"/>
        <v>#DIV/0!</v>
      </c>
      <c r="F208" s="165" t="str">
        <f t="shared" si="25"/>
        <v>#DIV/0!</v>
      </c>
      <c r="G208" s="133"/>
      <c r="H208" s="133"/>
      <c r="I208" s="133"/>
      <c r="J208" s="133"/>
      <c r="K208" s="129"/>
      <c r="L208" s="16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</row>
    <row r="209">
      <c r="A209" s="129"/>
      <c r="B209" s="129"/>
      <c r="C209" s="134"/>
      <c r="D209" s="134"/>
      <c r="E209" s="134"/>
      <c r="F209" s="134"/>
      <c r="G209" s="133"/>
      <c r="H209" s="133"/>
      <c r="I209" s="133"/>
      <c r="J209" s="133"/>
      <c r="K209" s="129"/>
      <c r="L209" s="16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</row>
    <row r="210">
      <c r="A210" s="129"/>
      <c r="B210" s="129"/>
      <c r="C210" s="148" t="s">
        <v>125</v>
      </c>
      <c r="D210" s="38"/>
      <c r="E210" s="38"/>
      <c r="F210" s="38"/>
      <c r="G210" s="23"/>
      <c r="H210" s="167"/>
      <c r="I210" s="167"/>
      <c r="J210" s="167"/>
      <c r="K210" s="129"/>
      <c r="L210" s="16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</row>
    <row r="211">
      <c r="A211" s="129"/>
      <c r="B211" s="129"/>
      <c r="C211" s="152" t="s">
        <v>109</v>
      </c>
      <c r="D211" s="176" t="s">
        <v>141</v>
      </c>
      <c r="E211" s="152" t="s">
        <v>142</v>
      </c>
      <c r="F211" s="152" t="s">
        <v>112</v>
      </c>
      <c r="G211" s="152" t="s">
        <v>113</v>
      </c>
      <c r="H211" s="167"/>
      <c r="I211" s="167"/>
      <c r="J211" s="167"/>
      <c r="K211" s="129"/>
      <c r="L211" s="16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</row>
    <row r="212">
      <c r="A212" s="129"/>
      <c r="B212" s="129"/>
      <c r="C212" s="168"/>
      <c r="D212" s="168"/>
      <c r="E212" s="168"/>
      <c r="F212" s="168"/>
      <c r="G212" s="168"/>
      <c r="H212" s="167"/>
      <c r="I212" s="167"/>
      <c r="J212" s="167"/>
      <c r="K212" s="129"/>
      <c r="L212" s="16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</row>
    <row r="213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6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</row>
    <row r="214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6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</row>
    <row r="215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6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</row>
    <row r="216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6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</row>
    <row r="217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6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</row>
    <row r="218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6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</row>
    <row r="219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6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</row>
    <row r="220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6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</row>
    <row r="22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6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</row>
    <row r="222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6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</row>
    <row r="223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6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</row>
    <row r="224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6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</row>
    <row r="225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6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</row>
    <row r="226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6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</row>
    <row r="227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6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</row>
    <row r="228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6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</row>
    <row r="229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6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</row>
    <row r="230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6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</row>
    <row r="23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6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</row>
    <row r="232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6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</row>
    <row r="233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6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</row>
    <row r="234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6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</row>
    <row r="235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6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</row>
    <row r="236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6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</row>
    <row r="237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6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</row>
    <row r="238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6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</row>
    <row r="239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6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</row>
    <row r="240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6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</row>
    <row r="24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6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</row>
    <row r="242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6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</row>
    <row r="243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6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</row>
    <row r="244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6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</row>
    <row r="245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6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</row>
    <row r="246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6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</row>
    <row r="247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6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</row>
    <row r="248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6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</row>
    <row r="249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6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</row>
    <row r="250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6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</row>
    <row r="25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6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</row>
    <row r="252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6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</row>
    <row r="253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6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</row>
    <row r="254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6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</row>
    <row r="255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6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</row>
    <row r="256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6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</row>
    <row r="257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6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</row>
    <row r="258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6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</row>
    <row r="259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6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</row>
    <row r="260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6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</row>
    <row r="26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6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</row>
    <row r="262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6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</row>
    <row r="263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6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</row>
    <row r="264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6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</row>
    <row r="265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</row>
    <row r="266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6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</row>
    <row r="267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6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</row>
    <row r="268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6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</row>
    <row r="269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6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</row>
    <row r="270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6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</row>
    <row r="27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6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</row>
    <row r="272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6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</row>
    <row r="273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6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</row>
    <row r="274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6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</row>
    <row r="275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6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</row>
    <row r="276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6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</row>
    <row r="277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6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</row>
    <row r="278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6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</row>
    <row r="279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6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</row>
    <row r="280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6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</row>
    <row r="28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6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</row>
    <row r="282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6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</row>
    <row r="283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6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</row>
    <row r="284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6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</row>
    <row r="285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6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</row>
    <row r="286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6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</row>
    <row r="287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6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</row>
    <row r="288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6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</row>
    <row r="289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6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</row>
    <row r="290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6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</row>
    <row r="29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6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</row>
    <row r="292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6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</row>
    <row r="293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6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</row>
    <row r="294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6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</row>
    <row r="295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6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</row>
    <row r="296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6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</row>
    <row r="297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6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</row>
    <row r="298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6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</row>
    <row r="299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6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</row>
    <row r="300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6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</row>
    <row r="30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6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</row>
    <row r="302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6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</row>
    <row r="303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6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</row>
    <row r="304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6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</row>
    <row r="305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6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</row>
    <row r="306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6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</row>
    <row r="307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6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</row>
    <row r="308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6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</row>
    <row r="309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6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</row>
    <row r="310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6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</row>
    <row r="31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6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</row>
    <row r="312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6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</row>
    <row r="313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6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</row>
    <row r="314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6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</row>
    <row r="315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6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</row>
    <row r="316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6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</row>
    <row r="317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6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</row>
    <row r="318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6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</row>
    <row r="319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6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</row>
    <row r="320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6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</row>
    <row r="32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6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</row>
    <row r="322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6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</row>
    <row r="323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6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</row>
    <row r="324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6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</row>
    <row r="325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6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</row>
    <row r="326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6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</row>
    <row r="327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6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</row>
    <row r="328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6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</row>
    <row r="329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6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</row>
    <row r="330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6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</row>
    <row r="33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6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</row>
    <row r="332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6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</row>
    <row r="333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6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</row>
    <row r="334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6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</row>
    <row r="335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6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</row>
    <row r="336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6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</row>
    <row r="337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6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</row>
    <row r="338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6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</row>
    <row r="339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6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</row>
    <row r="340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6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</row>
    <row r="34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6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</row>
    <row r="342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6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</row>
    <row r="343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6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</row>
    <row r="344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6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</row>
    <row r="345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6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</row>
    <row r="346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6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</row>
    <row r="347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6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</row>
    <row r="348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6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</row>
    <row r="349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6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</row>
    <row r="350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6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</row>
    <row r="35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6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</row>
    <row r="352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6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</row>
    <row r="353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6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</row>
    <row r="354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6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</row>
    <row r="355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6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</row>
    <row r="356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6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</row>
    <row r="357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6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</row>
    <row r="358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6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</row>
    <row r="359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6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</row>
    <row r="360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6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</row>
    <row r="36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6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</row>
    <row r="362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6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</row>
    <row r="363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6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</row>
    <row r="364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6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</row>
    <row r="365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6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</row>
    <row r="366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6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</row>
    <row r="367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6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</row>
    <row r="368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6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</row>
    <row r="369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6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</row>
    <row r="370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6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</row>
    <row r="37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6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</row>
    <row r="372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6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</row>
    <row r="373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6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</row>
    <row r="374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6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</row>
    <row r="375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6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</row>
    <row r="376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6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</row>
    <row r="377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6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</row>
    <row r="378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6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</row>
    <row r="379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6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</row>
    <row r="380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6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</row>
    <row r="38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6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</row>
    <row r="382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6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</row>
    <row r="383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6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</row>
    <row r="384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6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</row>
    <row r="385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6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</row>
    <row r="386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6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</row>
    <row r="387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6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</row>
    <row r="388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6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</row>
    <row r="389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6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</row>
    <row r="390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6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</row>
    <row r="39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6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</row>
    <row r="392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6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</row>
    <row r="393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6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</row>
    <row r="394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6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</row>
    <row r="395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6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</row>
    <row r="396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6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</row>
    <row r="397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6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</row>
    <row r="398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6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</row>
    <row r="399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6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</row>
    <row r="400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6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</row>
    <row r="40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6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</row>
    <row r="402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6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</row>
    <row r="403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6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</row>
    <row r="404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6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</row>
    <row r="405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6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</row>
    <row r="406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6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</row>
    <row r="407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6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</row>
    <row r="408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6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</row>
    <row r="409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6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</row>
    <row r="410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6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</row>
    <row r="41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6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</row>
    <row r="412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6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</row>
    <row r="413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6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</row>
    <row r="414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6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</row>
    <row r="415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6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</row>
    <row r="416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6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</row>
    <row r="417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6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</row>
    <row r="418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6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</row>
    <row r="419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6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</row>
    <row r="420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6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</row>
    <row r="42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6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</row>
    <row r="422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6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</row>
    <row r="423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6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</row>
    <row r="424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6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</row>
    <row r="425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6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</row>
    <row r="426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6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</row>
    <row r="427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6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</row>
    <row r="428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6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</row>
    <row r="429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6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</row>
    <row r="430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6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</row>
    <row r="43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6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</row>
    <row r="432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6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</row>
    <row r="433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6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</row>
    <row r="434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6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</row>
    <row r="435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6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</row>
    <row r="436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6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</row>
    <row r="437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6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</row>
    <row r="438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6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</row>
    <row r="439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6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</row>
    <row r="440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6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</row>
    <row r="44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6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</row>
    <row r="442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6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</row>
    <row r="443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6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</row>
    <row r="444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6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</row>
    <row r="445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6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</row>
    <row r="446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6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</row>
    <row r="447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6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</row>
    <row r="448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6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</row>
    <row r="449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6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</row>
    <row r="450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6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</row>
    <row r="45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6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</row>
    <row r="452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6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</row>
    <row r="453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6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</row>
    <row r="454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6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</row>
    <row r="455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6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</row>
    <row r="456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6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</row>
    <row r="457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6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</row>
    <row r="458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6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</row>
    <row r="459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6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</row>
    <row r="460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6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</row>
    <row r="46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6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</row>
    <row r="462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6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</row>
    <row r="463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6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</row>
    <row r="464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6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</row>
    <row r="465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6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</row>
    <row r="466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6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</row>
    <row r="467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6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</row>
    <row r="468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6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</row>
    <row r="469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6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</row>
    <row r="470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6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</row>
    <row r="47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6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</row>
    <row r="472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6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</row>
    <row r="473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6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</row>
    <row r="474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6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</row>
    <row r="475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6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</row>
    <row r="476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6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</row>
    <row r="477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6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</row>
    <row r="478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6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</row>
    <row r="479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6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</row>
    <row r="480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6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</row>
    <row r="48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6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</row>
    <row r="482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6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</row>
    <row r="483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6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</row>
    <row r="484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6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</row>
    <row r="485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6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</row>
    <row r="486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6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</row>
    <row r="487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6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</row>
    <row r="488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6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</row>
    <row r="489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6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</row>
    <row r="490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6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</row>
    <row r="49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6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</row>
    <row r="492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6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</row>
    <row r="493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6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</row>
    <row r="494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6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</row>
    <row r="495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6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</row>
    <row r="496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6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</row>
    <row r="497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6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</row>
    <row r="498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6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</row>
    <row r="499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6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</row>
    <row r="500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6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</row>
    <row r="50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6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</row>
    <row r="502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6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</row>
    <row r="503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6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</row>
    <row r="504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6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</row>
    <row r="505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6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</row>
    <row r="506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6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</row>
    <row r="507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6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</row>
    <row r="508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6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</row>
    <row r="509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6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</row>
    <row r="510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6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</row>
    <row r="51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6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</row>
    <row r="512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6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</row>
    <row r="513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6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</row>
    <row r="514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6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</row>
    <row r="515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6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</row>
    <row r="516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6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</row>
    <row r="517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6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</row>
    <row r="518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6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</row>
    <row r="519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6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</row>
    <row r="520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6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</row>
    <row r="52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6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</row>
    <row r="522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6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</row>
    <row r="523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6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</row>
    <row r="524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6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</row>
    <row r="525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6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</row>
    <row r="526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6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</row>
    <row r="527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6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</row>
    <row r="528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6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</row>
    <row r="529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6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</row>
    <row r="530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6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</row>
    <row r="53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6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</row>
    <row r="532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6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</row>
    <row r="533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6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</row>
    <row r="534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6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</row>
    <row r="535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6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</row>
    <row r="536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6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</row>
    <row r="537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6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</row>
    <row r="538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6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</row>
    <row r="539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6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</row>
    <row r="540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6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</row>
    <row r="54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6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</row>
    <row r="542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6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</row>
    <row r="543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6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</row>
    <row r="544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6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</row>
    <row r="545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6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</row>
    <row r="546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6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</row>
    <row r="547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6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</row>
    <row r="548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6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</row>
    <row r="549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6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</row>
    <row r="550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6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</row>
    <row r="55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6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</row>
    <row r="552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6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</row>
    <row r="553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6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</row>
    <row r="554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6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</row>
    <row r="555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6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</row>
    <row r="556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6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</row>
    <row r="557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6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</row>
    <row r="558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6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</row>
    <row r="559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6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</row>
    <row r="560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6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</row>
    <row r="56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6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</row>
    <row r="562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6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</row>
    <row r="563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6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</row>
    <row r="564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6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</row>
    <row r="565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6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</row>
    <row r="566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6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</row>
    <row r="567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6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</row>
    <row r="568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6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</row>
    <row r="569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6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</row>
    <row r="570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6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</row>
    <row r="57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6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</row>
    <row r="572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6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</row>
    <row r="573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6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</row>
    <row r="574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6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</row>
    <row r="575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6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</row>
    <row r="576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6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</row>
    <row r="577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6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</row>
    <row r="578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6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</row>
    <row r="579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6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</row>
    <row r="580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6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</row>
    <row r="58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6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</row>
    <row r="582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6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</row>
    <row r="583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6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</row>
    <row r="584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6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</row>
    <row r="585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6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</row>
    <row r="586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6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</row>
    <row r="587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6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</row>
    <row r="588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6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</row>
    <row r="589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6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</row>
    <row r="590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6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</row>
    <row r="59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6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</row>
    <row r="592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6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</row>
    <row r="593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6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</row>
    <row r="594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6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</row>
    <row r="595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6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</row>
    <row r="596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6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</row>
    <row r="597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6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</row>
    <row r="598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6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</row>
    <row r="599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6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</row>
    <row r="600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6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</row>
    <row r="60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6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</row>
    <row r="602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6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</row>
    <row r="603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6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</row>
    <row r="604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6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</row>
    <row r="605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6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</row>
    <row r="606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6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</row>
    <row r="607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6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</row>
    <row r="608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6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</row>
    <row r="609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6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</row>
    <row r="610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6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</row>
    <row r="61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6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</row>
    <row r="612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6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</row>
    <row r="613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6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</row>
    <row r="614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6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</row>
    <row r="615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6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</row>
    <row r="616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6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</row>
    <row r="617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6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</row>
    <row r="618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6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</row>
    <row r="619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6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</row>
    <row r="620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6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</row>
    <row r="62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6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</row>
    <row r="622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6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</row>
    <row r="623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6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</row>
    <row r="624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6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</row>
    <row r="625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6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</row>
    <row r="626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6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</row>
    <row r="627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6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</row>
    <row r="628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6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</row>
    <row r="629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6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</row>
    <row r="630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6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</row>
    <row r="63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6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</row>
    <row r="632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6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</row>
    <row r="633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6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</row>
    <row r="634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6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</row>
    <row r="635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6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</row>
    <row r="636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6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</row>
    <row r="637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6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</row>
    <row r="638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6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</row>
    <row r="639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6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</row>
    <row r="640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6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</row>
    <row r="64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6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</row>
    <row r="642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6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</row>
    <row r="643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6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</row>
    <row r="644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6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</row>
    <row r="645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6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</row>
    <row r="646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6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</row>
    <row r="647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6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</row>
    <row r="648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6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</row>
    <row r="649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6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</row>
    <row r="650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6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</row>
    <row r="65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6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</row>
    <row r="652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6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</row>
    <row r="653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6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</row>
    <row r="654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6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</row>
    <row r="655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6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</row>
    <row r="656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6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</row>
    <row r="657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6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</row>
    <row r="658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6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</row>
    <row r="659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6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</row>
    <row r="660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6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</row>
    <row r="66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6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</row>
    <row r="662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6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</row>
    <row r="663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6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</row>
    <row r="664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6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</row>
    <row r="665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6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</row>
    <row r="666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6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</row>
    <row r="667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6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</row>
    <row r="668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6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</row>
    <row r="669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6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</row>
    <row r="670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6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</row>
    <row r="67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6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</row>
    <row r="672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6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</row>
    <row r="673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6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</row>
    <row r="674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6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</row>
    <row r="675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6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</row>
    <row r="676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6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</row>
    <row r="677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6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</row>
    <row r="678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6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</row>
    <row r="679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6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</row>
    <row r="680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6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</row>
    <row r="68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6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</row>
    <row r="682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6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</row>
    <row r="683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6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</row>
    <row r="684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6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</row>
    <row r="685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6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</row>
    <row r="686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6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</row>
    <row r="687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6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</row>
    <row r="688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6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</row>
    <row r="689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6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</row>
    <row r="690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6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</row>
    <row r="69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6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</row>
    <row r="692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6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</row>
    <row r="693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6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</row>
    <row r="694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6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</row>
    <row r="695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6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</row>
    <row r="696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6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</row>
    <row r="697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6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</row>
    <row r="698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6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</row>
    <row r="699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6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</row>
    <row r="700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6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</row>
    <row r="70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6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</row>
    <row r="702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6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</row>
    <row r="703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6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</row>
    <row r="704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6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</row>
    <row r="705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6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</row>
    <row r="706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6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</row>
    <row r="707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6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</row>
    <row r="708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6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</row>
    <row r="709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6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</row>
    <row r="710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6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</row>
    <row r="71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6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</row>
    <row r="712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6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</row>
    <row r="713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6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</row>
    <row r="714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6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</row>
    <row r="715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6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</row>
    <row r="716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6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</row>
    <row r="717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6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</row>
    <row r="718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6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</row>
    <row r="719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6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</row>
    <row r="720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6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</row>
    <row r="72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6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</row>
    <row r="722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6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</row>
    <row r="723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6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</row>
    <row r="724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6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</row>
    <row r="725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6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</row>
    <row r="726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6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</row>
    <row r="727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6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</row>
    <row r="728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6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</row>
    <row r="729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6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</row>
    <row r="730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6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</row>
    <row r="73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6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</row>
    <row r="732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6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</row>
    <row r="733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6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</row>
    <row r="734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6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</row>
    <row r="735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6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</row>
    <row r="736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6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</row>
    <row r="737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6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</row>
    <row r="738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6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</row>
    <row r="739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6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</row>
    <row r="740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6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</row>
    <row r="74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6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</row>
    <row r="742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6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</row>
    <row r="743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6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</row>
    <row r="744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6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</row>
    <row r="745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6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</row>
    <row r="746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6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</row>
    <row r="747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6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</row>
    <row r="748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6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</row>
    <row r="749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6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</row>
    <row r="750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6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</row>
    <row r="75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6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</row>
    <row r="752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6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</row>
    <row r="753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6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</row>
    <row r="754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6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</row>
    <row r="755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6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</row>
    <row r="756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6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</row>
    <row r="757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6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</row>
    <row r="758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6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</row>
    <row r="759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6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</row>
    <row r="760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6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</row>
    <row r="76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6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</row>
    <row r="762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6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</row>
    <row r="763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6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</row>
    <row r="764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6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</row>
    <row r="765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6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</row>
    <row r="766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6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</row>
    <row r="767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6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</row>
    <row r="768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6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</row>
    <row r="769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6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</row>
    <row r="770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6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</row>
    <row r="77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6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</row>
    <row r="772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6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</row>
    <row r="773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6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</row>
    <row r="774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6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</row>
    <row r="775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6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</row>
    <row r="776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6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</row>
    <row r="777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6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</row>
    <row r="778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6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</row>
    <row r="779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6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</row>
    <row r="780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6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</row>
    <row r="78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6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</row>
    <row r="782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6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</row>
    <row r="783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6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</row>
    <row r="784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6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</row>
    <row r="785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6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</row>
    <row r="786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6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</row>
    <row r="787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6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</row>
    <row r="788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6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</row>
    <row r="789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6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</row>
    <row r="790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6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</row>
    <row r="79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6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</row>
    <row r="792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6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</row>
    <row r="793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6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</row>
    <row r="794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6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</row>
    <row r="795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6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</row>
    <row r="796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6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</row>
    <row r="797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6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</row>
    <row r="798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6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</row>
    <row r="799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6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</row>
    <row r="800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6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</row>
    <row r="80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6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</row>
    <row r="802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6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</row>
    <row r="803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6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</row>
    <row r="804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6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</row>
    <row r="805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6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</row>
    <row r="806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6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</row>
    <row r="807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6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</row>
    <row r="808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6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</row>
    <row r="809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6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</row>
    <row r="810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6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</row>
    <row r="81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6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</row>
    <row r="812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6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</row>
    <row r="813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6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</row>
    <row r="814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6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</row>
    <row r="815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6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</row>
    <row r="816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6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</row>
    <row r="817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6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</row>
    <row r="818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6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</row>
    <row r="819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6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</row>
    <row r="820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6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</row>
    <row r="82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6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</row>
    <row r="822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6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</row>
    <row r="823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6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</row>
    <row r="824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6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</row>
    <row r="825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6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</row>
    <row r="826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6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</row>
    <row r="827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6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</row>
    <row r="828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6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</row>
    <row r="829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6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</row>
    <row r="830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6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</row>
    <row r="83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6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</row>
    <row r="832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6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</row>
    <row r="833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6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</row>
    <row r="834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6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</row>
    <row r="835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6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</row>
    <row r="836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6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</row>
    <row r="837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6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</row>
    <row r="838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6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</row>
    <row r="839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6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</row>
    <row r="840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6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</row>
    <row r="84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6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</row>
    <row r="842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6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</row>
    <row r="843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6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</row>
    <row r="844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6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</row>
    <row r="845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6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</row>
    <row r="846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6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</row>
    <row r="847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6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</row>
    <row r="848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6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</row>
    <row r="849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6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</row>
    <row r="850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6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</row>
    <row r="85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6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</row>
    <row r="852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6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</row>
    <row r="853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6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</row>
    <row r="854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6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</row>
    <row r="855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6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</row>
    <row r="856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6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</row>
    <row r="857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6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</row>
    <row r="858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6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</row>
    <row r="859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6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</row>
    <row r="860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6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</row>
    <row r="86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6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</row>
    <row r="862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6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</row>
    <row r="863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6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</row>
    <row r="864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6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</row>
    <row r="865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6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</row>
    <row r="866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6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</row>
    <row r="867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6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</row>
    <row r="868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6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</row>
    <row r="869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6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</row>
    <row r="870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6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</row>
    <row r="87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6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</row>
    <row r="872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6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</row>
    <row r="873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6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</row>
    <row r="874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6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</row>
    <row r="875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6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</row>
    <row r="876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6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</row>
    <row r="877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6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</row>
    <row r="878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6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</row>
    <row r="879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6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</row>
    <row r="880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6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</row>
    <row r="88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6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</row>
    <row r="882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6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</row>
    <row r="883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6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</row>
    <row r="884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6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</row>
    <row r="885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6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</row>
    <row r="886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6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</row>
    <row r="887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6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</row>
    <row r="888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6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</row>
    <row r="889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6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</row>
    <row r="890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6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</row>
    <row r="89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6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</row>
    <row r="892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6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</row>
    <row r="893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6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</row>
    <row r="894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6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</row>
    <row r="895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6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</row>
    <row r="896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6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</row>
    <row r="897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6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</row>
    <row r="898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6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</row>
    <row r="899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6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</row>
    <row r="900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6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</row>
    <row r="90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6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</row>
    <row r="902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6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</row>
    <row r="903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6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</row>
    <row r="904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6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</row>
    <row r="905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6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</row>
    <row r="906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6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</row>
    <row r="907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6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</row>
    <row r="908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6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</row>
    <row r="909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6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</row>
    <row r="910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6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</row>
    <row r="91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6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</row>
    <row r="912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6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</row>
    <row r="913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6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</row>
    <row r="914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6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</row>
    <row r="915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6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</row>
    <row r="916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6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</row>
    <row r="917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6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</row>
    <row r="918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6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</row>
    <row r="919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6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</row>
    <row r="920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6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</row>
    <row r="92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6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</row>
    <row r="922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6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</row>
    <row r="923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6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</row>
    <row r="924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6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</row>
    <row r="925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6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</row>
    <row r="926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6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</row>
    <row r="927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6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</row>
    <row r="928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6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</row>
    <row r="929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6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</row>
    <row r="930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6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</row>
    <row r="93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6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</row>
    <row r="932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6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</row>
    <row r="933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6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</row>
    <row r="934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6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</row>
    <row r="935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6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</row>
    <row r="936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6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</row>
    <row r="937">
      <c r="A937" s="129"/>
      <c r="B937" s="129"/>
      <c r="C937" s="174"/>
      <c r="D937" s="174"/>
      <c r="E937" s="174"/>
      <c r="F937" s="174"/>
      <c r="G937" s="174"/>
      <c r="H937" s="174"/>
      <c r="I937" s="174"/>
      <c r="J937" s="174"/>
      <c r="K937" s="174"/>
      <c r="L937" s="16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  <c r="AB937" s="174"/>
      <c r="AC937" s="174"/>
      <c r="AD937" s="174"/>
      <c r="AE937" s="174"/>
      <c r="AF937" s="174"/>
      <c r="AG937" s="174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