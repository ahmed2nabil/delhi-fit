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<sst xmlns="http://schemas.openxmlformats.org/spreadsheetml/2006/main" count="1212" uniqueCount="147">
  <si>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</si>
  <si>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</si>
  <si>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</si>
  <si>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</si>
  <si>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</si>
  <si>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</si>
  <si>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</si>
  <si>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</si>
  <si>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</si>
  <si>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</si>
  <si>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</si>
  <si>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</si>
  <si>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</si>
  <si>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</si>
  <si>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Barbell Bench Press</t>
  </si>
  <si>
    <t>Leg press 45 Degrees</t>
  </si>
  <si>
    <t>10--12</t>
  </si>
  <si>
    <t>MAG GRIP PULLDOWN</t>
  </si>
  <si>
    <t>Laying Leg Curls</t>
  </si>
  <si>
    <t>ثبات ثانية بالاعلى والنزول على ثانيتين</t>
  </si>
  <si>
    <t>Lateral Raise</t>
  </si>
  <si>
    <t>Donkey kickbacks</t>
  </si>
  <si>
    <t>يوم راحة</t>
  </si>
  <si>
    <t>اليوم 2- فل بودي</t>
  </si>
  <si>
    <t>الثلاثاء</t>
  </si>
  <si>
    <t>Conventional Deadlift</t>
  </si>
  <si>
    <t>Incline Dumbbell Press</t>
  </si>
  <si>
    <t>Leg Extensions</t>
  </si>
  <si>
    <t>Hammer Curls</t>
  </si>
  <si>
    <t>النزول على ثانيتين</t>
  </si>
  <si>
    <t>Plank</t>
  </si>
  <si>
    <t>30--60 sec</t>
  </si>
  <si>
    <t xml:space="preserve">سوي اول تمرين يظهر لك </t>
  </si>
  <si>
    <t>اليوم 3- فل بودي</t>
  </si>
  <si>
    <t>الخميس</t>
  </si>
  <si>
    <t>Squats</t>
  </si>
  <si>
    <t>Romanian Deadlift</t>
  </si>
  <si>
    <t>Chest Press Machine</t>
  </si>
  <si>
    <t>Hammer strength plate loaded lat row</t>
  </si>
  <si>
    <t>Cable Triceps Pushdown</t>
  </si>
  <si>
    <t>Modified crunches</t>
  </si>
  <si>
    <t>10--15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</si>
  <si>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</si>
  <si>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</si>
  <si>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</si>
  <si>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</si>
  <si>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</si>
  <si>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</si>
  <si>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</si>
  <si>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</si>
  <si>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</si>
  <si>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</si>
  <si>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</si>
  <si>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</si>
  <si>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</si>
  <si>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</si>
  <si>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</si>
  <si>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</si>
  <si>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</si>
  <si>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</si>
  <si>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</si>
  <si>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</si>
  <si>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</si>
  <si>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</si>
  <si>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</si>
  <si>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</si>
  <si>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</si>
  <si>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</si>
  <si>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</si>
  <si>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</si>
  <si>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</si>
  <si>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</si>
  <si>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</si>
  <si>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</si>
  <si>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</si>
  <si>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</si>
  <si>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Dumbbell Press</t>
  </si>
  <si>
    <t>Shoulder press</t>
  </si>
  <si>
    <t>Machine Incline Press</t>
  </si>
  <si>
    <t>Single Arm Lateral raises</t>
  </si>
  <si>
    <t>Triceps Push Downs</t>
  </si>
  <si>
    <t>15-50sec</t>
  </si>
  <si>
    <t>اليوم 2-فل بودي سحب</t>
  </si>
  <si>
    <t>الاثنين</t>
  </si>
  <si>
    <t>Lats  Pulldown</t>
  </si>
  <si>
    <t>Seated Cable Rows</t>
  </si>
  <si>
    <t>Dumbbell Curls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</si>
  <si>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</si>
  <si>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</si>
  <si>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</si>
  <si>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</si>
  <si>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</si>
  <si>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</si>
  <si>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Seated row upperback maggrip</t>
  </si>
  <si>
    <t xml:space="preserve">Hammer Strength High Row </t>
  </si>
  <si>
    <t>Hammer Curl</t>
  </si>
  <si>
    <t>اليوم 4- جزء سفلي</t>
  </si>
  <si>
    <t>Hack Squats</t>
  </si>
  <si>
    <t>8--10</t>
  </si>
  <si>
    <t>Dumbbell Glutes Bridge</t>
  </si>
  <si>
    <t>Seated Calf raises</t>
  </si>
  <si>
    <t>Ab crunches machine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</si>
  <si>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</si>
  <si>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</si>
  <si>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</si>
  <si>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</si>
  <si>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</si>
  <si>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</si>
  <si>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</si>
  <si>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</si>
  <si>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</si>
  <si>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</si>
  <si>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</si>
  <si>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</si>
  <si>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تحت السره)</t>
  </si>
  <si>
    <t>الورك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</si>
  <si>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</si>
  <si>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</si>
  <si>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</si>
  <si>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</si>
  <si>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</si>
  <si>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</si>
  <si>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</si>
  <si>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</si>
  <si>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</si>
  <si>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</si>
  <si>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</si>
  <si>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</si>
  <si>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</si>
  <si>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</si>
  <si>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</si>
  <si>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الحوض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</si>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</sst>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1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3.0"/>
      <color rgb="FFFBBC04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9" fillId="2" fontId="15" numFmtId="0" xfId="0" applyAlignment="1" applyBorder="1" applyFont="1">
      <alignment horizontal="center" vertic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 vertical="center"/>
    </xf>
    <xf borderId="9" fillId="6" fontId="16" numFmtId="0" xfId="0" applyAlignment="1" applyBorder="1" applyFont="1">
      <alignment horizontal="center" readingOrder="0" vertical="center"/>
    </xf>
    <xf borderId="9" fillId="6" fontId="14" numFmtId="9" xfId="0" applyAlignment="1" applyBorder="1" applyFont="1" applyNumberFormat="1">
      <alignment horizontal="center"/>
    </xf>
    <xf borderId="9" fillId="6" fontId="16" numFmtId="0" xfId="0" applyAlignment="1" applyBorder="1" applyFont="1">
      <alignment horizontal="center" vertical="center"/>
    </xf>
    <xf borderId="9" fillId="6" fontId="16" numFmtId="165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7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7" fontId="1" numFmtId="166" xfId="0" applyAlignment="1" applyBorder="1" applyFont="1" applyNumberFormat="1">
      <alignment horizontal="center" readingOrder="0" vertical="center"/>
    </xf>
    <xf borderId="0" fillId="2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0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1" fillId="5" fontId="21" numFmtId="0" xfId="0" applyAlignment="1" applyBorder="1" applyFont="1">
      <alignment horizontal="center" readingOrder="0" vertical="center"/>
    </xf>
    <xf borderId="12" fillId="5" fontId="21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1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7" numFmtId="0" xfId="0" applyAlignment="1" applyBorder="1" applyFont="1">
      <alignment horizontal="center" readingOrder="0" shrinkToFit="0" vertical="center" wrapText="0"/>
    </xf>
    <xf borderId="15" fillId="2" fontId="17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0" fillId="2" fontId="30" numFmtId="0" xfId="0" applyAlignment="1" applyFont="1">
      <alignment horizontal="center" vertical="center"/>
    </xf>
    <xf borderId="0" fillId="2" fontId="17" numFmtId="0" xfId="0" applyAlignment="1" applyFont="1">
      <alignment horizontal="center" readingOrder="0" shrinkToFit="0" vertical="center" wrapText="0"/>
    </xf>
    <xf borderId="0" fillId="2" fontId="29" numFmtId="0" xfId="0" applyAlignment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31" numFmtId="0" xfId="0" applyAlignment="1" applyBorder="1" applyFont="1">
      <alignment horizontal="center" readingOrder="0" vertical="center"/>
    </xf>
    <xf borderId="9" fillId="2" fontId="32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8" fillId="2" fontId="34" numFmtId="0" xfId="0" applyAlignment="1" applyBorder="1" applyFont="1">
      <alignment horizontal="center" readingOrder="0" vertical="center"/>
    </xf>
    <xf borderId="8" fillId="2" fontId="35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36" numFmtId="0" xfId="0" applyAlignment="1" applyBorder="1" applyFont="1">
      <alignment horizontal="center" readingOrder="0" shrinkToFit="0" vertical="center" wrapText="0"/>
    </xf>
    <xf borderId="9" fillId="2" fontId="37" numFmtId="0" xfId="0" applyAlignment="1" applyBorder="1" applyFont="1">
      <alignment horizontal="center" shrinkToFit="0" vertical="center" wrapText="0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38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17" numFmtId="0" xfId="0" applyAlignment="1" applyFont="1">
      <alignment horizontal="center" readingOrder="0" vertical="center"/>
    </xf>
    <xf borderId="0" fillId="8" fontId="26" numFmtId="0" xfId="0" applyAlignment="1" applyFill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167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39" numFmtId="167" xfId="0" applyAlignment="1" applyFont="1" applyNumberFormat="1">
      <alignment horizontal="center" readingOrder="2" vertical="center"/>
    </xf>
    <xf borderId="4" fillId="2" fontId="27" numFmtId="0" xfId="0" applyAlignment="1" applyBorder="1" applyFont="1">
      <alignment horizontal="center" readingOrder="0" vertical="center"/>
    </xf>
    <xf borderId="0" fillId="2" fontId="40" numFmtId="167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41" numFmtId="167" xfId="0" applyAlignment="1" applyFont="1" applyNumberForma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41" numFmtId="0" xfId="0" applyAlignment="1" applyFont="1">
      <alignment horizontal="center" vertical="center"/>
    </xf>
    <xf borderId="4" fillId="3" fontId="42" numFmtId="0" xfId="0" applyAlignment="1" applyBorder="1" applyFont="1">
      <alignment horizontal="center" readingOrder="0" vertical="center"/>
    </xf>
    <xf borderId="9" fillId="9" fontId="40" numFmtId="0" xfId="0" applyAlignment="1" applyBorder="1" applyFill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4" fillId="3" fontId="44" numFmtId="0" xfId="0" applyAlignment="1" applyBorder="1" applyFont="1">
      <alignment horizontal="center" readingOrder="1" shrinkToFit="0" vertical="center" wrapText="0"/>
    </xf>
    <xf borderId="9" fillId="3" fontId="45" numFmtId="0" xfId="0" applyAlignment="1" applyBorder="1" applyFont="1">
      <alignment horizontal="center" readingOrder="0" vertical="center"/>
    </xf>
    <xf borderId="9" fillId="3" fontId="43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2" vertical="center"/>
    </xf>
    <xf borderId="0" fillId="2" fontId="45" numFmtId="0" xfId="0" applyAlignment="1" applyFont="1">
      <alignment horizontal="center" readingOrder="0" vertical="center"/>
    </xf>
    <xf borderId="4" fillId="3" fontId="45" numFmtId="0" xfId="0" applyAlignment="1" applyBorder="1" applyFont="1">
      <alignment horizontal="center" readingOrder="0" vertical="center"/>
    </xf>
    <xf borderId="9" fillId="9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27" numFmtId="0" xfId="0" applyAlignment="1" applyBorder="1" applyFont="1">
      <alignment horizontal="center" readingOrder="0" vertical="center"/>
    </xf>
    <xf borderId="9" fillId="5" fontId="40" numFmtId="168" xfId="0" applyAlignment="1" applyBorder="1" applyFont="1" applyNumberFormat="1">
      <alignment horizontal="center" readingOrder="0" vertical="center"/>
    </xf>
    <xf borderId="9" fillId="7" fontId="27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6" fontId="27" numFmtId="0" xfId="0" applyAlignment="1" applyBorder="1" applyFont="1">
      <alignment horizontal="center" readingOrder="0" vertical="center"/>
    </xf>
    <xf borderId="9" fillId="10" fontId="47" numFmtId="16" xfId="0" applyAlignment="1" applyBorder="1" applyFill="1" applyFont="1" applyNumberFormat="1">
      <alignment horizontal="center" vertical="center"/>
    </xf>
    <xf borderId="9" fillId="6" fontId="27" numFmtId="4" xfId="0" applyAlignment="1" applyBorder="1" applyFont="1" applyNumberFormat="1">
      <alignment horizontal="center" readingOrder="0" vertical="center"/>
    </xf>
    <xf borderId="9" fillId="6" fontId="27" numFmtId="49" xfId="0" applyAlignment="1" applyBorder="1" applyFont="1" applyNumberFormat="1">
      <alignment horizontal="center" readingOrder="0" vertical="center"/>
    </xf>
    <xf borderId="9" fillId="2" fontId="27" numFmtId="4" xfId="0" applyAlignment="1" applyBorder="1" applyFont="1" applyNumberFormat="1">
      <alignment horizontal="center" readingOrder="0" vertical="center"/>
    </xf>
    <xf borderId="9" fillId="2" fontId="27" numFmtId="49" xfId="0" applyAlignment="1" applyBorder="1" applyFont="1" applyNumberFormat="1">
      <alignment horizontal="center" readingOrder="0" vertical="center"/>
    </xf>
    <xf borderId="0" fillId="2" fontId="40" numFmtId="168" xfId="0" applyAlignment="1" applyFont="1" applyNumberFormat="1">
      <alignment horizontal="center" readingOrder="0" vertical="center"/>
    </xf>
    <xf borderId="9" fillId="7" fontId="27" numFmtId="49" xfId="0" applyAlignment="1" applyBorder="1" applyFont="1" applyNumberFormat="1">
      <alignment horizontal="center" readingOrder="0" vertical="center"/>
    </xf>
    <xf borderId="9" fillId="7" fontId="40" numFmtId="4" xfId="0" applyAlignment="1" applyBorder="1" applyFont="1" applyNumberFormat="1">
      <alignment horizontal="center" readingOrder="0" vertical="center"/>
    </xf>
    <xf borderId="9" fillId="11" fontId="48" numFmtId="0" xfId="0" applyAlignment="1" applyBorder="1" applyFill="1" applyFont="1">
      <alignment horizontal="center" readingOrder="0" vertical="center"/>
    </xf>
    <xf borderId="9" fillId="11" fontId="40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4" fillId="3" fontId="49" numFmtId="0" xfId="0" applyAlignment="1" applyBorder="1" applyFont="1">
      <alignment horizontal="center" vertical="bottom"/>
    </xf>
    <xf borderId="0" fillId="2" fontId="40" numFmtId="0" xfId="0" applyAlignment="1" applyFont="1">
      <alignment horizontal="center" vertical="center"/>
    </xf>
    <xf borderId="9" fillId="5" fontId="40" numFmtId="168" xfId="0" applyAlignment="1" applyBorder="1" applyFont="1" applyNumberFormat="1">
      <alignment horizontal="center" vertical="bottom"/>
    </xf>
    <xf borderId="9" fillId="7" fontId="9" numFmtId="0" xfId="0" applyAlignment="1" applyBorder="1" applyFont="1">
      <alignment vertical="bottom"/>
    </xf>
    <xf borderId="4" fillId="4" fontId="42" numFmtId="0" xfId="0" applyAlignment="1" applyBorder="1" applyFont="1">
      <alignment horizontal="center" readingOrder="0" vertical="center"/>
    </xf>
    <xf borderId="9" fillId="9" fontId="27" numFmtId="0" xfId="0" applyAlignment="1" applyBorder="1" applyFont="1">
      <alignment horizontal="center" readingOrder="0" vertical="center"/>
    </xf>
    <xf borderId="9" fillId="7" fontId="27" numFmtId="0" xfId="0" applyAlignment="1" applyBorder="1" applyFont="1">
      <alignment horizontal="center" readingOrder="0" vertical="center"/>
    </xf>
    <xf borderId="4" fillId="3" fontId="50" numFmtId="0" xfId="0" applyAlignment="1" applyBorder="1" applyFont="1">
      <alignment horizontal="center" readingOrder="1" shrinkToFit="0" vertical="center" wrapText="0"/>
    </xf>
    <xf borderId="9" fillId="7" fontId="40" numFmtId="167" xfId="0" applyAlignment="1" applyBorder="1" applyFont="1" applyNumberFormat="1">
      <alignment horizontal="center" readingOrder="0" vertical="center"/>
    </xf>
    <xf borderId="6" fillId="2" fontId="39" numFmtId="0" xfId="0" applyAlignment="1" applyBorder="1" applyFont="1">
      <alignment horizontal="center" vertical="center"/>
    </xf>
    <xf borderId="9" fillId="5" fontId="27" numFmtId="0" xfId="0" applyAlignment="1" applyBorder="1" applyFont="1">
      <alignment horizontal="center" readingOrder="0" vertical="center"/>
    </xf>
    <xf borderId="9" fillId="7" fontId="2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0G2_XV7slIg?t=179" TargetMode="External"/><Relationship Id="rId84" Type="http://schemas.openxmlformats.org/officeDocument/2006/relationships/hyperlink" Target="https://youtu.be/vB5OHsJ3EME?t=29" TargetMode="External"/><Relationship Id="rId83" Type="http://schemas.openxmlformats.org/officeDocument/2006/relationships/hyperlink" Target="https://youtu.be/vB5OHsJ3EME?t=29" TargetMode="External"/><Relationship Id="rId42" Type="http://schemas.openxmlformats.org/officeDocument/2006/relationships/hyperlink" Target="https://youtu.be/vRQpiTwUeyM?t=14" TargetMode="External"/><Relationship Id="rId86" Type="http://schemas.openxmlformats.org/officeDocument/2006/relationships/hyperlink" Target="https://youtu.be/JIZy6qGTL2s?t=88" TargetMode="External"/><Relationship Id="rId41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JIZy6qGTL2s?t=88" TargetMode="External"/><Relationship Id="rId44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JIZy6qGTL2s?t=88" TargetMode="External"/><Relationship Id="rId43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JIZy6qGTL2s?t=88" TargetMode="External"/><Relationship Id="rId46" Type="http://schemas.openxmlformats.org/officeDocument/2006/relationships/hyperlink" Target="https://youtu.be/1Tq3QdYUuHs?t=55" TargetMode="External"/><Relationship Id="rId45" Type="http://schemas.openxmlformats.org/officeDocument/2006/relationships/hyperlink" Target="https://youtu.be/1Tq3QdYUuHs?t=55" TargetMode="External"/><Relationship Id="rId89" Type="http://schemas.openxmlformats.org/officeDocument/2006/relationships/hyperlink" Target="https://www.youtube.com/watch?v=uW3-Ue07H0M" TargetMode="External"/><Relationship Id="rId80" Type="http://schemas.openxmlformats.org/officeDocument/2006/relationships/hyperlink" Target="https://youtube.com/shorts/JxQPsGSTPA8?feature=share" TargetMode="External"/><Relationship Id="rId82" Type="http://schemas.openxmlformats.org/officeDocument/2006/relationships/hyperlink" Target="https://youtu.be/vB5OHsJ3EME?t=29" TargetMode="External"/><Relationship Id="rId81" Type="http://schemas.openxmlformats.org/officeDocument/2006/relationships/hyperlink" Target="https://youtu.be/vB5OHsJ3EME?t=29" TargetMode="External"/><Relationship Id="rId1" Type="http://schemas.openxmlformats.org/officeDocument/2006/relationships/hyperlink" Target="https://www.youtube.com/watch?v=jkQwOVIAVxA" TargetMode="External"/><Relationship Id="rId2" Type="http://schemas.openxmlformats.org/officeDocument/2006/relationships/hyperlink" Target="https://www.youtube.com/watch?v=jkQwOVIAVxA" TargetMode="External"/><Relationship Id="rId3" Type="http://schemas.openxmlformats.org/officeDocument/2006/relationships/hyperlink" Target="https://www.youtube.com/watch?v=jkQwOVIAVxA" TargetMode="External"/><Relationship Id="rId4" Type="http://schemas.openxmlformats.org/officeDocument/2006/relationships/hyperlink" Target="https://www.youtube.com/watch?v=jkQwOVIAVxA" TargetMode="External"/><Relationship Id="rId9" Type="http://schemas.openxmlformats.org/officeDocument/2006/relationships/hyperlink" Target="https://youtu.be/Oxy31rMrTeo?t=47" TargetMode="External"/><Relationship Id="rId48" Type="http://schemas.openxmlformats.org/officeDocument/2006/relationships/hyperlink" Target="https://youtu.be/1Tq3QdYUuHs?t=55" TargetMode="External"/><Relationship Id="rId47" Type="http://schemas.openxmlformats.org/officeDocument/2006/relationships/hyperlink" Target="https://youtu.be/1Tq3QdYUuHs?t=55" TargetMode="External"/><Relationship Id="rId49" Type="http://schemas.openxmlformats.org/officeDocument/2006/relationships/hyperlink" Target="https://youtu.be/TXt6-9TVGR8?t=6" TargetMode="External"/><Relationship Id="rId5" Type="http://schemas.openxmlformats.org/officeDocument/2006/relationships/hyperlink" Target="https://www.youtube.com/watch?v=jkQwOVIAVxA" TargetMode="External"/><Relationship Id="rId6" Type="http://schemas.openxmlformats.org/officeDocument/2006/relationships/hyperlink" Target="https://www.youtube.com/watch?v=jkQwOVIAVxA" TargetMode="External"/><Relationship Id="rId7" Type="http://schemas.openxmlformats.org/officeDocument/2006/relationships/hyperlink" Target="https://www.youtube.com/watch?v=jkQwOVIAVxA" TargetMode="External"/><Relationship Id="rId8" Type="http://schemas.openxmlformats.org/officeDocument/2006/relationships/hyperlink" Target="https://www.youtube.com/watch?v=jkQwOVIAVxA" TargetMode="External"/><Relationship Id="rId73" Type="http://schemas.openxmlformats.org/officeDocument/2006/relationships/hyperlink" Target="https://youtu.be/BeTZjAneZpk?t=130" TargetMode="External"/><Relationship Id="rId72" Type="http://schemas.openxmlformats.org/officeDocument/2006/relationships/hyperlink" Target="https://www.youtube.com/watch?v=_RHM6c8M_ws&amp;t=36s" TargetMode="External"/><Relationship Id="rId31" Type="http://schemas.openxmlformats.org/officeDocument/2006/relationships/hyperlink" Target="https://www.youtube.com/watch?v=yPsj9TNs3B4" TargetMode="External"/><Relationship Id="rId75" Type="http://schemas.openxmlformats.org/officeDocument/2006/relationships/hyperlink" Target="https://youtu.be/BeTZjAneZpk?t=130" TargetMode="External"/><Relationship Id="rId30" Type="http://schemas.openxmlformats.org/officeDocument/2006/relationships/hyperlink" Target="https://www.youtube.com/watch?v=yPsj9TNs3B4" TargetMode="External"/><Relationship Id="rId74" Type="http://schemas.openxmlformats.org/officeDocument/2006/relationships/hyperlink" Target="https://youtu.be/BeTZjAneZpk?t=130" TargetMode="External"/><Relationship Id="rId33" Type="http://schemas.openxmlformats.org/officeDocument/2006/relationships/hyperlink" Target="https://www.youtube.com/watch?v=yPsj9TNs3B4" TargetMode="External"/><Relationship Id="rId77" Type="http://schemas.openxmlformats.org/officeDocument/2006/relationships/hyperlink" Target="https://youtube.com/shorts/JxQPsGSTPA8?feature=share" TargetMode="External"/><Relationship Id="rId32" Type="http://schemas.openxmlformats.org/officeDocument/2006/relationships/hyperlink" Target="https://www.youtube.com/watch?v=yPsj9TNs3B4" TargetMode="External"/><Relationship Id="rId76" Type="http://schemas.openxmlformats.org/officeDocument/2006/relationships/hyperlink" Target="https://youtu.be/BeTZjAneZpk?t=130" TargetMode="External"/><Relationship Id="rId35" Type="http://schemas.openxmlformats.org/officeDocument/2006/relationships/hyperlink" Target="https://www.youtube.com/watch?v=yPsj9TNs3B4" TargetMode="External"/><Relationship Id="rId79" Type="http://schemas.openxmlformats.org/officeDocument/2006/relationships/hyperlink" Target="https://youtube.com/shorts/JxQPsGSTPA8?feature=share" TargetMode="External"/><Relationship Id="rId34" Type="http://schemas.openxmlformats.org/officeDocument/2006/relationships/hyperlink" Target="https://www.youtube.com/watch?v=yPsj9TNs3B4" TargetMode="External"/><Relationship Id="rId78" Type="http://schemas.openxmlformats.org/officeDocument/2006/relationships/hyperlink" Target="https://youtube.com/shorts/JxQPsGSTPA8?feature=share" TargetMode="External"/><Relationship Id="rId71" Type="http://schemas.openxmlformats.org/officeDocument/2006/relationships/hyperlink" Target="https://www.youtube.com/watch?v=_RHM6c8M_ws&amp;t=36s" TargetMode="External"/><Relationship Id="rId70" Type="http://schemas.openxmlformats.org/officeDocument/2006/relationships/hyperlink" Target="https://www.youtube.com/watch?v=_RHM6c8M_ws&amp;t=36s" TargetMode="External"/><Relationship Id="rId37" Type="http://schemas.openxmlformats.org/officeDocument/2006/relationships/hyperlink" Target="https://youtu.be/0G2_XV7slIg?t=179" TargetMode="External"/><Relationship Id="rId36" Type="http://schemas.openxmlformats.org/officeDocument/2006/relationships/hyperlink" Target="https://www.youtube.com/watch?v=yPsj9TNs3B4" TargetMode="External"/><Relationship Id="rId39" Type="http://schemas.openxmlformats.org/officeDocument/2006/relationships/hyperlink" Target="https://youtu.be/0G2_XV7slIg?t=179" TargetMode="External"/><Relationship Id="rId38" Type="http://schemas.openxmlformats.org/officeDocument/2006/relationships/hyperlink" Target="https://youtu.be/0G2_XV7slIg?t=179" TargetMode="External"/><Relationship Id="rId62" Type="http://schemas.openxmlformats.org/officeDocument/2006/relationships/hyperlink" Target="https://www.youtube.com/watch?v=t6bz_-wLHI0&amp;t=244s" TargetMode="External"/><Relationship Id="rId61" Type="http://schemas.openxmlformats.org/officeDocument/2006/relationships/hyperlink" Target="https://www.youtube.com/watch?v=t6bz_-wLHI0&amp;t=244s" TargetMode="External"/><Relationship Id="rId20" Type="http://schemas.openxmlformats.org/officeDocument/2006/relationships/hyperlink" Target="https://youtu.be/1Tq3QdYUuHs?t=55" TargetMode="External"/><Relationship Id="rId64" Type="http://schemas.openxmlformats.org/officeDocument/2006/relationships/hyperlink" Target="https://www.youtube.com/watch?v=t6bz_-wLHI0&amp;t=244s" TargetMode="External"/><Relationship Id="rId63" Type="http://schemas.openxmlformats.org/officeDocument/2006/relationships/hyperlink" Target="https://www.youtube.com/watch?v=t6bz_-wLHI0&amp;t=244s" TargetMode="External"/><Relationship Id="rId22" Type="http://schemas.openxmlformats.org/officeDocument/2006/relationships/hyperlink" Target="https://youtu.be/3VcKaXpzqRo?t=67" TargetMode="External"/><Relationship Id="rId66" Type="http://schemas.openxmlformats.org/officeDocument/2006/relationships/hyperlink" Target="https://youtu.be/_oyxCn2iSjU?t=88" TargetMode="External"/><Relationship Id="rId21" Type="http://schemas.openxmlformats.org/officeDocument/2006/relationships/hyperlink" Target="https://youtu.be/3VcKaXpzqRo?t=67" TargetMode="External"/><Relationship Id="rId65" Type="http://schemas.openxmlformats.org/officeDocument/2006/relationships/hyperlink" Target="https://youtu.be/_oyxCn2iSjU?t=88" TargetMode="External"/><Relationship Id="rId24" Type="http://schemas.openxmlformats.org/officeDocument/2006/relationships/hyperlink" Target="https://youtu.be/3VcKaXpzqRo?t=67" TargetMode="External"/><Relationship Id="rId68" Type="http://schemas.openxmlformats.org/officeDocument/2006/relationships/hyperlink" Target="https://youtu.be/_oyxCn2iSjU?t=88" TargetMode="External"/><Relationship Id="rId23" Type="http://schemas.openxmlformats.org/officeDocument/2006/relationships/hyperlink" Target="https://youtu.be/3VcKaXpzqRo?t=67" TargetMode="External"/><Relationship Id="rId67" Type="http://schemas.openxmlformats.org/officeDocument/2006/relationships/hyperlink" Target="https://youtu.be/_oyxCn2iSjU?t=88" TargetMode="External"/><Relationship Id="rId60" Type="http://schemas.openxmlformats.org/officeDocument/2006/relationships/hyperlink" Target="https://www.youtube.com/watch?v=t6bz_-wLHI0&amp;t=244s" TargetMode="External"/><Relationship Id="rId26" Type="http://schemas.openxmlformats.org/officeDocument/2006/relationships/hyperlink" Target="https://youtu.be/3nDCUmratPs?t=32" TargetMode="External"/><Relationship Id="rId25" Type="http://schemas.openxmlformats.org/officeDocument/2006/relationships/hyperlink" Target="https://youtu.be/3nDCUmratPs?t=32" TargetMode="External"/><Relationship Id="rId69" Type="http://schemas.openxmlformats.org/officeDocument/2006/relationships/hyperlink" Target="https://www.youtube.com/watch?v=_RHM6c8M_ws&amp;t=36s" TargetMode="External"/><Relationship Id="rId28" Type="http://schemas.openxmlformats.org/officeDocument/2006/relationships/hyperlink" Target="https://youtu.be/3nDCUmratPs?t=32" TargetMode="External"/><Relationship Id="rId27" Type="http://schemas.openxmlformats.org/officeDocument/2006/relationships/hyperlink" Target="https://youtu.be/3nDCUmratPs?t=32" TargetMode="External"/><Relationship Id="rId29" Type="http://schemas.openxmlformats.org/officeDocument/2006/relationships/hyperlink" Target="https://www.youtube.com/watch?v=yPsj9TNs3B4" TargetMode="External"/><Relationship Id="rId51" Type="http://schemas.openxmlformats.org/officeDocument/2006/relationships/hyperlink" Target="https://youtu.be/TXt6-9TVGR8?t=6" TargetMode="External"/><Relationship Id="rId50" Type="http://schemas.openxmlformats.org/officeDocument/2006/relationships/hyperlink" Target="https://youtu.be/TXt6-9TVGR8?t=6" TargetMode="External"/><Relationship Id="rId53" Type="http://schemas.openxmlformats.org/officeDocument/2006/relationships/hyperlink" Target="https://www.instagram.com/reel/ClyyKh4AZEb/?igshid=MzRlODBiNWFlZA==" TargetMode="External"/><Relationship Id="rId52" Type="http://schemas.openxmlformats.org/officeDocument/2006/relationships/hyperlink" Target="https://youtu.be/TXt6-9TVGR8?t=6" TargetMode="External"/><Relationship Id="rId11" Type="http://schemas.openxmlformats.org/officeDocument/2006/relationships/hyperlink" Target="https://youtu.be/Oxy31rMrTeo?t=47" TargetMode="External"/><Relationship Id="rId55" Type="http://schemas.openxmlformats.org/officeDocument/2006/relationships/hyperlink" Target="https://www.instagram.com/reel/ClyyKh4AZEb/?igshid=MzRlODBiNWFlZA==" TargetMode="External"/><Relationship Id="rId10" Type="http://schemas.openxmlformats.org/officeDocument/2006/relationships/hyperlink" Target="https://youtu.be/Oxy31rMrTeo?t=47" TargetMode="External"/><Relationship Id="rId54" Type="http://schemas.openxmlformats.org/officeDocument/2006/relationships/hyperlink" Target="https://www.instagram.com/reel/ClyyKh4AZEb/?igshid=MzRlODBiNWFlZA==" TargetMode="External"/><Relationship Id="rId13" Type="http://schemas.openxmlformats.org/officeDocument/2006/relationships/hyperlink" Target="https://www.youtube.com/watch?v=kVB6SlEyjQM&amp;t=302s" TargetMode="External"/><Relationship Id="rId57" Type="http://schemas.openxmlformats.org/officeDocument/2006/relationships/hyperlink" Target="https://www.youtube.com/watch?v=t6bz_-wLHI0&amp;t=244s" TargetMode="External"/><Relationship Id="rId12" Type="http://schemas.openxmlformats.org/officeDocument/2006/relationships/hyperlink" Target="https://youtu.be/Oxy31rMrTeo?t=47" TargetMode="External"/><Relationship Id="rId56" Type="http://schemas.openxmlformats.org/officeDocument/2006/relationships/hyperlink" Target="https://www.instagram.com/reel/ClyyKh4AZEb/?igshid=MzRlODBiNWFlZA==" TargetMode="External"/><Relationship Id="rId91" Type="http://schemas.openxmlformats.org/officeDocument/2006/relationships/hyperlink" Target="https://www.youtube.com/watch?v=0lEADrqPPNM" TargetMode="External"/><Relationship Id="rId90" Type="http://schemas.openxmlformats.org/officeDocument/2006/relationships/hyperlink" Target="https://www.youtube.com/shorts/5MNZ2x9Qzsw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www.youtube.com/watch?v=kVB6SlEyjQM&amp;t=302s" TargetMode="External"/><Relationship Id="rId59" Type="http://schemas.openxmlformats.org/officeDocument/2006/relationships/hyperlink" Target="https://www.youtube.com/watch?v=t6bz_-wLHI0&amp;t=244s" TargetMode="External"/><Relationship Id="rId14" Type="http://schemas.openxmlformats.org/officeDocument/2006/relationships/hyperlink" Target="https://www.youtube.com/watch?v=kVB6SlEyjQM&amp;t=302s" TargetMode="External"/><Relationship Id="rId58" Type="http://schemas.openxmlformats.org/officeDocument/2006/relationships/hyperlink" Target="https://www.youtube.com/watch?v=t6bz_-wLHI0&amp;t=244s" TargetMode="External"/><Relationship Id="rId17" Type="http://schemas.openxmlformats.org/officeDocument/2006/relationships/hyperlink" Target="https://youtu.be/1Tq3QdYUuHs?t=55" TargetMode="External"/><Relationship Id="rId16" Type="http://schemas.openxmlformats.org/officeDocument/2006/relationships/hyperlink" Target="https://www.youtube.com/watch?v=kVB6SlEyjQM&amp;t=302s" TargetMode="External"/><Relationship Id="rId19" Type="http://schemas.openxmlformats.org/officeDocument/2006/relationships/hyperlink" Target="https://youtu.be/1Tq3QdYUuHs?t=55" TargetMode="External"/><Relationship Id="rId18" Type="http://schemas.openxmlformats.org/officeDocument/2006/relationships/hyperlink" Target="https://youtu.be/1Tq3QdYUuHs?t=5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20.88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3.1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6" width="16.13"/>
    <col customWidth="1" min="47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</row>
    <row r="12" ht="20.25" customHeight="1">
      <c r="A12" s="1"/>
      <c r="B12" s="1"/>
      <c r="C12" s="25" t="s">
        <v>14</v>
      </c>
      <c r="D12" s="26">
        <v>1.0</v>
      </c>
      <c r="E12" s="27">
        <v>3.0</v>
      </c>
      <c r="F12" s="27">
        <v>5.0</v>
      </c>
      <c r="G12" s="28"/>
      <c r="H12" s="29"/>
      <c r="I12" s="30"/>
      <c r="J12" s="23"/>
      <c r="K12" s="30"/>
      <c r="L12" s="23"/>
      <c r="M12" s="31"/>
      <c r="N12" s="1"/>
      <c r="O12" s="25" t="s">
        <v>14</v>
      </c>
      <c r="P12" s="26">
        <v>1.0</v>
      </c>
      <c r="Q12" s="27">
        <v>3.0</v>
      </c>
      <c r="R12" s="32">
        <v>6.0</v>
      </c>
      <c r="S12" s="28"/>
      <c r="T12" s="29"/>
      <c r="U12" s="30"/>
      <c r="V12" s="23"/>
      <c r="W12" s="30"/>
      <c r="X12" s="23"/>
      <c r="Y12" s="1"/>
      <c r="Z12" s="1"/>
      <c r="AA12" s="25" t="s">
        <v>14</v>
      </c>
      <c r="AB12" s="26">
        <v>1.0</v>
      </c>
      <c r="AC12" s="27">
        <v>3.0</v>
      </c>
      <c r="AD12" s="32">
        <v>7.0</v>
      </c>
      <c r="AE12" s="28"/>
      <c r="AF12" s="29"/>
      <c r="AG12" s="30"/>
      <c r="AH12" s="23"/>
      <c r="AI12" s="30"/>
      <c r="AJ12" s="23"/>
      <c r="AK12" s="33"/>
      <c r="AL12" s="1"/>
      <c r="AM12" s="25" t="s">
        <v>14</v>
      </c>
      <c r="AN12" s="26">
        <v>1.0</v>
      </c>
      <c r="AO12" s="27">
        <v>3.0</v>
      </c>
      <c r="AP12" s="34">
        <v>8.0</v>
      </c>
      <c r="AQ12" s="28"/>
      <c r="AR12" s="29"/>
      <c r="AS12" s="30"/>
      <c r="AT12" s="23"/>
      <c r="AU12" s="30"/>
      <c r="AV12" s="23"/>
    </row>
    <row r="13" ht="20.25" customHeight="1">
      <c r="A13" s="4"/>
      <c r="B13" s="1"/>
      <c r="C13" s="25" t="s">
        <v>14</v>
      </c>
      <c r="D13" s="26">
        <v>3.0</v>
      </c>
      <c r="E13" s="27">
        <v>5.0</v>
      </c>
      <c r="F13" s="35">
        <v>-0.1</v>
      </c>
      <c r="G13" s="29"/>
      <c r="H13" s="29"/>
      <c r="I13" s="30"/>
      <c r="J13" s="23"/>
      <c r="K13" s="30"/>
      <c r="L13" s="23"/>
      <c r="M13" s="31"/>
      <c r="N13" s="1"/>
      <c r="O13" s="25" t="s">
        <v>14</v>
      </c>
      <c r="P13" s="26">
        <v>3.0</v>
      </c>
      <c r="Q13" s="27">
        <v>5.0</v>
      </c>
      <c r="R13" s="35">
        <v>-0.1</v>
      </c>
      <c r="S13" s="29"/>
      <c r="T13" s="29"/>
      <c r="U13" s="30"/>
      <c r="V13" s="23"/>
      <c r="W13" s="30"/>
      <c r="X13" s="23"/>
      <c r="Y13" s="1"/>
      <c r="Z13" s="1"/>
      <c r="AA13" s="25" t="s">
        <v>14</v>
      </c>
      <c r="AB13" s="26">
        <v>3.0</v>
      </c>
      <c r="AC13" s="27">
        <v>5.0</v>
      </c>
      <c r="AD13" s="35">
        <v>-0.1</v>
      </c>
      <c r="AE13" s="29"/>
      <c r="AF13" s="29"/>
      <c r="AG13" s="30"/>
      <c r="AH13" s="23"/>
      <c r="AI13" s="30"/>
      <c r="AJ13" s="23"/>
      <c r="AK13" s="33"/>
      <c r="AL13" s="1"/>
      <c r="AM13" s="25" t="s">
        <v>14</v>
      </c>
      <c r="AN13" s="26">
        <v>3.0</v>
      </c>
      <c r="AO13" s="27">
        <v>5.0</v>
      </c>
      <c r="AP13" s="35">
        <v>-0.1</v>
      </c>
      <c r="AQ13" s="29"/>
      <c r="AR13" s="29"/>
      <c r="AS13" s="30"/>
      <c r="AT13" s="23"/>
      <c r="AU13" s="30"/>
      <c r="AV13" s="23"/>
    </row>
    <row r="14" ht="20.25" customHeight="1">
      <c r="A14" s="4"/>
      <c r="B14" s="1"/>
      <c r="C14" s="25" t="s">
        <v>15</v>
      </c>
      <c r="D14" s="36">
        <v>3.0</v>
      </c>
      <c r="E14" s="34" t="s">
        <v>16</v>
      </c>
      <c r="F14" s="34">
        <v>8.0</v>
      </c>
      <c r="G14" s="29"/>
      <c r="H14" s="29"/>
      <c r="I14" s="30"/>
      <c r="J14" s="23"/>
      <c r="K14" s="30"/>
      <c r="L14" s="23"/>
      <c r="M14" s="31"/>
      <c r="N14" s="1"/>
      <c r="O14" s="25" t="s">
        <v>15</v>
      </c>
      <c r="P14" s="36">
        <v>3.0</v>
      </c>
      <c r="Q14" s="34" t="s">
        <v>16</v>
      </c>
      <c r="R14" s="34">
        <v>8.0</v>
      </c>
      <c r="S14" s="29"/>
      <c r="T14" s="29"/>
      <c r="U14" s="30"/>
      <c r="V14" s="23"/>
      <c r="W14" s="30"/>
      <c r="X14" s="23"/>
      <c r="Y14" s="24"/>
      <c r="Z14" s="1"/>
      <c r="AA14" s="25" t="s">
        <v>15</v>
      </c>
      <c r="AB14" s="36">
        <v>3.0</v>
      </c>
      <c r="AC14" s="34" t="s">
        <v>16</v>
      </c>
      <c r="AD14" s="37">
        <v>45878.0</v>
      </c>
      <c r="AE14" s="29"/>
      <c r="AF14" s="29"/>
      <c r="AG14" s="30"/>
      <c r="AH14" s="23"/>
      <c r="AI14" s="30"/>
      <c r="AJ14" s="23"/>
      <c r="AK14" s="33"/>
      <c r="AL14" s="1"/>
      <c r="AM14" s="25" t="s">
        <v>15</v>
      </c>
      <c r="AN14" s="36">
        <v>3.0</v>
      </c>
      <c r="AO14" s="34" t="s">
        <v>16</v>
      </c>
      <c r="AP14" s="34">
        <v>9.0</v>
      </c>
      <c r="AQ14" s="29"/>
      <c r="AR14" s="29"/>
      <c r="AS14" s="30"/>
      <c r="AT14" s="23"/>
      <c r="AU14" s="30"/>
      <c r="AV14" s="23"/>
    </row>
    <row r="15" ht="20.25" customHeight="1">
      <c r="A15" s="1"/>
      <c r="B15" s="1"/>
      <c r="C15" s="25" t="s">
        <v>17</v>
      </c>
      <c r="D15" s="36">
        <v>3.0</v>
      </c>
      <c r="E15" s="36" t="s">
        <v>16</v>
      </c>
      <c r="F15" s="34">
        <v>8.0</v>
      </c>
      <c r="G15" s="29"/>
      <c r="H15" s="29"/>
      <c r="I15" s="30"/>
      <c r="J15" s="23"/>
      <c r="K15" s="30"/>
      <c r="L15" s="23"/>
      <c r="M15" s="31"/>
      <c r="N15" s="1"/>
      <c r="O15" s="25" t="s">
        <v>17</v>
      </c>
      <c r="P15" s="36">
        <v>3.0</v>
      </c>
      <c r="Q15" s="36" t="s">
        <v>16</v>
      </c>
      <c r="R15" s="34">
        <v>8.0</v>
      </c>
      <c r="S15" s="29"/>
      <c r="T15" s="29"/>
      <c r="U15" s="30"/>
      <c r="V15" s="23"/>
      <c r="W15" s="30"/>
      <c r="X15" s="23"/>
      <c r="Y15" s="24"/>
      <c r="Z15" s="1"/>
      <c r="AA15" s="25" t="s">
        <v>17</v>
      </c>
      <c r="AB15" s="36">
        <v>3.0</v>
      </c>
      <c r="AC15" s="36" t="s">
        <v>16</v>
      </c>
      <c r="AD15" s="37">
        <v>45878.0</v>
      </c>
      <c r="AE15" s="29"/>
      <c r="AF15" s="29"/>
      <c r="AG15" s="30"/>
      <c r="AH15" s="23"/>
      <c r="AI15" s="30"/>
      <c r="AJ15" s="23"/>
      <c r="AK15" s="33"/>
      <c r="AL15" s="1"/>
      <c r="AM15" s="25" t="s">
        <v>17</v>
      </c>
      <c r="AN15" s="36">
        <v>3.0</v>
      </c>
      <c r="AO15" s="36" t="s">
        <v>16</v>
      </c>
      <c r="AP15" s="34">
        <v>9.0</v>
      </c>
      <c r="AQ15" s="29"/>
      <c r="AR15" s="29"/>
      <c r="AS15" s="30"/>
      <c r="AT15" s="23"/>
      <c r="AU15" s="30"/>
      <c r="AV15" s="23"/>
    </row>
    <row r="16">
      <c r="A16" s="1"/>
      <c r="B16" s="1"/>
      <c r="C16" s="25" t="s">
        <v>18</v>
      </c>
      <c r="D16" s="36">
        <v>3.0</v>
      </c>
      <c r="E16" s="36" t="s">
        <v>16</v>
      </c>
      <c r="F16" s="34">
        <v>8.0</v>
      </c>
      <c r="G16" s="29"/>
      <c r="H16" s="29"/>
      <c r="I16" s="30" t="s">
        <v>19</v>
      </c>
      <c r="J16" s="23"/>
      <c r="K16" s="30"/>
      <c r="L16" s="23"/>
      <c r="M16" s="31"/>
      <c r="N16" s="1"/>
      <c r="O16" s="25" t="s">
        <v>18</v>
      </c>
      <c r="P16" s="36">
        <v>3.0</v>
      </c>
      <c r="Q16" s="36" t="s">
        <v>16</v>
      </c>
      <c r="R16" s="34">
        <v>8.0</v>
      </c>
      <c r="S16" s="29"/>
      <c r="T16" s="29"/>
      <c r="U16" s="30" t="s">
        <v>19</v>
      </c>
      <c r="V16" s="23"/>
      <c r="W16" s="30"/>
      <c r="X16" s="23"/>
      <c r="Y16" s="1"/>
      <c r="Z16" s="1"/>
      <c r="AA16" s="25" t="s">
        <v>18</v>
      </c>
      <c r="AB16" s="36">
        <v>3.0</v>
      </c>
      <c r="AC16" s="36" t="s">
        <v>16</v>
      </c>
      <c r="AD16" s="37">
        <v>45878.0</v>
      </c>
      <c r="AE16" s="29"/>
      <c r="AF16" s="29"/>
      <c r="AG16" s="30" t="s">
        <v>19</v>
      </c>
      <c r="AH16" s="23"/>
      <c r="AI16" s="30"/>
      <c r="AJ16" s="23"/>
      <c r="AK16" s="33"/>
      <c r="AL16" s="1"/>
      <c r="AM16" s="25" t="s">
        <v>18</v>
      </c>
      <c r="AN16" s="36">
        <v>3.0</v>
      </c>
      <c r="AO16" s="36" t="s">
        <v>16</v>
      </c>
      <c r="AP16" s="37">
        <v>45910.0</v>
      </c>
      <c r="AQ16" s="29"/>
      <c r="AR16" s="29"/>
      <c r="AS16" s="30" t="s">
        <v>19</v>
      </c>
      <c r="AT16" s="23"/>
      <c r="AU16" s="30"/>
      <c r="AV16" s="23"/>
    </row>
    <row r="17" ht="20.25" customHeight="1">
      <c r="A17" s="1"/>
      <c r="B17" s="1"/>
      <c r="C17" s="25" t="s">
        <v>20</v>
      </c>
      <c r="D17" s="36">
        <v>3.0</v>
      </c>
      <c r="E17" s="36" t="s">
        <v>16</v>
      </c>
      <c r="F17" s="34">
        <v>8.0</v>
      </c>
      <c r="G17" s="29"/>
      <c r="H17" s="29"/>
      <c r="I17" s="30" t="s">
        <v>19</v>
      </c>
      <c r="J17" s="23"/>
      <c r="K17" s="30"/>
      <c r="L17" s="23"/>
      <c r="M17" s="31"/>
      <c r="N17" s="1"/>
      <c r="O17" s="25" t="s">
        <v>20</v>
      </c>
      <c r="P17" s="36">
        <v>3.0</v>
      </c>
      <c r="Q17" s="36" t="s">
        <v>16</v>
      </c>
      <c r="R17" s="34">
        <v>8.0</v>
      </c>
      <c r="S17" s="29"/>
      <c r="T17" s="29"/>
      <c r="U17" s="30" t="s">
        <v>19</v>
      </c>
      <c r="V17" s="23"/>
      <c r="W17" s="30"/>
      <c r="X17" s="23"/>
      <c r="Y17" s="24"/>
      <c r="Z17" s="1"/>
      <c r="AA17" s="25" t="s">
        <v>20</v>
      </c>
      <c r="AB17" s="36">
        <v>3.0</v>
      </c>
      <c r="AC17" s="36" t="s">
        <v>16</v>
      </c>
      <c r="AD17" s="37">
        <v>45878.0</v>
      </c>
      <c r="AE17" s="29"/>
      <c r="AF17" s="29"/>
      <c r="AG17" s="30" t="s">
        <v>19</v>
      </c>
      <c r="AH17" s="23"/>
      <c r="AI17" s="30"/>
      <c r="AJ17" s="23"/>
      <c r="AK17" s="33"/>
      <c r="AL17" s="1"/>
      <c r="AM17" s="25" t="s">
        <v>20</v>
      </c>
      <c r="AN17" s="36">
        <v>3.0</v>
      </c>
      <c r="AO17" s="36" t="s">
        <v>16</v>
      </c>
      <c r="AP17" s="37">
        <v>45910.0</v>
      </c>
      <c r="AQ17" s="29"/>
      <c r="AR17" s="29"/>
      <c r="AS17" s="30" t="s">
        <v>19</v>
      </c>
      <c r="AT17" s="23"/>
      <c r="AU17" s="30"/>
      <c r="AV17" s="23"/>
    </row>
    <row r="18" ht="20.25" customHeight="1">
      <c r="A18" s="1"/>
      <c r="B18" s="16"/>
      <c r="C18" s="25" t="s">
        <v>21</v>
      </c>
      <c r="D18" s="36">
        <v>3.0</v>
      </c>
      <c r="E18" s="36" t="s">
        <v>16</v>
      </c>
      <c r="F18" s="34">
        <v>8.0</v>
      </c>
      <c r="G18" s="29"/>
      <c r="H18" s="29"/>
      <c r="I18" s="30"/>
      <c r="J18" s="23"/>
      <c r="K18" s="30"/>
      <c r="L18" s="23"/>
      <c r="M18" s="5"/>
      <c r="N18" s="16"/>
      <c r="O18" s="25" t="s">
        <v>21</v>
      </c>
      <c r="P18" s="36">
        <v>3.0</v>
      </c>
      <c r="Q18" s="36" t="s">
        <v>16</v>
      </c>
      <c r="R18" s="34">
        <v>8.0</v>
      </c>
      <c r="S18" s="29"/>
      <c r="T18" s="29"/>
      <c r="U18" s="30"/>
      <c r="V18" s="23"/>
      <c r="W18" s="30"/>
      <c r="X18" s="23"/>
      <c r="Y18" s="4"/>
      <c r="Z18" s="16"/>
      <c r="AA18" s="25" t="s">
        <v>21</v>
      </c>
      <c r="AB18" s="36">
        <v>3.0</v>
      </c>
      <c r="AC18" s="36" t="s">
        <v>16</v>
      </c>
      <c r="AD18" s="37">
        <v>45878.0</v>
      </c>
      <c r="AE18" s="29"/>
      <c r="AF18" s="29"/>
      <c r="AG18" s="30"/>
      <c r="AH18" s="23"/>
      <c r="AI18" s="30"/>
      <c r="AJ18" s="23"/>
      <c r="AK18" s="2"/>
      <c r="AL18" s="16"/>
      <c r="AM18" s="25" t="s">
        <v>21</v>
      </c>
      <c r="AN18" s="36">
        <v>3.0</v>
      </c>
      <c r="AO18" s="36" t="s">
        <v>16</v>
      </c>
      <c r="AP18" s="37">
        <v>45910.0</v>
      </c>
      <c r="AQ18" s="29"/>
      <c r="AR18" s="29"/>
      <c r="AS18" s="30"/>
      <c r="AT18" s="23"/>
      <c r="AU18" s="30"/>
      <c r="AV18" s="23"/>
    </row>
    <row r="19" ht="20.25" customHeight="1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ht="20.25" customHeight="1">
      <c r="A20" s="1"/>
      <c r="B20" s="16"/>
      <c r="C20" s="38" t="s">
        <v>22</v>
      </c>
      <c r="D20" s="39"/>
      <c r="E20" s="39"/>
      <c r="F20" s="39"/>
      <c r="G20" s="39"/>
      <c r="H20" s="39"/>
      <c r="I20" s="39"/>
      <c r="J20" s="39"/>
      <c r="K20" s="39"/>
      <c r="L20" s="23"/>
      <c r="M20" s="5"/>
      <c r="N20" s="16"/>
      <c r="O20" s="38" t="s">
        <v>22</v>
      </c>
      <c r="P20" s="39"/>
      <c r="Q20" s="39"/>
      <c r="R20" s="39"/>
      <c r="S20" s="39"/>
      <c r="T20" s="39"/>
      <c r="U20" s="39"/>
      <c r="V20" s="39"/>
      <c r="W20" s="39"/>
      <c r="X20" s="23"/>
      <c r="Y20" s="4"/>
      <c r="Z20" s="16"/>
      <c r="AA20" s="38" t="s">
        <v>22</v>
      </c>
      <c r="AB20" s="39"/>
      <c r="AC20" s="39"/>
      <c r="AD20" s="39"/>
      <c r="AE20" s="39"/>
      <c r="AF20" s="39"/>
      <c r="AG20" s="39"/>
      <c r="AH20" s="39"/>
      <c r="AI20" s="39"/>
      <c r="AJ20" s="23"/>
      <c r="AK20" s="2"/>
      <c r="AL20" s="16"/>
      <c r="AM20" s="38" t="s">
        <v>22</v>
      </c>
      <c r="AN20" s="39"/>
      <c r="AO20" s="39"/>
      <c r="AP20" s="39"/>
      <c r="AQ20" s="39"/>
      <c r="AR20" s="39"/>
      <c r="AS20" s="39"/>
      <c r="AT20" s="39"/>
      <c r="AU20" s="39"/>
      <c r="AV20" s="23"/>
    </row>
    <row r="21" ht="20.25" customHeight="1">
      <c r="A21" s="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4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2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ht="20.25" customHeight="1">
      <c r="A22" s="1"/>
      <c r="B22" s="4"/>
      <c r="C22" s="12" t="s">
        <v>23</v>
      </c>
      <c r="D22" s="40"/>
      <c r="E22" s="40"/>
      <c r="F22" s="1"/>
      <c r="G22" s="1"/>
      <c r="H22" s="1"/>
      <c r="I22" s="1"/>
      <c r="J22" s="1"/>
      <c r="K22" s="1"/>
      <c r="L22" s="1"/>
      <c r="M22" s="5"/>
      <c r="N22" s="4"/>
      <c r="O22" s="12" t="s">
        <v>23</v>
      </c>
      <c r="P22" s="40"/>
      <c r="Q22" s="40"/>
      <c r="R22" s="1"/>
      <c r="S22" s="1"/>
      <c r="T22" s="1"/>
      <c r="U22" s="1"/>
      <c r="V22" s="1"/>
      <c r="W22" s="1"/>
      <c r="X22" s="1"/>
      <c r="Y22" s="24"/>
      <c r="Z22" s="4"/>
      <c r="AA22" s="12" t="s">
        <v>23</v>
      </c>
      <c r="AB22" s="40"/>
      <c r="AC22" s="40"/>
      <c r="AD22" s="1"/>
      <c r="AE22" s="1"/>
      <c r="AF22" s="1"/>
      <c r="AG22" s="1"/>
      <c r="AH22" s="1"/>
      <c r="AI22" s="1"/>
      <c r="AJ22" s="1"/>
      <c r="AK22" s="3"/>
      <c r="AL22" s="4"/>
      <c r="AM22" s="12" t="s">
        <v>23</v>
      </c>
      <c r="AN22" s="40"/>
      <c r="AO22" s="40"/>
      <c r="AP22" s="1"/>
      <c r="AQ22" s="1"/>
      <c r="AR22" s="1"/>
      <c r="AS22" s="1"/>
      <c r="AT22" s="1"/>
      <c r="AU22" s="1"/>
      <c r="AV22" s="1"/>
    </row>
    <row r="23">
      <c r="A23" s="1"/>
      <c r="B23" s="12" t="s">
        <v>24</v>
      </c>
      <c r="C23" s="41" t="s">
        <v>6</v>
      </c>
      <c r="D23" s="21" t="s">
        <v>7</v>
      </c>
      <c r="E23" s="21" t="s">
        <v>8</v>
      </c>
      <c r="F23" s="20" t="s">
        <v>9</v>
      </c>
      <c r="G23" s="21" t="s">
        <v>10</v>
      </c>
      <c r="H23" s="21" t="s">
        <v>11</v>
      </c>
      <c r="I23" s="22" t="s">
        <v>12</v>
      </c>
      <c r="J23" s="23"/>
      <c r="K23" s="22" t="s">
        <v>13</v>
      </c>
      <c r="L23" s="23"/>
      <c r="M23" s="31"/>
      <c r="N23" s="12" t="s">
        <v>24</v>
      </c>
      <c r="O23" s="41" t="s">
        <v>6</v>
      </c>
      <c r="P23" s="21" t="s">
        <v>7</v>
      </c>
      <c r="Q23" s="21" t="s">
        <v>8</v>
      </c>
      <c r="R23" s="20" t="s">
        <v>9</v>
      </c>
      <c r="S23" s="21" t="s">
        <v>10</v>
      </c>
      <c r="T23" s="21" t="s">
        <v>11</v>
      </c>
      <c r="U23" s="22" t="s">
        <v>12</v>
      </c>
      <c r="V23" s="23"/>
      <c r="W23" s="22" t="s">
        <v>13</v>
      </c>
      <c r="X23" s="23"/>
      <c r="Y23" s="24"/>
      <c r="Z23" s="12" t="s">
        <v>24</v>
      </c>
      <c r="AA23" s="41" t="s">
        <v>6</v>
      </c>
      <c r="AB23" s="21" t="s">
        <v>7</v>
      </c>
      <c r="AC23" s="21" t="s">
        <v>8</v>
      </c>
      <c r="AD23" s="20" t="s">
        <v>9</v>
      </c>
      <c r="AE23" s="21" t="s">
        <v>10</v>
      </c>
      <c r="AF23" s="21" t="s">
        <v>11</v>
      </c>
      <c r="AG23" s="22" t="s">
        <v>12</v>
      </c>
      <c r="AH23" s="23"/>
      <c r="AI23" s="22" t="s">
        <v>13</v>
      </c>
      <c r="AJ23" s="23"/>
      <c r="AK23" s="33"/>
      <c r="AL23" s="12" t="s">
        <v>24</v>
      </c>
      <c r="AM23" s="41" t="s">
        <v>6</v>
      </c>
      <c r="AN23" s="21" t="s">
        <v>7</v>
      </c>
      <c r="AO23" s="21" t="s">
        <v>8</v>
      </c>
      <c r="AP23" s="20" t="s">
        <v>9</v>
      </c>
      <c r="AQ23" s="21" t="s">
        <v>10</v>
      </c>
      <c r="AR23" s="21" t="s">
        <v>11</v>
      </c>
      <c r="AS23" s="22" t="s">
        <v>12</v>
      </c>
      <c r="AT23" s="23"/>
      <c r="AU23" s="22" t="s">
        <v>13</v>
      </c>
      <c r="AV23" s="23"/>
    </row>
    <row r="24" ht="20.25" customHeight="1">
      <c r="A24" s="4"/>
      <c r="B24" s="1"/>
      <c r="C24" s="25" t="s">
        <v>25</v>
      </c>
      <c r="D24" s="26">
        <v>1.0</v>
      </c>
      <c r="E24" s="27">
        <v>3.0</v>
      </c>
      <c r="F24" s="27">
        <v>5.0</v>
      </c>
      <c r="G24" s="42"/>
      <c r="H24" s="43"/>
      <c r="I24" s="30"/>
      <c r="J24" s="23"/>
      <c r="K24" s="30"/>
      <c r="L24" s="23"/>
      <c r="M24" s="17"/>
      <c r="N24" s="1"/>
      <c r="O24" s="25" t="s">
        <v>25</v>
      </c>
      <c r="P24" s="26">
        <v>1.0</v>
      </c>
      <c r="Q24" s="27">
        <v>3.0</v>
      </c>
      <c r="R24" s="32">
        <v>6.0</v>
      </c>
      <c r="S24" s="42"/>
      <c r="T24" s="43"/>
      <c r="U24" s="30"/>
      <c r="V24" s="23"/>
      <c r="W24" s="30"/>
      <c r="X24" s="23"/>
      <c r="Y24" s="1"/>
      <c r="Z24" s="1"/>
      <c r="AA24" s="25" t="s">
        <v>25</v>
      </c>
      <c r="AB24" s="26">
        <v>1.0</v>
      </c>
      <c r="AC24" s="27">
        <v>3.0</v>
      </c>
      <c r="AD24" s="32">
        <v>7.0</v>
      </c>
      <c r="AE24" s="42"/>
      <c r="AF24" s="43"/>
      <c r="AG24" s="30"/>
      <c r="AH24" s="23"/>
      <c r="AI24" s="30"/>
      <c r="AJ24" s="23"/>
      <c r="AK24" s="33"/>
      <c r="AL24" s="1"/>
      <c r="AM24" s="25" t="s">
        <v>25</v>
      </c>
      <c r="AN24" s="26">
        <v>1.0</v>
      </c>
      <c r="AO24" s="27">
        <v>3.0</v>
      </c>
      <c r="AP24" s="34">
        <v>8.0</v>
      </c>
      <c r="AQ24" s="42"/>
      <c r="AR24" s="43"/>
      <c r="AS24" s="30"/>
      <c r="AT24" s="23"/>
      <c r="AU24" s="30"/>
      <c r="AV24" s="23"/>
    </row>
    <row r="25" ht="20.25" customHeight="1">
      <c r="A25" s="1"/>
      <c r="B25" s="1"/>
      <c r="C25" s="25" t="s">
        <v>25</v>
      </c>
      <c r="D25" s="26">
        <v>3.0</v>
      </c>
      <c r="E25" s="27">
        <v>5.0</v>
      </c>
      <c r="F25" s="35">
        <v>-0.1</v>
      </c>
      <c r="G25" s="29"/>
      <c r="H25" s="29"/>
      <c r="I25" s="30"/>
      <c r="J25" s="23"/>
      <c r="K25" s="30"/>
      <c r="L25" s="23"/>
      <c r="M25" s="31"/>
      <c r="N25" s="1"/>
      <c r="O25" s="25" t="s">
        <v>25</v>
      </c>
      <c r="P25" s="26">
        <v>3.0</v>
      </c>
      <c r="Q25" s="27">
        <v>5.0</v>
      </c>
      <c r="R25" s="35">
        <v>-0.1</v>
      </c>
      <c r="S25" s="29"/>
      <c r="T25" s="29"/>
      <c r="U25" s="30"/>
      <c r="V25" s="23"/>
      <c r="W25" s="30"/>
      <c r="X25" s="23"/>
      <c r="Y25" s="24"/>
      <c r="Z25" s="1"/>
      <c r="AA25" s="25" t="s">
        <v>25</v>
      </c>
      <c r="AB25" s="26">
        <v>3.0</v>
      </c>
      <c r="AC25" s="27">
        <v>5.0</v>
      </c>
      <c r="AD25" s="35">
        <v>-0.1</v>
      </c>
      <c r="AE25" s="29"/>
      <c r="AF25" s="29"/>
      <c r="AG25" s="30"/>
      <c r="AH25" s="23"/>
      <c r="AI25" s="30"/>
      <c r="AJ25" s="23"/>
      <c r="AK25" s="33"/>
      <c r="AL25" s="1"/>
      <c r="AM25" s="25" t="s">
        <v>25</v>
      </c>
      <c r="AN25" s="26">
        <v>3.0</v>
      </c>
      <c r="AO25" s="27">
        <v>5.0</v>
      </c>
      <c r="AP25" s="35">
        <v>-0.1</v>
      </c>
      <c r="AQ25" s="29"/>
      <c r="AR25" s="29"/>
      <c r="AS25" s="30"/>
      <c r="AT25" s="23"/>
      <c r="AU25" s="30"/>
      <c r="AV25" s="23"/>
    </row>
    <row r="26" ht="20.25" customHeight="1">
      <c r="A26" s="1"/>
      <c r="B26" s="1"/>
      <c r="C26" s="25" t="s">
        <v>26</v>
      </c>
      <c r="D26" s="44">
        <v>3.0</v>
      </c>
      <c r="E26" s="45" t="s">
        <v>16</v>
      </c>
      <c r="F26" s="45">
        <v>8.0</v>
      </c>
      <c r="G26" s="29"/>
      <c r="H26" s="29"/>
      <c r="I26" s="30"/>
      <c r="J26" s="23"/>
      <c r="K26" s="30"/>
      <c r="L26" s="23"/>
      <c r="M26" s="31"/>
      <c r="N26" s="1"/>
      <c r="O26" s="25" t="s">
        <v>26</v>
      </c>
      <c r="P26" s="44">
        <v>3.0</v>
      </c>
      <c r="Q26" s="45" t="s">
        <v>16</v>
      </c>
      <c r="R26" s="45">
        <v>8.0</v>
      </c>
      <c r="S26" s="29"/>
      <c r="T26" s="29"/>
      <c r="U26" s="30"/>
      <c r="V26" s="23"/>
      <c r="W26" s="30"/>
      <c r="X26" s="23"/>
      <c r="Y26" s="24"/>
      <c r="Z26" s="1"/>
      <c r="AA26" s="25" t="s">
        <v>26</v>
      </c>
      <c r="AB26" s="44">
        <v>3.0</v>
      </c>
      <c r="AC26" s="45" t="s">
        <v>16</v>
      </c>
      <c r="AD26" s="37">
        <v>45878.0</v>
      </c>
      <c r="AE26" s="29"/>
      <c r="AF26" s="29"/>
      <c r="AG26" s="30"/>
      <c r="AH26" s="23"/>
      <c r="AI26" s="30"/>
      <c r="AJ26" s="23"/>
      <c r="AK26" s="33"/>
      <c r="AL26" s="1"/>
      <c r="AM26" s="25" t="s">
        <v>26</v>
      </c>
      <c r="AN26" s="44">
        <v>3.0</v>
      </c>
      <c r="AO26" s="45" t="s">
        <v>16</v>
      </c>
      <c r="AP26" s="45">
        <v>9.0</v>
      </c>
      <c r="AQ26" s="29"/>
      <c r="AR26" s="29"/>
      <c r="AS26" s="30"/>
      <c r="AT26" s="23"/>
      <c r="AU26" s="30"/>
      <c r="AV26" s="23"/>
    </row>
    <row r="27" ht="20.25" customHeight="1">
      <c r="A27" s="1"/>
      <c r="B27" s="1"/>
      <c r="C27" s="25" t="s">
        <v>27</v>
      </c>
      <c r="D27" s="44">
        <v>3.0</v>
      </c>
      <c r="E27" s="45" t="s">
        <v>16</v>
      </c>
      <c r="F27" s="45">
        <v>8.0</v>
      </c>
      <c r="G27" s="29"/>
      <c r="H27" s="29"/>
      <c r="I27" s="30" t="s">
        <v>19</v>
      </c>
      <c r="J27" s="23"/>
      <c r="K27" s="30"/>
      <c r="L27" s="23"/>
      <c r="M27" s="31"/>
      <c r="N27" s="1"/>
      <c r="O27" s="25" t="s">
        <v>27</v>
      </c>
      <c r="P27" s="44">
        <v>3.0</v>
      </c>
      <c r="Q27" s="45" t="s">
        <v>16</v>
      </c>
      <c r="R27" s="45">
        <v>8.0</v>
      </c>
      <c r="S27" s="29"/>
      <c r="T27" s="29"/>
      <c r="U27" s="30" t="s">
        <v>19</v>
      </c>
      <c r="V27" s="23"/>
      <c r="W27" s="30"/>
      <c r="X27" s="23"/>
      <c r="Y27" s="24"/>
      <c r="Z27" s="1"/>
      <c r="AA27" s="25" t="s">
        <v>27</v>
      </c>
      <c r="AB27" s="44">
        <v>3.0</v>
      </c>
      <c r="AC27" s="45" t="s">
        <v>16</v>
      </c>
      <c r="AD27" s="37">
        <v>45878.0</v>
      </c>
      <c r="AE27" s="29"/>
      <c r="AF27" s="29"/>
      <c r="AG27" s="30" t="s">
        <v>19</v>
      </c>
      <c r="AH27" s="23"/>
      <c r="AI27" s="30"/>
      <c r="AJ27" s="23"/>
      <c r="AK27" s="33"/>
      <c r="AL27" s="1"/>
      <c r="AM27" s="25" t="s">
        <v>27</v>
      </c>
      <c r="AN27" s="44">
        <v>3.0</v>
      </c>
      <c r="AO27" s="45" t="s">
        <v>16</v>
      </c>
      <c r="AP27" s="37">
        <v>45910.0</v>
      </c>
      <c r="AQ27" s="29"/>
      <c r="AR27" s="29"/>
      <c r="AS27" s="30" t="s">
        <v>19</v>
      </c>
      <c r="AT27" s="23"/>
      <c r="AU27" s="30"/>
      <c r="AV27" s="23"/>
    </row>
    <row r="28" ht="20.25" customHeight="1">
      <c r="A28" s="1"/>
      <c r="B28" s="1"/>
      <c r="C28" s="25" t="s">
        <v>18</v>
      </c>
      <c r="D28" s="44">
        <v>3.0</v>
      </c>
      <c r="E28" s="44" t="s">
        <v>16</v>
      </c>
      <c r="F28" s="45">
        <v>8.0</v>
      </c>
      <c r="G28" s="29"/>
      <c r="H28" s="29"/>
      <c r="I28" s="30" t="s">
        <v>19</v>
      </c>
      <c r="J28" s="23"/>
      <c r="K28" s="30"/>
      <c r="L28" s="23"/>
      <c r="M28" s="31"/>
      <c r="N28" s="1"/>
      <c r="O28" s="25" t="s">
        <v>18</v>
      </c>
      <c r="P28" s="44">
        <v>3.0</v>
      </c>
      <c r="Q28" s="44" t="s">
        <v>16</v>
      </c>
      <c r="R28" s="45">
        <v>8.0</v>
      </c>
      <c r="S28" s="29"/>
      <c r="T28" s="29"/>
      <c r="U28" s="30" t="s">
        <v>19</v>
      </c>
      <c r="V28" s="23"/>
      <c r="W28" s="30"/>
      <c r="X28" s="23"/>
      <c r="Y28" s="46"/>
      <c r="Z28" s="1"/>
      <c r="AA28" s="25" t="s">
        <v>18</v>
      </c>
      <c r="AB28" s="44">
        <v>3.0</v>
      </c>
      <c r="AC28" s="44" t="s">
        <v>16</v>
      </c>
      <c r="AD28" s="37">
        <v>45878.0</v>
      </c>
      <c r="AE28" s="29"/>
      <c r="AF28" s="29"/>
      <c r="AG28" s="30" t="s">
        <v>19</v>
      </c>
      <c r="AH28" s="23"/>
      <c r="AI28" s="30"/>
      <c r="AJ28" s="23"/>
      <c r="AK28" s="33"/>
      <c r="AL28" s="1"/>
      <c r="AM28" s="25" t="s">
        <v>18</v>
      </c>
      <c r="AN28" s="44">
        <v>3.0</v>
      </c>
      <c r="AO28" s="44" t="s">
        <v>16</v>
      </c>
      <c r="AP28" s="37">
        <v>45910.0</v>
      </c>
      <c r="AQ28" s="29"/>
      <c r="AR28" s="29"/>
      <c r="AS28" s="30" t="s">
        <v>19</v>
      </c>
      <c r="AT28" s="23"/>
      <c r="AU28" s="30"/>
      <c r="AV28" s="23"/>
    </row>
    <row r="29" ht="20.25" customHeight="1">
      <c r="A29" s="1"/>
      <c r="B29" s="16"/>
      <c r="C29" s="25" t="s">
        <v>28</v>
      </c>
      <c r="D29" s="47">
        <v>3.0</v>
      </c>
      <c r="E29" s="47" t="s">
        <v>16</v>
      </c>
      <c r="F29" s="48">
        <v>8.0</v>
      </c>
      <c r="G29" s="49"/>
      <c r="H29" s="49"/>
      <c r="I29" s="50" t="s">
        <v>29</v>
      </c>
      <c r="J29" s="10"/>
      <c r="K29" s="50"/>
      <c r="L29" s="10"/>
      <c r="M29" s="17"/>
      <c r="N29" s="16"/>
      <c r="O29" s="25" t="s">
        <v>28</v>
      </c>
      <c r="P29" s="47">
        <v>3.0</v>
      </c>
      <c r="Q29" s="47" t="s">
        <v>16</v>
      </c>
      <c r="R29" s="48">
        <v>8.0</v>
      </c>
      <c r="S29" s="49"/>
      <c r="T29" s="49"/>
      <c r="U29" s="50" t="s">
        <v>29</v>
      </c>
      <c r="V29" s="10"/>
      <c r="W29" s="50"/>
      <c r="X29" s="10"/>
      <c r="Y29" s="51"/>
      <c r="Z29" s="16"/>
      <c r="AA29" s="25" t="s">
        <v>28</v>
      </c>
      <c r="AB29" s="47">
        <v>3.0</v>
      </c>
      <c r="AC29" s="47" t="s">
        <v>16</v>
      </c>
      <c r="AD29" s="37">
        <v>45878.0</v>
      </c>
      <c r="AE29" s="49"/>
      <c r="AF29" s="49"/>
      <c r="AG29" s="50" t="s">
        <v>29</v>
      </c>
      <c r="AH29" s="10"/>
      <c r="AI29" s="50"/>
      <c r="AJ29" s="10"/>
      <c r="AK29" s="52"/>
      <c r="AL29" s="16"/>
      <c r="AM29" s="25" t="s">
        <v>28</v>
      </c>
      <c r="AN29" s="47">
        <v>3.0</v>
      </c>
      <c r="AO29" s="47" t="s">
        <v>16</v>
      </c>
      <c r="AP29" s="37">
        <v>45910.0</v>
      </c>
      <c r="AQ29" s="49"/>
      <c r="AR29" s="49"/>
      <c r="AS29" s="50" t="s">
        <v>29</v>
      </c>
      <c r="AT29" s="10"/>
      <c r="AU29" s="50"/>
      <c r="AV29" s="10"/>
    </row>
    <row r="30" ht="20.25" customHeight="1">
      <c r="A30" s="1"/>
      <c r="B30" s="1"/>
      <c r="C30" s="25" t="s">
        <v>30</v>
      </c>
      <c r="D30" s="45">
        <v>3.0</v>
      </c>
      <c r="E30" s="45" t="s">
        <v>31</v>
      </c>
      <c r="F30" s="45">
        <v>8.0</v>
      </c>
      <c r="G30" s="29"/>
      <c r="H30" s="29"/>
      <c r="I30" s="30" t="s">
        <v>32</v>
      </c>
      <c r="J30" s="23"/>
      <c r="K30" s="30"/>
      <c r="L30" s="23"/>
      <c r="M30" s="17"/>
      <c r="N30" s="1"/>
      <c r="O30" s="25" t="s">
        <v>30</v>
      </c>
      <c r="P30" s="45">
        <v>3.0</v>
      </c>
      <c r="Q30" s="45" t="s">
        <v>31</v>
      </c>
      <c r="R30" s="45">
        <v>8.0</v>
      </c>
      <c r="S30" s="29"/>
      <c r="T30" s="29"/>
      <c r="U30" s="30" t="s">
        <v>32</v>
      </c>
      <c r="V30" s="23"/>
      <c r="W30" s="30"/>
      <c r="X30" s="23"/>
      <c r="Y30" s="51"/>
      <c r="Z30" s="1"/>
      <c r="AA30" s="25" t="s">
        <v>30</v>
      </c>
      <c r="AB30" s="45">
        <v>3.0</v>
      </c>
      <c r="AC30" s="45" t="s">
        <v>31</v>
      </c>
      <c r="AD30" s="37">
        <v>45878.0</v>
      </c>
      <c r="AE30" s="29"/>
      <c r="AF30" s="29"/>
      <c r="AG30" s="30" t="s">
        <v>32</v>
      </c>
      <c r="AH30" s="23"/>
      <c r="AI30" s="30"/>
      <c r="AJ30" s="23"/>
      <c r="AK30" s="52"/>
      <c r="AL30" s="1"/>
      <c r="AM30" s="25" t="s">
        <v>30</v>
      </c>
      <c r="AN30" s="45">
        <v>3.0</v>
      </c>
      <c r="AO30" s="45" t="s">
        <v>31</v>
      </c>
      <c r="AP30" s="53">
        <v>45910.0</v>
      </c>
      <c r="AQ30" s="29"/>
      <c r="AR30" s="29"/>
      <c r="AS30" s="30" t="s">
        <v>32</v>
      </c>
      <c r="AT30" s="23"/>
      <c r="AU30" s="30"/>
      <c r="AV30" s="23"/>
    </row>
    <row r="31" ht="20.25" customHeight="1">
      <c r="A31" s="1"/>
      <c r="B31" s="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"/>
      <c r="N31" s="1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"/>
      <c r="Z31" s="1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2"/>
      <c r="AL31" s="1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ht="20.25" customHeight="1">
      <c r="A32" s="1"/>
      <c r="B32" s="1"/>
      <c r="C32" s="38" t="s">
        <v>22</v>
      </c>
      <c r="D32" s="39"/>
      <c r="E32" s="39"/>
      <c r="F32" s="39"/>
      <c r="G32" s="39"/>
      <c r="H32" s="39"/>
      <c r="I32" s="39"/>
      <c r="J32" s="39"/>
      <c r="K32" s="39"/>
      <c r="L32" s="23"/>
      <c r="M32" s="5"/>
      <c r="N32" s="1"/>
      <c r="O32" s="38" t="s">
        <v>22</v>
      </c>
      <c r="P32" s="39"/>
      <c r="Q32" s="39"/>
      <c r="R32" s="39"/>
      <c r="S32" s="39"/>
      <c r="T32" s="39"/>
      <c r="U32" s="39"/>
      <c r="V32" s="39"/>
      <c r="W32" s="39"/>
      <c r="X32" s="23"/>
      <c r="Y32" s="54"/>
      <c r="Z32" s="1"/>
      <c r="AA32" s="38" t="s">
        <v>22</v>
      </c>
      <c r="AB32" s="39"/>
      <c r="AC32" s="39"/>
      <c r="AD32" s="39"/>
      <c r="AE32" s="39"/>
      <c r="AF32" s="39"/>
      <c r="AG32" s="39"/>
      <c r="AH32" s="39"/>
      <c r="AI32" s="39"/>
      <c r="AJ32" s="23"/>
      <c r="AK32" s="3"/>
      <c r="AL32" s="1"/>
      <c r="AM32" s="38" t="s">
        <v>22</v>
      </c>
      <c r="AN32" s="39"/>
      <c r="AO32" s="39"/>
      <c r="AP32" s="39"/>
      <c r="AQ32" s="39"/>
      <c r="AR32" s="39"/>
      <c r="AS32" s="39"/>
      <c r="AT32" s="39"/>
      <c r="AU32" s="39"/>
      <c r="AV32" s="23"/>
    </row>
    <row r="33" ht="27.0" customHeight="1">
      <c r="A33" s="4"/>
      <c r="B33" s="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31"/>
      <c r="N33" s="2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46"/>
      <c r="Z33" s="2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33"/>
      <c r="AL33" s="2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>
      <c r="A34" s="1"/>
      <c r="B34" s="16"/>
      <c r="C34" s="12" t="s">
        <v>33</v>
      </c>
      <c r="D34" s="40"/>
      <c r="E34" s="40"/>
      <c r="F34" s="1"/>
      <c r="G34" s="1"/>
      <c r="H34" s="1"/>
      <c r="I34" s="1"/>
      <c r="J34" s="1"/>
      <c r="K34" s="1"/>
      <c r="L34" s="1"/>
      <c r="M34" s="31"/>
      <c r="N34" s="16"/>
      <c r="O34" s="12" t="s">
        <v>33</v>
      </c>
      <c r="P34" s="40"/>
      <c r="Q34" s="40"/>
      <c r="R34" s="1"/>
      <c r="S34" s="1"/>
      <c r="T34" s="1"/>
      <c r="U34" s="1"/>
      <c r="V34" s="1"/>
      <c r="W34" s="1"/>
      <c r="X34" s="1"/>
      <c r="Y34" s="46"/>
      <c r="Z34" s="16"/>
      <c r="AA34" s="12" t="s">
        <v>33</v>
      </c>
      <c r="AB34" s="40"/>
      <c r="AC34" s="40"/>
      <c r="AD34" s="1"/>
      <c r="AE34" s="1"/>
      <c r="AF34" s="1"/>
      <c r="AG34" s="1"/>
      <c r="AH34" s="1"/>
      <c r="AI34" s="1"/>
      <c r="AJ34" s="1"/>
      <c r="AK34" s="33"/>
      <c r="AL34" s="16"/>
      <c r="AM34" s="12" t="s">
        <v>33</v>
      </c>
      <c r="AN34" s="40"/>
      <c r="AO34" s="40"/>
      <c r="AP34" s="1"/>
      <c r="AQ34" s="1"/>
      <c r="AR34" s="1"/>
      <c r="AS34" s="1"/>
      <c r="AT34" s="1"/>
      <c r="AU34" s="1"/>
      <c r="AV34" s="1"/>
    </row>
    <row r="35" ht="20.25" customHeight="1">
      <c r="A35" s="7"/>
      <c r="B35" s="55" t="s">
        <v>34</v>
      </c>
      <c r="C35" s="21" t="s">
        <v>6</v>
      </c>
      <c r="D35" s="21" t="s">
        <v>7</v>
      </c>
      <c r="E35" s="21" t="s">
        <v>8</v>
      </c>
      <c r="F35" s="20" t="s">
        <v>9</v>
      </c>
      <c r="G35" s="21" t="s">
        <v>10</v>
      </c>
      <c r="H35" s="21" t="s">
        <v>11</v>
      </c>
      <c r="I35" s="22" t="s">
        <v>12</v>
      </c>
      <c r="J35" s="23"/>
      <c r="K35" s="22" t="s">
        <v>13</v>
      </c>
      <c r="L35" s="23"/>
      <c r="M35" s="5"/>
      <c r="N35" s="55" t="s">
        <v>34</v>
      </c>
      <c r="O35" s="21" t="s">
        <v>6</v>
      </c>
      <c r="P35" s="21" t="s">
        <v>7</v>
      </c>
      <c r="Q35" s="21" t="s">
        <v>8</v>
      </c>
      <c r="R35" s="20" t="s">
        <v>9</v>
      </c>
      <c r="S35" s="21" t="s">
        <v>10</v>
      </c>
      <c r="T35" s="21" t="s">
        <v>11</v>
      </c>
      <c r="U35" s="22" t="s">
        <v>12</v>
      </c>
      <c r="V35" s="23"/>
      <c r="W35" s="22" t="s">
        <v>13</v>
      </c>
      <c r="X35" s="23"/>
      <c r="Y35" s="46"/>
      <c r="Z35" s="55" t="s">
        <v>34</v>
      </c>
      <c r="AA35" s="21" t="s">
        <v>6</v>
      </c>
      <c r="AB35" s="21" t="s">
        <v>7</v>
      </c>
      <c r="AC35" s="21" t="s">
        <v>8</v>
      </c>
      <c r="AD35" s="20" t="s">
        <v>9</v>
      </c>
      <c r="AE35" s="21" t="s">
        <v>10</v>
      </c>
      <c r="AF35" s="21" t="s">
        <v>11</v>
      </c>
      <c r="AG35" s="22" t="s">
        <v>12</v>
      </c>
      <c r="AH35" s="23"/>
      <c r="AI35" s="22" t="s">
        <v>13</v>
      </c>
      <c r="AJ35" s="23"/>
      <c r="AK35" s="56"/>
      <c r="AL35" s="55" t="s">
        <v>34</v>
      </c>
      <c r="AM35" s="21" t="s">
        <v>6</v>
      </c>
      <c r="AN35" s="21" t="s">
        <v>7</v>
      </c>
      <c r="AO35" s="21" t="s">
        <v>8</v>
      </c>
      <c r="AP35" s="20" t="s">
        <v>9</v>
      </c>
      <c r="AQ35" s="21" t="s">
        <v>10</v>
      </c>
      <c r="AR35" s="21" t="s">
        <v>11</v>
      </c>
      <c r="AS35" s="22" t="s">
        <v>12</v>
      </c>
      <c r="AT35" s="23"/>
      <c r="AU35" s="22" t="s">
        <v>13</v>
      </c>
      <c r="AV35" s="23"/>
    </row>
    <row r="36" ht="20.25" customHeight="1">
      <c r="A36" s="57"/>
      <c r="B36" s="1"/>
      <c r="C36" s="25" t="s">
        <v>35</v>
      </c>
      <c r="D36" s="27">
        <v>1.0</v>
      </c>
      <c r="E36" s="27">
        <v>3.0</v>
      </c>
      <c r="F36" s="27">
        <v>5.0</v>
      </c>
      <c r="G36" s="42"/>
      <c r="H36" s="29"/>
      <c r="I36" s="30"/>
      <c r="J36" s="23"/>
      <c r="K36" s="30"/>
      <c r="L36" s="23"/>
      <c r="M36" s="5"/>
      <c r="N36" s="1"/>
      <c r="O36" s="25" t="s">
        <v>35</v>
      </c>
      <c r="P36" s="27">
        <v>1.0</v>
      </c>
      <c r="Q36" s="27">
        <v>3.0</v>
      </c>
      <c r="R36" s="32">
        <v>6.0</v>
      </c>
      <c r="S36" s="42"/>
      <c r="T36" s="29"/>
      <c r="U36" s="30"/>
      <c r="V36" s="23"/>
      <c r="W36" s="30"/>
      <c r="X36" s="23"/>
      <c r="Y36" s="24"/>
      <c r="Z36" s="1"/>
      <c r="AA36" s="25" t="s">
        <v>35</v>
      </c>
      <c r="AB36" s="27">
        <v>1.0</v>
      </c>
      <c r="AC36" s="27">
        <v>3.0</v>
      </c>
      <c r="AD36" s="32">
        <v>7.0</v>
      </c>
      <c r="AE36" s="42"/>
      <c r="AF36" s="29"/>
      <c r="AG36" s="30"/>
      <c r="AH36" s="23"/>
      <c r="AI36" s="30"/>
      <c r="AJ36" s="23"/>
      <c r="AK36" s="58"/>
      <c r="AL36" s="1"/>
      <c r="AM36" s="25" t="s">
        <v>35</v>
      </c>
      <c r="AN36" s="27">
        <v>1.0</v>
      </c>
      <c r="AO36" s="27">
        <v>3.0</v>
      </c>
      <c r="AP36" s="34">
        <v>8.0</v>
      </c>
      <c r="AQ36" s="42"/>
      <c r="AR36" s="29"/>
      <c r="AS36" s="30"/>
      <c r="AT36" s="23"/>
      <c r="AU36" s="30"/>
      <c r="AV36" s="23"/>
    </row>
    <row r="37" ht="20.25" customHeight="1">
      <c r="A37" s="4"/>
      <c r="B37" s="1"/>
      <c r="C37" s="25" t="s">
        <v>35</v>
      </c>
      <c r="D37" s="26">
        <v>3.0</v>
      </c>
      <c r="E37" s="27">
        <v>5.0</v>
      </c>
      <c r="F37" s="35">
        <v>-0.1</v>
      </c>
      <c r="G37" s="29"/>
      <c r="H37" s="29"/>
      <c r="I37" s="30"/>
      <c r="J37" s="23"/>
      <c r="K37" s="30"/>
      <c r="L37" s="23"/>
      <c r="M37" s="31"/>
      <c r="N37" s="1"/>
      <c r="O37" s="25" t="s">
        <v>35</v>
      </c>
      <c r="P37" s="26">
        <v>3.0</v>
      </c>
      <c r="Q37" s="27">
        <v>5.0</v>
      </c>
      <c r="R37" s="35">
        <v>-0.1</v>
      </c>
      <c r="S37" s="29"/>
      <c r="T37" s="29"/>
      <c r="U37" s="30"/>
      <c r="V37" s="23"/>
      <c r="W37" s="30"/>
      <c r="X37" s="23"/>
      <c r="Y37" s="46"/>
      <c r="Z37" s="1"/>
      <c r="AA37" s="25" t="s">
        <v>35</v>
      </c>
      <c r="AB37" s="26">
        <v>3.0</v>
      </c>
      <c r="AC37" s="27">
        <v>5.0</v>
      </c>
      <c r="AD37" s="35">
        <v>-0.1</v>
      </c>
      <c r="AE37" s="29"/>
      <c r="AF37" s="29"/>
      <c r="AG37" s="30"/>
      <c r="AH37" s="23"/>
      <c r="AI37" s="30"/>
      <c r="AJ37" s="23"/>
      <c r="AK37" s="33"/>
      <c r="AL37" s="1"/>
      <c r="AM37" s="25" t="s">
        <v>35</v>
      </c>
      <c r="AN37" s="26">
        <v>3.0</v>
      </c>
      <c r="AO37" s="27">
        <v>5.0</v>
      </c>
      <c r="AP37" s="35">
        <v>-0.1</v>
      </c>
      <c r="AQ37" s="29"/>
      <c r="AR37" s="29"/>
      <c r="AS37" s="30"/>
      <c r="AT37" s="23"/>
      <c r="AU37" s="30"/>
      <c r="AV37" s="23"/>
    </row>
    <row r="38" ht="20.25" customHeight="1">
      <c r="A38" s="1"/>
      <c r="B38" s="1"/>
      <c r="C38" s="25" t="s">
        <v>36</v>
      </c>
      <c r="D38" s="45">
        <v>3.0</v>
      </c>
      <c r="E38" s="44" t="s">
        <v>16</v>
      </c>
      <c r="F38" s="45">
        <v>8.0</v>
      </c>
      <c r="G38" s="29"/>
      <c r="H38" s="59"/>
      <c r="I38" s="30"/>
      <c r="J38" s="23"/>
      <c r="K38" s="30"/>
      <c r="L38" s="23"/>
      <c r="M38" s="31"/>
      <c r="N38" s="1"/>
      <c r="O38" s="25" t="s">
        <v>36</v>
      </c>
      <c r="P38" s="45">
        <v>3.0</v>
      </c>
      <c r="Q38" s="44" t="s">
        <v>16</v>
      </c>
      <c r="R38" s="45">
        <v>8.0</v>
      </c>
      <c r="S38" s="29"/>
      <c r="T38" s="59"/>
      <c r="U38" s="30"/>
      <c r="V38" s="23"/>
      <c r="W38" s="30"/>
      <c r="X38" s="23"/>
      <c r="Y38" s="1"/>
      <c r="Z38" s="1"/>
      <c r="AA38" s="25" t="s">
        <v>36</v>
      </c>
      <c r="AB38" s="45">
        <v>3.0</v>
      </c>
      <c r="AC38" s="44" t="s">
        <v>16</v>
      </c>
      <c r="AD38" s="45">
        <v>8.0</v>
      </c>
      <c r="AE38" s="29"/>
      <c r="AF38" s="59"/>
      <c r="AG38" s="30"/>
      <c r="AH38" s="23"/>
      <c r="AI38" s="30"/>
      <c r="AJ38" s="23"/>
      <c r="AK38" s="33"/>
      <c r="AL38" s="1"/>
      <c r="AM38" s="25" t="s">
        <v>36</v>
      </c>
      <c r="AN38" s="45">
        <v>3.0</v>
      </c>
      <c r="AO38" s="44" t="s">
        <v>16</v>
      </c>
      <c r="AP38" s="45">
        <v>8.0</v>
      </c>
      <c r="AQ38" s="29"/>
      <c r="AR38" s="59"/>
      <c r="AS38" s="30"/>
      <c r="AT38" s="23"/>
      <c r="AU38" s="30"/>
      <c r="AV38" s="23"/>
    </row>
    <row r="39" ht="20.25" customHeight="1">
      <c r="A39" s="1"/>
      <c r="B39" s="1"/>
      <c r="C39" s="25" t="s">
        <v>37</v>
      </c>
      <c r="D39" s="45">
        <v>2.0</v>
      </c>
      <c r="E39" s="44" t="s">
        <v>16</v>
      </c>
      <c r="F39" s="45">
        <v>8.0</v>
      </c>
      <c r="G39" s="29"/>
      <c r="H39" s="59"/>
      <c r="I39" s="30"/>
      <c r="J39" s="23"/>
      <c r="K39" s="30"/>
      <c r="L39" s="23"/>
      <c r="M39" s="31"/>
      <c r="N39" s="1"/>
      <c r="O39" s="25" t="s">
        <v>37</v>
      </c>
      <c r="P39" s="45">
        <v>2.0</v>
      </c>
      <c r="Q39" s="44" t="s">
        <v>16</v>
      </c>
      <c r="R39" s="45">
        <v>8.0</v>
      </c>
      <c r="S39" s="29"/>
      <c r="T39" s="59"/>
      <c r="U39" s="30"/>
      <c r="V39" s="23"/>
      <c r="W39" s="30"/>
      <c r="X39" s="23"/>
      <c r="Y39" s="1"/>
      <c r="Z39" s="1"/>
      <c r="AA39" s="25" t="s">
        <v>37</v>
      </c>
      <c r="AB39" s="45">
        <v>2.0</v>
      </c>
      <c r="AC39" s="44" t="s">
        <v>16</v>
      </c>
      <c r="AD39" s="37">
        <v>45878.0</v>
      </c>
      <c r="AE39" s="29"/>
      <c r="AF39" s="59"/>
      <c r="AG39" s="30"/>
      <c r="AH39" s="23"/>
      <c r="AI39" s="30"/>
      <c r="AJ39" s="23"/>
      <c r="AK39" s="33"/>
      <c r="AL39" s="1"/>
      <c r="AM39" s="25" t="s">
        <v>37</v>
      </c>
      <c r="AN39" s="45">
        <v>2.0</v>
      </c>
      <c r="AO39" s="44" t="s">
        <v>16</v>
      </c>
      <c r="AP39" s="53">
        <v>45910.0</v>
      </c>
      <c r="AQ39" s="29"/>
      <c r="AR39" s="59"/>
      <c r="AS39" s="30"/>
      <c r="AT39" s="23"/>
      <c r="AU39" s="30"/>
      <c r="AV39" s="23"/>
    </row>
    <row r="40" ht="20.25" customHeight="1">
      <c r="A40" s="1"/>
      <c r="B40" s="1"/>
      <c r="C40" s="25" t="s">
        <v>38</v>
      </c>
      <c r="D40" s="45">
        <v>3.0</v>
      </c>
      <c r="E40" s="44" t="s">
        <v>16</v>
      </c>
      <c r="F40" s="45">
        <v>8.0</v>
      </c>
      <c r="G40" s="29"/>
      <c r="H40" s="59"/>
      <c r="I40" s="30"/>
      <c r="J40" s="23"/>
      <c r="K40" s="30"/>
      <c r="L40" s="23"/>
      <c r="M40" s="31"/>
      <c r="N40" s="1"/>
      <c r="O40" s="25" t="s">
        <v>38</v>
      </c>
      <c r="P40" s="45">
        <v>3.0</v>
      </c>
      <c r="Q40" s="44" t="s">
        <v>16</v>
      </c>
      <c r="R40" s="45">
        <v>8.0</v>
      </c>
      <c r="S40" s="29"/>
      <c r="T40" s="59"/>
      <c r="U40" s="30"/>
      <c r="V40" s="23"/>
      <c r="W40" s="30"/>
      <c r="X40" s="23"/>
      <c r="Y40" s="1"/>
      <c r="Z40" s="1"/>
      <c r="AA40" s="25" t="s">
        <v>38</v>
      </c>
      <c r="AB40" s="45">
        <v>3.0</v>
      </c>
      <c r="AC40" s="44" t="s">
        <v>16</v>
      </c>
      <c r="AD40" s="37">
        <v>45878.0</v>
      </c>
      <c r="AE40" s="29"/>
      <c r="AF40" s="59"/>
      <c r="AG40" s="30"/>
      <c r="AH40" s="23"/>
      <c r="AI40" s="30"/>
      <c r="AJ40" s="23"/>
      <c r="AK40" s="33"/>
      <c r="AL40" s="1"/>
      <c r="AM40" s="25" t="s">
        <v>38</v>
      </c>
      <c r="AN40" s="45">
        <v>3.0</v>
      </c>
      <c r="AO40" s="44" t="s">
        <v>16</v>
      </c>
      <c r="AP40" s="53">
        <v>45910.0</v>
      </c>
      <c r="AQ40" s="29"/>
      <c r="AR40" s="59"/>
      <c r="AS40" s="30"/>
      <c r="AT40" s="23"/>
      <c r="AU40" s="30"/>
      <c r="AV40" s="23"/>
    </row>
    <row r="41" ht="20.25" customHeight="1">
      <c r="A41" s="1"/>
      <c r="B41" s="1"/>
      <c r="C41" s="25" t="s">
        <v>20</v>
      </c>
      <c r="D41" s="60">
        <v>3.0</v>
      </c>
      <c r="E41" s="61" t="s">
        <v>16</v>
      </c>
      <c r="F41" s="45">
        <v>8.0</v>
      </c>
      <c r="G41" s="29"/>
      <c r="H41" s="29"/>
      <c r="I41" s="30" t="s">
        <v>19</v>
      </c>
      <c r="J41" s="23"/>
      <c r="K41" s="30"/>
      <c r="L41" s="23"/>
      <c r="M41" s="5"/>
      <c r="N41" s="1"/>
      <c r="O41" s="25" t="s">
        <v>20</v>
      </c>
      <c r="P41" s="60">
        <v>3.0</v>
      </c>
      <c r="Q41" s="61" t="s">
        <v>16</v>
      </c>
      <c r="R41" s="45">
        <v>8.0</v>
      </c>
      <c r="S41" s="29"/>
      <c r="T41" s="29"/>
      <c r="U41" s="30" t="s">
        <v>19</v>
      </c>
      <c r="V41" s="23"/>
      <c r="W41" s="30"/>
      <c r="X41" s="23"/>
      <c r="Y41" s="2"/>
      <c r="Z41" s="1"/>
      <c r="AA41" s="25" t="s">
        <v>20</v>
      </c>
      <c r="AB41" s="60">
        <v>3.0</v>
      </c>
      <c r="AC41" s="61" t="s">
        <v>16</v>
      </c>
      <c r="AD41" s="37">
        <v>45878.0</v>
      </c>
      <c r="AE41" s="29"/>
      <c r="AF41" s="29"/>
      <c r="AG41" s="30" t="s">
        <v>19</v>
      </c>
      <c r="AH41" s="23"/>
      <c r="AI41" s="30"/>
      <c r="AJ41" s="23"/>
      <c r="AK41" s="2"/>
      <c r="AL41" s="1"/>
      <c r="AM41" s="25" t="s">
        <v>20</v>
      </c>
      <c r="AN41" s="60">
        <v>3.0</v>
      </c>
      <c r="AO41" s="61" t="s">
        <v>16</v>
      </c>
      <c r="AP41" s="53">
        <v>45910.0</v>
      </c>
      <c r="AQ41" s="29"/>
      <c r="AR41" s="29"/>
      <c r="AS41" s="30" t="s">
        <v>19</v>
      </c>
      <c r="AT41" s="23"/>
      <c r="AU41" s="30"/>
      <c r="AV41" s="23"/>
    </row>
    <row r="42" ht="20.25" customHeight="1">
      <c r="A42" s="1"/>
      <c r="B42" s="16"/>
      <c r="C42" s="25" t="s">
        <v>39</v>
      </c>
      <c r="D42" s="45">
        <v>2.0</v>
      </c>
      <c r="E42" s="44" t="s">
        <v>16</v>
      </c>
      <c r="F42" s="45">
        <v>8.0</v>
      </c>
      <c r="G42" s="29"/>
      <c r="H42" s="29"/>
      <c r="I42" s="30"/>
      <c r="J42" s="23"/>
      <c r="K42" s="30"/>
      <c r="L42" s="23"/>
      <c r="M42" s="5"/>
      <c r="N42" s="16"/>
      <c r="O42" s="25" t="s">
        <v>39</v>
      </c>
      <c r="P42" s="45">
        <v>2.0</v>
      </c>
      <c r="Q42" s="44" t="s">
        <v>16</v>
      </c>
      <c r="R42" s="45">
        <v>8.0</v>
      </c>
      <c r="S42" s="29"/>
      <c r="T42" s="29"/>
      <c r="U42" s="30"/>
      <c r="V42" s="23"/>
      <c r="W42" s="30"/>
      <c r="X42" s="23"/>
      <c r="Y42" s="54"/>
      <c r="Z42" s="16"/>
      <c r="AA42" s="25" t="s">
        <v>39</v>
      </c>
      <c r="AB42" s="45">
        <v>2.0</v>
      </c>
      <c r="AC42" s="44" t="s">
        <v>16</v>
      </c>
      <c r="AD42" s="37">
        <v>45878.0</v>
      </c>
      <c r="AE42" s="29"/>
      <c r="AF42" s="29"/>
      <c r="AG42" s="30"/>
      <c r="AH42" s="23"/>
      <c r="AI42" s="30"/>
      <c r="AJ42" s="23"/>
      <c r="AK42" s="3"/>
      <c r="AL42" s="16"/>
      <c r="AM42" s="25" t="s">
        <v>39</v>
      </c>
      <c r="AN42" s="45">
        <v>2.0</v>
      </c>
      <c r="AO42" s="44" t="s">
        <v>16</v>
      </c>
      <c r="AP42" s="53">
        <v>45910.0</v>
      </c>
      <c r="AQ42" s="29"/>
      <c r="AR42" s="29"/>
      <c r="AS42" s="30"/>
      <c r="AT42" s="23"/>
      <c r="AU42" s="30"/>
      <c r="AV42" s="23"/>
    </row>
    <row r="43" ht="20.25" customHeight="1">
      <c r="A43" s="4"/>
      <c r="B43" s="16"/>
      <c r="C43" s="25" t="s">
        <v>40</v>
      </c>
      <c r="D43" s="45">
        <v>2.0</v>
      </c>
      <c r="E43" s="45" t="s">
        <v>41</v>
      </c>
      <c r="F43" s="45">
        <v>8.0</v>
      </c>
      <c r="G43" s="29"/>
      <c r="H43" s="62"/>
      <c r="I43" s="30" t="s">
        <v>32</v>
      </c>
      <c r="J43" s="23"/>
      <c r="K43" s="30"/>
      <c r="L43" s="23"/>
      <c r="M43" s="31"/>
      <c r="N43" s="16"/>
      <c r="O43" s="25" t="s">
        <v>40</v>
      </c>
      <c r="P43" s="45">
        <v>2.0</v>
      </c>
      <c r="Q43" s="45" t="s">
        <v>41</v>
      </c>
      <c r="R43" s="45">
        <v>8.0</v>
      </c>
      <c r="S43" s="29"/>
      <c r="T43" s="62"/>
      <c r="U43" s="30" t="s">
        <v>32</v>
      </c>
      <c r="V43" s="23"/>
      <c r="W43" s="30"/>
      <c r="X43" s="23"/>
      <c r="Y43" s="46"/>
      <c r="Z43" s="16"/>
      <c r="AA43" s="25" t="s">
        <v>40</v>
      </c>
      <c r="AB43" s="45">
        <v>2.0</v>
      </c>
      <c r="AC43" s="45" t="s">
        <v>41</v>
      </c>
      <c r="AD43" s="37">
        <v>45878.0</v>
      </c>
      <c r="AE43" s="29"/>
      <c r="AF43" s="62"/>
      <c r="AG43" s="30" t="s">
        <v>32</v>
      </c>
      <c r="AH43" s="23"/>
      <c r="AI43" s="30"/>
      <c r="AJ43" s="23"/>
      <c r="AK43" s="33"/>
      <c r="AL43" s="16"/>
      <c r="AM43" s="25" t="s">
        <v>40</v>
      </c>
      <c r="AN43" s="45">
        <v>2.0</v>
      </c>
      <c r="AO43" s="45" t="s">
        <v>41</v>
      </c>
      <c r="AP43" s="53">
        <v>45910.0</v>
      </c>
      <c r="AQ43" s="29"/>
      <c r="AR43" s="62"/>
      <c r="AS43" s="30" t="s">
        <v>32</v>
      </c>
      <c r="AT43" s="23"/>
      <c r="AU43" s="30"/>
      <c r="AV43" s="23"/>
    </row>
    <row r="44" ht="20.25" customHeight="1">
      <c r="A44" s="1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2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</row>
    <row r="45" ht="20.25" customHeight="1">
      <c r="A45" s="1"/>
      <c r="B45" s="1"/>
      <c r="C45" s="38" t="s">
        <v>42</v>
      </c>
      <c r="D45" s="39"/>
      <c r="E45" s="39"/>
      <c r="F45" s="39"/>
      <c r="G45" s="39"/>
      <c r="H45" s="39"/>
      <c r="I45" s="39"/>
      <c r="J45" s="39"/>
      <c r="K45" s="39"/>
      <c r="L45" s="23"/>
      <c r="M45" s="5"/>
      <c r="N45" s="1"/>
      <c r="O45" s="38" t="s">
        <v>42</v>
      </c>
      <c r="P45" s="39"/>
      <c r="Q45" s="39"/>
      <c r="R45" s="39"/>
      <c r="S45" s="39"/>
      <c r="T45" s="39"/>
      <c r="U45" s="39"/>
      <c r="V45" s="39"/>
      <c r="W45" s="39"/>
      <c r="X45" s="23"/>
      <c r="Y45" s="2"/>
      <c r="Z45" s="1"/>
      <c r="AA45" s="38" t="s">
        <v>42</v>
      </c>
      <c r="AB45" s="39"/>
      <c r="AC45" s="39"/>
      <c r="AD45" s="39"/>
      <c r="AE45" s="39"/>
      <c r="AF45" s="39"/>
      <c r="AG45" s="39"/>
      <c r="AH45" s="39"/>
      <c r="AI45" s="39"/>
      <c r="AJ45" s="23"/>
      <c r="AK45" s="2"/>
      <c r="AL45" s="1"/>
      <c r="AM45" s="38" t="s">
        <v>42</v>
      </c>
      <c r="AN45" s="39"/>
      <c r="AO45" s="39"/>
      <c r="AP45" s="39"/>
      <c r="AQ45" s="39"/>
      <c r="AR45" s="39"/>
      <c r="AS45" s="39"/>
      <c r="AT45" s="39"/>
      <c r="AU45" s="39"/>
      <c r="AV45" s="23"/>
    </row>
    <row r="46" ht="20.25" customHeight="1">
      <c r="A46" s="1"/>
      <c r="B46" s="16"/>
      <c r="C46" s="16"/>
      <c r="D46" s="16"/>
      <c r="E46" s="16"/>
      <c r="F46" s="16"/>
      <c r="G46" s="63"/>
      <c r="H46" s="1"/>
      <c r="I46" s="1"/>
      <c r="J46" s="1"/>
      <c r="K46" s="1"/>
      <c r="L46" s="1"/>
      <c r="M46" s="5"/>
      <c r="N46" s="16"/>
      <c r="O46" s="16"/>
      <c r="P46" s="16"/>
      <c r="Q46" s="16"/>
      <c r="R46" s="16"/>
      <c r="S46" s="63"/>
      <c r="T46" s="1"/>
      <c r="U46" s="1"/>
      <c r="V46" s="1"/>
      <c r="W46" s="1"/>
      <c r="X46" s="1"/>
      <c r="Y46" s="64"/>
      <c r="Z46" s="18"/>
      <c r="AA46" s="18"/>
      <c r="AB46" s="18"/>
      <c r="AC46" s="18"/>
      <c r="AD46" s="18"/>
      <c r="AE46" s="11"/>
      <c r="AF46" s="11"/>
      <c r="AG46" s="11"/>
      <c r="AH46" s="11"/>
      <c r="AI46" s="11"/>
      <c r="AJ46" s="11"/>
      <c r="AK46" s="2"/>
      <c r="AL46" s="18"/>
      <c r="AM46" s="18"/>
      <c r="AN46" s="18"/>
      <c r="AO46" s="18"/>
      <c r="AP46" s="18"/>
      <c r="AQ46" s="11"/>
      <c r="AR46" s="11"/>
      <c r="AS46" s="11"/>
      <c r="AT46" s="11"/>
      <c r="AU46" s="11"/>
      <c r="AV46" s="11"/>
    </row>
    <row r="47" ht="20.25" customHeight="1">
      <c r="A47" s="1"/>
      <c r="B47" s="16"/>
      <c r="C47" s="16"/>
      <c r="D47" s="16"/>
      <c r="E47" s="16"/>
      <c r="F47" s="16"/>
      <c r="G47" s="63"/>
      <c r="H47" s="65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65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ht="20.25" customHeight="1">
      <c r="A48" s="1"/>
      <c r="B48" s="66" t="s">
        <v>43</v>
      </c>
      <c r="C48" s="9"/>
      <c r="D48" s="9"/>
      <c r="E48" s="9"/>
      <c r="F48" s="10"/>
      <c r="G48" s="67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ht="20.25" customHeight="1">
      <c r="A49" s="1"/>
      <c r="B49" s="13"/>
      <c r="C49" s="14"/>
      <c r="D49" s="14"/>
      <c r="E49" s="14"/>
      <c r="F49" s="15"/>
      <c r="G49" s="67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ht="20.25" customHeight="1">
      <c r="A50" s="1"/>
      <c r="B50" s="68" t="s">
        <v>6</v>
      </c>
      <c r="C50" s="9"/>
      <c r="D50" s="10"/>
      <c r="E50" s="69" t="s">
        <v>7</v>
      </c>
      <c r="F50" s="69" t="s">
        <v>44</v>
      </c>
      <c r="G50" s="7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20.25" customHeight="1">
      <c r="A51" s="1"/>
      <c r="B51" s="13"/>
      <c r="C51" s="14"/>
      <c r="D51" s="15"/>
      <c r="E51" s="70"/>
      <c r="F51" s="70"/>
      <c r="G51" s="7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20.25" customHeight="1">
      <c r="A52" s="1"/>
      <c r="B52" s="71" t="s">
        <v>45</v>
      </c>
      <c r="C52" s="9"/>
      <c r="D52" s="9"/>
      <c r="E52" s="9"/>
      <c r="F52" s="10"/>
      <c r="G52" s="72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20.25" customHeight="1">
      <c r="A53" s="1"/>
      <c r="B53" s="13"/>
      <c r="C53" s="14"/>
      <c r="D53" s="14"/>
      <c r="E53" s="14"/>
      <c r="F53" s="15"/>
      <c r="G53" s="72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6"/>
      <c r="B54" s="73" t="s">
        <v>46</v>
      </c>
      <c r="C54" s="9"/>
      <c r="D54" s="10"/>
      <c r="E54" s="74">
        <v>1.0</v>
      </c>
      <c r="F54" s="75" t="s">
        <v>47</v>
      </c>
      <c r="G54" s="76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5"/>
      <c r="E55" s="70"/>
      <c r="F55" s="70"/>
      <c r="G55" s="76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73" t="s">
        <v>48</v>
      </c>
      <c r="C56" s="9"/>
      <c r="D56" s="10"/>
      <c r="E56" s="74">
        <v>1.0</v>
      </c>
      <c r="F56" s="75" t="s">
        <v>49</v>
      </c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70"/>
      <c r="F57" s="70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77" t="s">
        <v>50</v>
      </c>
      <c r="C58" s="9"/>
      <c r="D58" s="10"/>
      <c r="E58" s="78">
        <v>1.0</v>
      </c>
      <c r="F58" s="79" t="s">
        <v>49</v>
      </c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5"/>
      <c r="E59" s="70"/>
      <c r="F59" s="70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2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2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2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80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80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80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80"/>
      <c r="C66" s="81"/>
      <c r="D66" s="3"/>
      <c r="E66" s="3"/>
      <c r="F66" s="2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80"/>
      <c r="C67" s="2"/>
      <c r="D67" s="3"/>
      <c r="E67" s="3"/>
      <c r="F67" s="2"/>
      <c r="G67" s="4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2"/>
      <c r="C69" s="2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4"/>
      <c r="C70" s="4"/>
      <c r="D70" s="82"/>
      <c r="E70" s="82"/>
      <c r="F70" s="4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4"/>
      <c r="C71" s="4"/>
      <c r="D71" s="82"/>
      <c r="E71" s="82"/>
      <c r="F71" s="4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4"/>
      <c r="C72" s="4"/>
      <c r="D72" s="82"/>
      <c r="E72" s="82"/>
      <c r="F72" s="4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4"/>
      <c r="C73" s="4"/>
      <c r="D73" s="82"/>
      <c r="E73" s="82"/>
      <c r="F73" s="4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4"/>
      <c r="C74" s="4"/>
      <c r="D74" s="82"/>
      <c r="E74" s="82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2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1"/>
      <c r="O76" s="2"/>
      <c r="P76" s="2"/>
      <c r="Q76" s="2"/>
      <c r="R76" s="2"/>
      <c r="S76" s="2"/>
      <c r="T76" s="1"/>
      <c r="U76" s="1"/>
      <c r="V76" s="1"/>
      <c r="W76" s="1"/>
      <c r="X76" s="1"/>
      <c r="Y76" s="1"/>
      <c r="Z76" s="1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1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1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1"/>
      <c r="D89" s="40"/>
      <c r="E89" s="40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1"/>
      <c r="D90" s="40"/>
      <c r="E90" s="40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1"/>
      <c r="D91" s="40"/>
      <c r="E91" s="40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1"/>
      <c r="D92" s="40"/>
      <c r="E92" s="40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1"/>
      <c r="D93" s="40"/>
      <c r="E93" s="40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1"/>
      <c r="D94" s="40"/>
      <c r="E94" s="40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40"/>
      <c r="E95" s="4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40"/>
      <c r="E96" s="4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83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83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83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83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83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83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83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83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83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83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56"/>
      <c r="C164" s="58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56"/>
      <c r="C165" s="58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56"/>
      <c r="C166" s="58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84" t="s">
        <v>51</v>
      </c>
      <c r="C167" s="85" t="s">
        <v>52</v>
      </c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84" t="s">
        <v>53</v>
      </c>
      <c r="C168" s="85" t="s">
        <v>54</v>
      </c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84" t="s">
        <v>55</v>
      </c>
      <c r="C169" s="86">
        <v>24.0</v>
      </c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84" t="s">
        <v>56</v>
      </c>
      <c r="C170" s="86">
        <v>174.5</v>
      </c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84" t="s">
        <v>57</v>
      </c>
      <c r="C171" s="86">
        <v>78.0</v>
      </c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84" t="s">
        <v>58</v>
      </c>
      <c r="C172" s="87" t="s">
        <v>59</v>
      </c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84" t="s">
        <v>60</v>
      </c>
      <c r="C173" s="87" t="s">
        <v>61</v>
      </c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84" t="s">
        <v>62</v>
      </c>
      <c r="C174" s="87" t="s">
        <v>63</v>
      </c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84" t="s">
        <v>64</v>
      </c>
      <c r="C175" s="87" t="s">
        <v>65</v>
      </c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84" t="s">
        <v>66</v>
      </c>
      <c r="C176" s="87" t="s">
        <v>67</v>
      </c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56"/>
      <c r="B177" s="84" t="s">
        <v>68</v>
      </c>
      <c r="C177" s="86" t="s">
        <v>69</v>
      </c>
      <c r="D177" s="88"/>
      <c r="E177" s="88"/>
      <c r="F177" s="56"/>
      <c r="G177" s="56"/>
      <c r="H177" s="56"/>
      <c r="I177" s="56"/>
      <c r="J177" s="56"/>
      <c r="K177" s="56"/>
      <c r="L177" s="56"/>
      <c r="M177" s="5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</row>
    <row r="178" ht="20.25" customHeight="1">
      <c r="A178" s="56"/>
      <c r="B178" s="84" t="s">
        <v>70</v>
      </c>
      <c r="C178" s="86">
        <v>0.0</v>
      </c>
      <c r="D178" s="88"/>
      <c r="E178" s="88"/>
      <c r="F178" s="56"/>
      <c r="G178" s="56"/>
      <c r="H178" s="56"/>
      <c r="I178" s="56"/>
      <c r="J178" s="56"/>
      <c r="K178" s="56"/>
      <c r="L178" s="56"/>
      <c r="M178" s="5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</row>
    <row r="179" ht="20.25" customHeight="1">
      <c r="A179" s="56"/>
      <c r="B179" s="84" t="s">
        <v>71</v>
      </c>
      <c r="C179" s="87" t="s">
        <v>72</v>
      </c>
      <c r="D179" s="88"/>
      <c r="E179" s="88"/>
      <c r="F179" s="56"/>
      <c r="G179" s="56"/>
      <c r="H179" s="56"/>
      <c r="I179" s="56"/>
      <c r="J179" s="56"/>
      <c r="K179" s="56"/>
      <c r="L179" s="56"/>
      <c r="M179" s="5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</row>
    <row r="180" ht="20.25" customHeight="1">
      <c r="A180" s="56"/>
      <c r="B180" s="84" t="s">
        <v>73</v>
      </c>
      <c r="C180" s="85" t="s">
        <v>74</v>
      </c>
      <c r="D180" s="88"/>
      <c r="E180" s="88"/>
      <c r="F180" s="56"/>
      <c r="G180" s="56"/>
      <c r="H180" s="56"/>
      <c r="I180" s="56"/>
      <c r="J180" s="56"/>
      <c r="K180" s="56"/>
      <c r="L180" s="56"/>
      <c r="M180" s="5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</row>
    <row r="181" ht="20.25" customHeight="1">
      <c r="A181" s="56"/>
      <c r="B181" s="89"/>
      <c r="C181" s="89"/>
      <c r="D181" s="88"/>
      <c r="E181" s="88"/>
      <c r="F181" s="56"/>
      <c r="G181" s="56"/>
      <c r="H181" s="56"/>
      <c r="I181" s="56"/>
      <c r="J181" s="56"/>
      <c r="K181" s="56"/>
      <c r="L181" s="56"/>
      <c r="M181" s="5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</row>
    <row r="182" ht="20.25" customHeight="1">
      <c r="A182" s="56"/>
      <c r="B182" s="89"/>
      <c r="C182" s="89"/>
      <c r="D182" s="88"/>
      <c r="E182" s="88"/>
      <c r="F182" s="56"/>
      <c r="G182" s="56"/>
      <c r="H182" s="56"/>
      <c r="I182" s="56"/>
      <c r="J182" s="56"/>
      <c r="K182" s="56"/>
      <c r="L182" s="56"/>
      <c r="M182" s="5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</row>
    <row r="183" ht="20.25" customHeight="1">
      <c r="A183" s="56"/>
      <c r="B183" s="89"/>
      <c r="C183" s="89"/>
      <c r="D183" s="88"/>
      <c r="E183" s="88"/>
      <c r="F183" s="56"/>
      <c r="G183" s="56"/>
      <c r="H183" s="56"/>
      <c r="I183" s="56"/>
      <c r="J183" s="56"/>
      <c r="K183" s="56"/>
      <c r="L183" s="56"/>
      <c r="M183" s="5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</row>
    <row r="184" ht="20.25" customHeight="1">
      <c r="A184" s="56"/>
      <c r="B184" s="89"/>
      <c r="C184" s="90"/>
      <c r="D184" s="88"/>
      <c r="E184" s="88"/>
      <c r="F184" s="56"/>
      <c r="G184" s="56"/>
      <c r="H184" s="56"/>
      <c r="I184" s="56"/>
      <c r="J184" s="56"/>
      <c r="K184" s="56"/>
      <c r="L184" s="56"/>
      <c r="M184" s="5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</row>
    <row r="185" ht="20.25" customHeight="1">
      <c r="A185" s="56"/>
      <c r="B185" s="56"/>
      <c r="C185" s="56"/>
      <c r="D185" s="88"/>
      <c r="E185" s="88"/>
      <c r="F185" s="56"/>
      <c r="G185" s="56"/>
      <c r="H185" s="56"/>
      <c r="I185" s="56"/>
      <c r="J185" s="56"/>
      <c r="K185" s="56"/>
      <c r="L185" s="56"/>
      <c r="M185" s="5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</row>
    <row r="186" ht="20.25" customHeight="1">
      <c r="A186" s="1"/>
      <c r="B186" s="56"/>
      <c r="C186" s="56"/>
      <c r="D186" s="40"/>
      <c r="E186" s="40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20.25" customHeight="1">
      <c r="A187" s="1"/>
      <c r="B187" s="56"/>
      <c r="C187" s="56"/>
      <c r="D187" s="40"/>
      <c r="E187" s="40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20.25" customHeight="1">
      <c r="A188" s="1"/>
      <c r="B188" s="2"/>
      <c r="C188" s="83"/>
      <c r="D188" s="40"/>
      <c r="E188" s="40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20.25" customHeight="1">
      <c r="A189" s="1"/>
      <c r="B189" s="2"/>
      <c r="C189" s="83"/>
      <c r="D189" s="40"/>
      <c r="E189" s="40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20.25" customHeight="1">
      <c r="A190" s="1"/>
      <c r="B190" s="2"/>
      <c r="C190" s="83"/>
      <c r="D190" s="40"/>
      <c r="E190" s="40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20.25" customHeight="1">
      <c r="A191" s="1"/>
      <c r="B191" s="2"/>
      <c r="C191" s="83"/>
      <c r="D191" s="40"/>
      <c r="E191" s="40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20.25" customHeight="1">
      <c r="A192" s="1"/>
      <c r="B192" s="2"/>
      <c r="C192" s="83"/>
      <c r="D192" s="40"/>
      <c r="E192" s="4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2"/>
      <c r="C193" s="83"/>
      <c r="D193" s="40"/>
      <c r="E193" s="4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83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83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83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83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83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83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83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83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83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83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83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83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83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83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83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83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83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83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83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83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83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83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83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83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83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83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83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83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83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83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83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83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83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83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83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83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83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83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83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83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83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83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83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83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83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83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83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83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83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83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83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83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83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83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83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83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83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83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83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83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83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83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83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83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83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83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83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83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83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83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83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83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83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83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83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83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83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83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83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83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83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83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83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83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83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83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83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83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83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83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83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83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83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83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83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83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83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83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83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83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83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83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83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83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83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83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83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83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83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83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83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83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83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83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83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83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83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83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83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83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83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83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83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83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83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83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83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83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83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83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83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83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83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83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83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83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83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83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83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83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83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83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83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83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83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83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83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83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83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83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83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83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83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83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83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83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83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83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83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83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83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83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83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83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83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83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83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83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83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83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83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83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83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83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83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83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83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83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83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83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83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83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83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83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83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83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83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83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83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83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83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83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83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83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83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83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83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83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83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83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83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83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83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83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83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83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83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83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83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83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83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83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83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83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83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83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83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83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83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83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83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83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83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83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83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83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83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83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83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83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83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83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83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83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83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83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83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83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83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83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83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83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83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83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83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83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83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83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83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83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83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83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83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83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83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83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83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83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83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83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83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83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83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83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83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83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83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83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83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83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83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83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83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83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83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83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83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83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83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83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83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83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83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83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83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83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83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83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83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83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83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83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83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83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83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83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83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83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83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83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83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83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83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83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83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83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83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83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83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83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83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83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83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83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83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83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83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83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83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83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83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83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83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83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83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83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83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83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83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83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83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83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83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83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83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83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83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83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83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83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83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83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83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83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83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83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83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83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83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83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83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83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83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83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83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83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83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83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83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83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83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83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83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83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83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83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83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83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83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83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83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83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83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83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83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83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83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83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83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83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83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83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83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83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83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83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83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83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83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83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83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83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83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83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83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83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83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83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83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83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83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83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83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83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83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83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83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83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83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83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83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83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83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83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83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83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83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83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83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83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83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83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83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83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83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83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83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83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83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83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83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83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83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83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83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83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83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83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83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83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83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83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83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83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83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83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83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83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83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83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83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83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83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83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83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83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83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83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83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83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83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83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83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83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83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83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83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83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83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83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83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83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83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83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83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83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83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83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83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83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83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83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83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83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83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83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83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83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83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83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83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83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83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83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83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83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83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83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83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83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83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83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83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83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83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83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83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83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83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83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83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83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83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83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83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83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83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83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83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83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83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83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83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83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83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83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83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83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83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83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83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83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83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83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83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83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83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83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83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83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83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83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83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83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83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83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83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83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83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83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83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83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83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83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83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83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83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83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83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83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83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83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83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83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83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83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83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83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83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83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83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83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83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83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83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83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83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83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83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83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83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83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83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83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83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83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83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83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83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83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83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83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83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83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83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83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83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83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83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83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83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83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83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83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83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83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83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83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83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83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83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83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83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83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83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83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83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83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83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83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83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83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83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83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83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83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83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83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83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83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83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83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83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83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83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83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83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83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83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83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83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83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83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83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83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83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83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83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83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83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83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83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83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83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83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83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83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83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83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83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83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83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83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83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83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83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83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83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83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83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83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83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83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83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83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83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83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83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83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83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83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83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83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83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83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83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83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83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83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83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83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83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83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83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83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83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83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83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83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83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83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83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83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83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83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83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83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83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83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83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83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83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83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83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83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83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83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83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83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83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83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83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83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83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83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83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83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83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83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83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83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83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83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83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83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83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83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83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83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83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83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83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83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83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83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83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83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83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83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83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83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83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83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83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83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83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83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83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83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83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83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83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83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83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83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83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83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83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4"/>
      <c r="C962" s="4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</row>
    <row r="963" ht="20.25" customHeight="1">
      <c r="A963" s="1"/>
      <c r="B963" s="4"/>
      <c r="C963" s="4"/>
      <c r="D963" s="40"/>
      <c r="E963" s="40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</row>
    <row r="964" ht="20.25" customHeight="1">
      <c r="A964" s="1"/>
      <c r="B964" s="4"/>
      <c r="C964" s="4"/>
      <c r="D964" s="40"/>
      <c r="E964" s="40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</row>
    <row r="965" ht="20.25" customHeight="1">
      <c r="A965" s="1"/>
      <c r="B965" s="4"/>
      <c r="C965" s="4"/>
      <c r="D965" s="40"/>
      <c r="E965" s="40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</row>
    <row r="966" ht="20.25" customHeight="1">
      <c r="A966" s="1"/>
      <c r="B966" s="4"/>
      <c r="C966" s="4"/>
      <c r="D966" s="40"/>
      <c r="E966" s="40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</row>
    <row r="967" ht="20.25" customHeight="1">
      <c r="A967" s="1"/>
      <c r="B967" s="4"/>
      <c r="C967" s="4"/>
      <c r="D967" s="40"/>
      <c r="E967" s="40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</row>
    <row r="968" ht="20.25" customHeight="1">
      <c r="A968" s="1"/>
      <c r="B968" s="4"/>
      <c r="C968" s="4"/>
      <c r="D968" s="40"/>
      <c r="E968" s="40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40"/>
      <c r="E969" s="4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40"/>
      <c r="E970" s="4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40"/>
      <c r="E971" s="4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</sheetData>
  <mergeCells count="231">
    <mergeCell ref="O45:X45"/>
    <mergeCell ref="U42:V42"/>
    <mergeCell ref="U43:V43"/>
    <mergeCell ref="W42:X42"/>
    <mergeCell ref="W43:X43"/>
    <mergeCell ref="AI29:AJ29"/>
    <mergeCell ref="AI30:AJ30"/>
    <mergeCell ref="AG27:AH27"/>
    <mergeCell ref="AG28:AH28"/>
    <mergeCell ref="AG29:AH29"/>
    <mergeCell ref="AG30:AH30"/>
    <mergeCell ref="AS28:AT28"/>
    <mergeCell ref="AS29:AT29"/>
    <mergeCell ref="W27:X27"/>
    <mergeCell ref="W30:X30"/>
    <mergeCell ref="AU27:AV27"/>
    <mergeCell ref="AU28:AV28"/>
    <mergeCell ref="AU29:AV29"/>
    <mergeCell ref="AU30:AV30"/>
    <mergeCell ref="AS27:AT27"/>
    <mergeCell ref="AS30:AT30"/>
    <mergeCell ref="AI25:AJ25"/>
    <mergeCell ref="AI26:AJ26"/>
    <mergeCell ref="AI27:AJ27"/>
    <mergeCell ref="AI28:AJ28"/>
    <mergeCell ref="AG23:AH23"/>
    <mergeCell ref="AI23:AJ23"/>
    <mergeCell ref="AG24:AH24"/>
    <mergeCell ref="AI24:AJ24"/>
    <mergeCell ref="AG25:AH25"/>
    <mergeCell ref="AG26:AH26"/>
    <mergeCell ref="W28:X28"/>
    <mergeCell ref="W29:X29"/>
    <mergeCell ref="W36:X36"/>
    <mergeCell ref="W37:X37"/>
    <mergeCell ref="W35:X35"/>
    <mergeCell ref="O32:X32"/>
    <mergeCell ref="U28:V28"/>
    <mergeCell ref="U29:V29"/>
    <mergeCell ref="U30:V30"/>
    <mergeCell ref="U35:V35"/>
    <mergeCell ref="U36:V36"/>
    <mergeCell ref="U37:V37"/>
    <mergeCell ref="U23:V23"/>
    <mergeCell ref="W23:X23"/>
    <mergeCell ref="U25:V25"/>
    <mergeCell ref="W25:X25"/>
    <mergeCell ref="W26:X26"/>
    <mergeCell ref="U26:V26"/>
    <mergeCell ref="U27:V27"/>
    <mergeCell ref="AA32:AJ32"/>
    <mergeCell ref="AI35:AJ35"/>
    <mergeCell ref="AG35:AH35"/>
    <mergeCell ref="AG36:AH36"/>
    <mergeCell ref="AG37:AH37"/>
    <mergeCell ref="AI36:AJ36"/>
    <mergeCell ref="AI37:AJ37"/>
    <mergeCell ref="AU36:AV36"/>
    <mergeCell ref="AU37:AV37"/>
    <mergeCell ref="AU35:AV35"/>
    <mergeCell ref="AS35:AT35"/>
    <mergeCell ref="AS36:AT36"/>
    <mergeCell ref="AS37:AT37"/>
    <mergeCell ref="AU26:AV26"/>
    <mergeCell ref="AS26:AT26"/>
    <mergeCell ref="AM32:AV32"/>
    <mergeCell ref="AS23:AT23"/>
    <mergeCell ref="AU23:AV23"/>
    <mergeCell ref="AS24:AT24"/>
    <mergeCell ref="AU24:AV24"/>
    <mergeCell ref="AS25:AT25"/>
    <mergeCell ref="AU25:AV25"/>
    <mergeCell ref="AI38:AJ38"/>
    <mergeCell ref="AG38:AH38"/>
    <mergeCell ref="AG39:AH39"/>
    <mergeCell ref="AG40:AH40"/>
    <mergeCell ref="W38:X38"/>
    <mergeCell ref="W39:X39"/>
    <mergeCell ref="W40:X40"/>
    <mergeCell ref="W41:X41"/>
    <mergeCell ref="U38:V38"/>
    <mergeCell ref="U39:V39"/>
    <mergeCell ref="U40:V40"/>
    <mergeCell ref="U41:V41"/>
    <mergeCell ref="AA45:AJ45"/>
    <mergeCell ref="AG42:AH42"/>
    <mergeCell ref="AG43:AH43"/>
    <mergeCell ref="AI39:AJ39"/>
    <mergeCell ref="AI40:AJ40"/>
    <mergeCell ref="AI43:AJ43"/>
    <mergeCell ref="AG41:AH41"/>
    <mergeCell ref="AU41:AV41"/>
    <mergeCell ref="AU42:AV42"/>
    <mergeCell ref="AS39:AT39"/>
    <mergeCell ref="AS40:AT40"/>
    <mergeCell ref="AI41:AJ41"/>
    <mergeCell ref="AI42:AJ42"/>
    <mergeCell ref="AS42:AT42"/>
    <mergeCell ref="AS43:AT43"/>
    <mergeCell ref="AU39:AV39"/>
    <mergeCell ref="AU40:AV40"/>
    <mergeCell ref="AU43:AV43"/>
    <mergeCell ref="AS41:AT41"/>
    <mergeCell ref="I42:J42"/>
    <mergeCell ref="I43:J43"/>
    <mergeCell ref="C45:L45"/>
    <mergeCell ref="B48:F49"/>
    <mergeCell ref="B50:D51"/>
    <mergeCell ref="E50:E51"/>
    <mergeCell ref="F50:F51"/>
    <mergeCell ref="B58:D59"/>
    <mergeCell ref="E58:E59"/>
    <mergeCell ref="F58:F59"/>
    <mergeCell ref="B52:F53"/>
    <mergeCell ref="B54:D55"/>
    <mergeCell ref="E54:E55"/>
    <mergeCell ref="F54:F55"/>
    <mergeCell ref="B56:D57"/>
    <mergeCell ref="E56:E57"/>
    <mergeCell ref="F56:F57"/>
    <mergeCell ref="I17:J17"/>
    <mergeCell ref="K17:L17"/>
    <mergeCell ref="I18:J18"/>
    <mergeCell ref="K18:L18"/>
    <mergeCell ref="C20:L20"/>
    <mergeCell ref="I13:J13"/>
    <mergeCell ref="I14:J14"/>
    <mergeCell ref="K14:L14"/>
    <mergeCell ref="I15:J15"/>
    <mergeCell ref="K15:L15"/>
    <mergeCell ref="I16:J16"/>
    <mergeCell ref="K16:L16"/>
    <mergeCell ref="K27:L27"/>
    <mergeCell ref="K28:L28"/>
    <mergeCell ref="K29:L29"/>
    <mergeCell ref="K30:L30"/>
    <mergeCell ref="C32:L32"/>
    <mergeCell ref="I23:J23"/>
    <mergeCell ref="K23:L23"/>
    <mergeCell ref="I24:J24"/>
    <mergeCell ref="K24:L24"/>
    <mergeCell ref="I25:J25"/>
    <mergeCell ref="K25:L25"/>
    <mergeCell ref="K26:L26"/>
    <mergeCell ref="K36:L36"/>
    <mergeCell ref="K37:L37"/>
    <mergeCell ref="K38:L38"/>
    <mergeCell ref="K39:L39"/>
    <mergeCell ref="K40:L40"/>
    <mergeCell ref="K41:L41"/>
    <mergeCell ref="K42:L42"/>
    <mergeCell ref="K43:L43"/>
    <mergeCell ref="I26:J26"/>
    <mergeCell ref="I27:J27"/>
    <mergeCell ref="I28:J28"/>
    <mergeCell ref="I29:J29"/>
    <mergeCell ref="I30:J30"/>
    <mergeCell ref="K35:L35"/>
    <mergeCell ref="I35:J35"/>
    <mergeCell ref="I36:J36"/>
    <mergeCell ref="I37:J37"/>
    <mergeCell ref="I38:J38"/>
    <mergeCell ref="I39:J39"/>
    <mergeCell ref="I40:J40"/>
    <mergeCell ref="I41:J41"/>
    <mergeCell ref="U14:V14"/>
    <mergeCell ref="U15:V15"/>
    <mergeCell ref="R9:U10"/>
    <mergeCell ref="U11:V11"/>
    <mergeCell ref="U17:V17"/>
    <mergeCell ref="W17:X17"/>
    <mergeCell ref="U18:V18"/>
    <mergeCell ref="W18:X18"/>
    <mergeCell ref="W14:X14"/>
    <mergeCell ref="AG12:AH12"/>
    <mergeCell ref="AI12:AJ12"/>
    <mergeCell ref="AG11:AH11"/>
    <mergeCell ref="AI11:AJ11"/>
    <mergeCell ref="AS12:AT12"/>
    <mergeCell ref="AU12:AV12"/>
    <mergeCell ref="AS11:AT11"/>
    <mergeCell ref="AU11:AV11"/>
    <mergeCell ref="I12:J12"/>
    <mergeCell ref="K12:L12"/>
    <mergeCell ref="K13:L13"/>
    <mergeCell ref="W11:X11"/>
    <mergeCell ref="U12:V12"/>
    <mergeCell ref="W12:X12"/>
    <mergeCell ref="W13:X13"/>
    <mergeCell ref="U13:V13"/>
    <mergeCell ref="C2:L5"/>
    <mergeCell ref="F9:I10"/>
    <mergeCell ref="AD9:AG10"/>
    <mergeCell ref="AP9:AS10"/>
    <mergeCell ref="I11:J11"/>
    <mergeCell ref="K11:L11"/>
    <mergeCell ref="AG15:AH15"/>
    <mergeCell ref="AI15:AJ15"/>
    <mergeCell ref="AG16:AH16"/>
    <mergeCell ref="AI16:AJ16"/>
    <mergeCell ref="AG13:AH13"/>
    <mergeCell ref="AG14:AH14"/>
    <mergeCell ref="AI14:AJ14"/>
    <mergeCell ref="AI13:AJ13"/>
    <mergeCell ref="AS13:AT13"/>
    <mergeCell ref="AS14:AT14"/>
    <mergeCell ref="AU14:AV14"/>
    <mergeCell ref="AU13:AV13"/>
    <mergeCell ref="AS17:AT17"/>
    <mergeCell ref="AS18:AT18"/>
    <mergeCell ref="AS15:AT15"/>
    <mergeCell ref="AU15:AV15"/>
    <mergeCell ref="AS16:AT16"/>
    <mergeCell ref="AU16:AV16"/>
    <mergeCell ref="AA20:AJ20"/>
    <mergeCell ref="AM20:AV20"/>
    <mergeCell ref="O20:X20"/>
    <mergeCell ref="AG17:AH17"/>
    <mergeCell ref="AI17:AJ17"/>
    <mergeCell ref="AG18:AH18"/>
    <mergeCell ref="AI18:AJ18"/>
    <mergeCell ref="AU17:AV17"/>
    <mergeCell ref="AU18:AV18"/>
    <mergeCell ref="U24:V24"/>
    <mergeCell ref="W24:X24"/>
    <mergeCell ref="W15:X15"/>
    <mergeCell ref="U16:V16"/>
    <mergeCell ref="W16:X16"/>
    <mergeCell ref="AM45:AV45"/>
    <mergeCell ref="AU38:AV38"/>
    <mergeCell ref="AS38:AT38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29"/>
    <hyperlink r:id="rId50" ref="O29"/>
    <hyperlink r:id="rId51" ref="AA29"/>
    <hyperlink r:id="rId52" ref="AM29"/>
    <hyperlink r:id="rId53" ref="C30"/>
    <hyperlink r:id="rId54" ref="O30"/>
    <hyperlink r:id="rId55" ref="AA30"/>
    <hyperlink r:id="rId56" ref="AM30"/>
    <hyperlink r:id="rId57" ref="C36"/>
    <hyperlink r:id="rId58" ref="O36"/>
    <hyperlink r:id="rId59" ref="AA36"/>
    <hyperlink r:id="rId60" ref="AM36"/>
    <hyperlink r:id="rId61" ref="C37"/>
    <hyperlink r:id="rId62" ref="O37"/>
    <hyperlink r:id="rId63" ref="AA37"/>
    <hyperlink r:id="rId64" ref="AM37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C40"/>
    <hyperlink r:id="rId74" ref="O40"/>
    <hyperlink r:id="rId75" ref="AA40"/>
    <hyperlink r:id="rId76" ref="AM40"/>
    <hyperlink r:id="rId77" ref="C41"/>
    <hyperlink r:id="rId78" ref="O41"/>
    <hyperlink r:id="rId79" ref="AA41"/>
    <hyperlink r:id="rId80" ref="AM41"/>
    <hyperlink r:id="rId81" ref="C42"/>
    <hyperlink r:id="rId82" ref="O42"/>
    <hyperlink r:id="rId83" ref="AA42"/>
    <hyperlink r:id="rId84" ref="AM42"/>
    <hyperlink r:id="rId85" ref="C43"/>
    <hyperlink r:id="rId86" ref="O43"/>
    <hyperlink r:id="rId87" ref="AA43"/>
    <hyperlink r:id="rId88" ref="AM43"/>
    <hyperlink r:id="rId89" ref="B54"/>
    <hyperlink r:id="rId90" ref="B56"/>
    <hyperlink r:id="rId91" ref="B58"/>
  </hyperlinks>
  <printOptions/>
  <pageMargins bottom="0.75" footer="0.0" header="0.0" left="0.7" right="0.7" top="0.75"/>
  <pageSetup orientation="portrait"/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75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75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91" t="s">
        <v>75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91" t="s">
        <v>75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92" t="s">
        <v>6</v>
      </c>
      <c r="AB11" s="92" t="s">
        <v>7</v>
      </c>
      <c r="AC11" s="92" t="s">
        <v>8</v>
      </c>
      <c r="AD11" s="92" t="s">
        <v>9</v>
      </c>
      <c r="AE11" s="92" t="s">
        <v>10</v>
      </c>
      <c r="AF11" s="93" t="s">
        <v>11</v>
      </c>
      <c r="AG11" s="94" t="s">
        <v>12</v>
      </c>
      <c r="AH11" s="23"/>
      <c r="AI11" s="94" t="s">
        <v>13</v>
      </c>
      <c r="AJ11" s="23"/>
      <c r="AK11" s="2"/>
      <c r="AL11" s="19" t="s">
        <v>5</v>
      </c>
      <c r="AM11" s="92" t="s">
        <v>6</v>
      </c>
      <c r="AN11" s="92" t="s">
        <v>7</v>
      </c>
      <c r="AO11" s="92" t="s">
        <v>8</v>
      </c>
      <c r="AP11" s="92" t="s">
        <v>9</v>
      </c>
      <c r="AQ11" s="92" t="s">
        <v>10</v>
      </c>
      <c r="AR11" s="93" t="s">
        <v>11</v>
      </c>
      <c r="AS11" s="94" t="s">
        <v>12</v>
      </c>
      <c r="AT11" s="23"/>
      <c r="AU11" s="94" t="s">
        <v>13</v>
      </c>
      <c r="AV11" s="23"/>
    </row>
    <row r="12" ht="20.25" customHeight="1">
      <c r="A12" s="1"/>
      <c r="B12" s="1"/>
      <c r="C12" s="95" t="s">
        <v>76</v>
      </c>
      <c r="D12" s="36">
        <v>3.0</v>
      </c>
      <c r="E12" s="34">
        <v>8.0</v>
      </c>
      <c r="F12" s="34">
        <v>8.0</v>
      </c>
      <c r="G12" s="28"/>
      <c r="H12" s="29"/>
      <c r="I12" s="30"/>
      <c r="J12" s="23"/>
      <c r="K12" s="30"/>
      <c r="L12" s="23"/>
      <c r="M12" s="31"/>
      <c r="N12" s="1"/>
      <c r="O12" s="95" t="s">
        <v>76</v>
      </c>
      <c r="P12" s="36">
        <v>3.0</v>
      </c>
      <c r="Q12" s="34">
        <v>8.0</v>
      </c>
      <c r="R12" s="34">
        <v>8.0</v>
      </c>
      <c r="S12" s="42"/>
      <c r="T12" s="29"/>
      <c r="U12" s="30"/>
      <c r="V12" s="23"/>
      <c r="W12" s="30"/>
      <c r="X12" s="23"/>
      <c r="Y12" s="1"/>
      <c r="Z12" s="11"/>
      <c r="AA12" s="96" t="s">
        <v>76</v>
      </c>
      <c r="AB12" s="44">
        <v>3.0</v>
      </c>
      <c r="AC12" s="97">
        <v>8.0</v>
      </c>
      <c r="AD12" s="97">
        <v>8.0</v>
      </c>
      <c r="AE12" s="98"/>
      <c r="AF12" s="98"/>
      <c r="AG12" s="99"/>
      <c r="AH12" s="23"/>
      <c r="AI12" s="99"/>
      <c r="AJ12" s="23"/>
      <c r="AK12" s="33"/>
      <c r="AL12" s="11"/>
      <c r="AM12" s="96" t="s">
        <v>76</v>
      </c>
      <c r="AN12" s="44">
        <v>3.0</v>
      </c>
      <c r="AO12" s="97">
        <v>8.0</v>
      </c>
      <c r="AP12" s="97">
        <v>8.0</v>
      </c>
      <c r="AQ12" s="98"/>
      <c r="AR12" s="98"/>
      <c r="AS12" s="99"/>
      <c r="AT12" s="23"/>
      <c r="AU12" s="99"/>
      <c r="AV12" s="23"/>
    </row>
    <row r="13" ht="20.25" customHeight="1">
      <c r="A13" s="4"/>
      <c r="B13" s="1"/>
      <c r="C13" s="96" t="s">
        <v>77</v>
      </c>
      <c r="D13" s="36">
        <v>3.0</v>
      </c>
      <c r="E13" s="34" t="s">
        <v>16</v>
      </c>
      <c r="F13" s="34">
        <v>8.0</v>
      </c>
      <c r="G13" s="29"/>
      <c r="H13" s="29"/>
      <c r="I13" s="30"/>
      <c r="J13" s="23"/>
      <c r="K13" s="30"/>
      <c r="L13" s="23"/>
      <c r="M13" s="31"/>
      <c r="N13" s="1"/>
      <c r="O13" s="96" t="s">
        <v>77</v>
      </c>
      <c r="P13" s="36">
        <v>3.0</v>
      </c>
      <c r="Q13" s="34" t="s">
        <v>16</v>
      </c>
      <c r="R13" s="34">
        <v>8.0</v>
      </c>
      <c r="S13" s="29"/>
      <c r="T13" s="29"/>
      <c r="U13" s="30"/>
      <c r="V13" s="23"/>
      <c r="W13" s="30"/>
      <c r="X13" s="23"/>
      <c r="Y13" s="1"/>
      <c r="Z13" s="11"/>
      <c r="AA13" s="96" t="s">
        <v>77</v>
      </c>
      <c r="AB13" s="44">
        <v>3.0</v>
      </c>
      <c r="AC13" s="97" t="s">
        <v>16</v>
      </c>
      <c r="AD13" s="97">
        <v>8.0</v>
      </c>
      <c r="AE13" s="98"/>
      <c r="AF13" s="98"/>
      <c r="AG13" s="99"/>
      <c r="AH13" s="23"/>
      <c r="AI13" s="99"/>
      <c r="AJ13" s="23"/>
      <c r="AK13" s="33"/>
      <c r="AL13" s="11"/>
      <c r="AM13" s="96" t="s">
        <v>77</v>
      </c>
      <c r="AN13" s="44">
        <v>3.0</v>
      </c>
      <c r="AO13" s="97" t="s">
        <v>16</v>
      </c>
      <c r="AP13" s="97">
        <v>8.0</v>
      </c>
      <c r="AQ13" s="98"/>
      <c r="AR13" s="98"/>
      <c r="AS13" s="99"/>
      <c r="AT13" s="23"/>
      <c r="AU13" s="99"/>
      <c r="AV13" s="23"/>
    </row>
    <row r="14" ht="20.25" customHeight="1">
      <c r="A14" s="4"/>
      <c r="B14" s="1"/>
      <c r="C14" s="96" t="s">
        <v>78</v>
      </c>
      <c r="D14" s="36">
        <v>3.0</v>
      </c>
      <c r="E14" s="34" t="s">
        <v>16</v>
      </c>
      <c r="F14" s="34">
        <v>8.0</v>
      </c>
      <c r="G14" s="29"/>
      <c r="H14" s="29"/>
      <c r="I14" s="30"/>
      <c r="J14" s="23"/>
      <c r="K14" s="30"/>
      <c r="L14" s="23"/>
      <c r="M14" s="31"/>
      <c r="N14" s="1"/>
      <c r="O14" s="96" t="s">
        <v>78</v>
      </c>
      <c r="P14" s="36">
        <v>3.0</v>
      </c>
      <c r="Q14" s="34" t="s">
        <v>16</v>
      </c>
      <c r="R14" s="34">
        <v>8.0</v>
      </c>
      <c r="S14" s="29"/>
      <c r="T14" s="29"/>
      <c r="U14" s="30"/>
      <c r="V14" s="23"/>
      <c r="W14" s="30"/>
      <c r="X14" s="23"/>
      <c r="Y14" s="24"/>
      <c r="Z14" s="100"/>
      <c r="AA14" s="96" t="s">
        <v>78</v>
      </c>
      <c r="AB14" s="44">
        <v>3.0</v>
      </c>
      <c r="AC14" s="97" t="s">
        <v>16</v>
      </c>
      <c r="AD14" s="97">
        <v>8.0</v>
      </c>
      <c r="AE14" s="98"/>
      <c r="AF14" s="98"/>
      <c r="AG14" s="99"/>
      <c r="AH14" s="23"/>
      <c r="AI14" s="99"/>
      <c r="AJ14" s="23"/>
      <c r="AK14" s="33"/>
      <c r="AL14" s="100"/>
      <c r="AM14" s="96" t="s">
        <v>78</v>
      </c>
      <c r="AN14" s="44">
        <v>3.0</v>
      </c>
      <c r="AO14" s="97" t="s">
        <v>16</v>
      </c>
      <c r="AP14" s="97">
        <v>8.0</v>
      </c>
      <c r="AQ14" s="98"/>
      <c r="AR14" s="98"/>
      <c r="AS14" s="99"/>
      <c r="AT14" s="23"/>
      <c r="AU14" s="99"/>
      <c r="AV14" s="23"/>
    </row>
    <row r="15" ht="20.25" customHeight="1">
      <c r="A15" s="1"/>
      <c r="B15" s="1"/>
      <c r="C15" s="96" t="s">
        <v>79</v>
      </c>
      <c r="D15" s="36">
        <v>3.0</v>
      </c>
      <c r="E15" s="36" t="s">
        <v>16</v>
      </c>
      <c r="F15" s="34">
        <v>8.0</v>
      </c>
      <c r="G15" s="29"/>
      <c r="H15" s="29"/>
      <c r="I15" s="30"/>
      <c r="J15" s="23"/>
      <c r="K15" s="30"/>
      <c r="L15" s="23"/>
      <c r="M15" s="31"/>
      <c r="N15" s="1"/>
      <c r="O15" s="96" t="s">
        <v>79</v>
      </c>
      <c r="P15" s="36">
        <v>3.0</v>
      </c>
      <c r="Q15" s="36" t="s">
        <v>16</v>
      </c>
      <c r="R15" s="34">
        <v>8.0</v>
      </c>
      <c r="S15" s="29"/>
      <c r="T15" s="29"/>
      <c r="U15" s="30"/>
      <c r="V15" s="23"/>
      <c r="W15" s="30"/>
      <c r="X15" s="23"/>
      <c r="Y15" s="24"/>
      <c r="Z15" s="100"/>
      <c r="AA15" s="96" t="s">
        <v>79</v>
      </c>
      <c r="AB15" s="44">
        <v>3.0</v>
      </c>
      <c r="AC15" s="44" t="s">
        <v>16</v>
      </c>
      <c r="AD15" s="97">
        <v>8.0</v>
      </c>
      <c r="AE15" s="98"/>
      <c r="AF15" s="98"/>
      <c r="AG15" s="99"/>
      <c r="AH15" s="23"/>
      <c r="AI15" s="99"/>
      <c r="AJ15" s="23"/>
      <c r="AK15" s="33"/>
      <c r="AL15" s="100"/>
      <c r="AM15" s="96" t="s">
        <v>79</v>
      </c>
      <c r="AN15" s="44">
        <v>3.0</v>
      </c>
      <c r="AO15" s="44" t="s">
        <v>16</v>
      </c>
      <c r="AP15" s="97">
        <v>8.0</v>
      </c>
      <c r="AQ15" s="98"/>
      <c r="AR15" s="98"/>
      <c r="AS15" s="99"/>
      <c r="AT15" s="23"/>
      <c r="AU15" s="99"/>
      <c r="AV15" s="23"/>
    </row>
    <row r="16">
      <c r="A16" s="1"/>
      <c r="B16" s="1"/>
      <c r="C16" s="96" t="s">
        <v>80</v>
      </c>
      <c r="D16" s="36">
        <v>3.0</v>
      </c>
      <c r="E16" s="36" t="s">
        <v>16</v>
      </c>
      <c r="F16" s="34">
        <v>8.0</v>
      </c>
      <c r="G16" s="29"/>
      <c r="H16" s="29"/>
      <c r="I16" s="30"/>
      <c r="J16" s="23"/>
      <c r="K16" s="30"/>
      <c r="L16" s="23"/>
      <c r="M16" s="31"/>
      <c r="N16" s="1"/>
      <c r="O16" s="96" t="s">
        <v>80</v>
      </c>
      <c r="P16" s="36">
        <v>3.0</v>
      </c>
      <c r="Q16" s="36" t="s">
        <v>16</v>
      </c>
      <c r="R16" s="34">
        <v>8.0</v>
      </c>
      <c r="S16" s="29"/>
      <c r="T16" s="29"/>
      <c r="U16" s="30"/>
      <c r="V16" s="23"/>
      <c r="W16" s="30"/>
      <c r="X16" s="23"/>
      <c r="Y16" s="1"/>
      <c r="Z16" s="11"/>
      <c r="AA16" s="96" t="s">
        <v>80</v>
      </c>
      <c r="AB16" s="44">
        <v>3.0</v>
      </c>
      <c r="AC16" s="44" t="s">
        <v>16</v>
      </c>
      <c r="AD16" s="97">
        <v>8.0</v>
      </c>
      <c r="AE16" s="98"/>
      <c r="AF16" s="98"/>
      <c r="AG16" s="99"/>
      <c r="AH16" s="23"/>
      <c r="AI16" s="99"/>
      <c r="AJ16" s="23"/>
      <c r="AK16" s="33"/>
      <c r="AL16" s="11"/>
      <c r="AM16" s="96" t="s">
        <v>80</v>
      </c>
      <c r="AN16" s="44">
        <v>3.0</v>
      </c>
      <c r="AO16" s="44" t="s">
        <v>16</v>
      </c>
      <c r="AP16" s="97">
        <v>8.0</v>
      </c>
      <c r="AQ16" s="98"/>
      <c r="AR16" s="98"/>
      <c r="AS16" s="99"/>
      <c r="AT16" s="23"/>
      <c r="AU16" s="99"/>
      <c r="AV16" s="23"/>
    </row>
    <row r="17" ht="20.25" customHeight="1">
      <c r="A17" s="1"/>
      <c r="B17" s="1"/>
      <c r="C17" s="96" t="s">
        <v>30</v>
      </c>
      <c r="D17" s="36">
        <v>3.0</v>
      </c>
      <c r="E17" s="34" t="s">
        <v>81</v>
      </c>
      <c r="F17" s="34">
        <v>8.0</v>
      </c>
      <c r="G17" s="29"/>
      <c r="H17" s="29"/>
      <c r="I17" s="30"/>
      <c r="J17" s="23"/>
      <c r="K17" s="30"/>
      <c r="L17" s="23"/>
      <c r="M17" s="31"/>
      <c r="N17" s="1"/>
      <c r="O17" s="96" t="s">
        <v>30</v>
      </c>
      <c r="P17" s="36">
        <v>3.0</v>
      </c>
      <c r="Q17" s="34" t="s">
        <v>81</v>
      </c>
      <c r="R17" s="34">
        <v>8.0</v>
      </c>
      <c r="S17" s="29"/>
      <c r="T17" s="29"/>
      <c r="U17" s="30"/>
      <c r="V17" s="23"/>
      <c r="W17" s="30"/>
      <c r="X17" s="23"/>
      <c r="Y17" s="24"/>
      <c r="Z17" s="100"/>
      <c r="AA17" s="96" t="s">
        <v>30</v>
      </c>
      <c r="AB17" s="44">
        <v>3.0</v>
      </c>
      <c r="AC17" s="97" t="s">
        <v>81</v>
      </c>
      <c r="AD17" s="97">
        <v>8.0</v>
      </c>
      <c r="AE17" s="98"/>
      <c r="AF17" s="98"/>
      <c r="AG17" s="99"/>
      <c r="AH17" s="23"/>
      <c r="AI17" s="99"/>
      <c r="AJ17" s="23"/>
      <c r="AK17" s="33"/>
      <c r="AL17" s="100"/>
      <c r="AM17" s="96" t="s">
        <v>30</v>
      </c>
      <c r="AN17" s="44">
        <v>3.0</v>
      </c>
      <c r="AO17" s="97" t="s">
        <v>81</v>
      </c>
      <c r="AP17" s="97">
        <v>8.0</v>
      </c>
      <c r="AQ17" s="98"/>
      <c r="AR17" s="98"/>
      <c r="AS17" s="99"/>
      <c r="AT17" s="23"/>
      <c r="AU17" s="99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01"/>
      <c r="AA18" s="102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101"/>
      <c r="AM18" s="102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82</v>
      </c>
      <c r="D19" s="40"/>
      <c r="E19" s="40"/>
      <c r="F19" s="1"/>
      <c r="G19" s="1"/>
      <c r="H19" s="1"/>
      <c r="I19" s="1"/>
      <c r="J19" s="1"/>
      <c r="K19" s="1"/>
      <c r="L19" s="1"/>
      <c r="M19" s="5"/>
      <c r="N19" s="4"/>
      <c r="O19" s="12" t="s">
        <v>82</v>
      </c>
      <c r="P19" s="40"/>
      <c r="Q19" s="40"/>
      <c r="R19" s="1"/>
      <c r="S19" s="1"/>
      <c r="T19" s="1"/>
      <c r="U19" s="1"/>
      <c r="V19" s="1"/>
      <c r="W19" s="1"/>
      <c r="X19" s="1"/>
      <c r="Y19" s="24"/>
      <c r="Z19" s="100"/>
      <c r="AA19" s="103" t="s">
        <v>82</v>
      </c>
      <c r="AB19" s="11"/>
      <c r="AC19" s="11"/>
      <c r="AD19" s="11"/>
      <c r="AE19" s="11"/>
      <c r="AF19" s="100"/>
      <c r="AG19" s="100"/>
      <c r="AH19" s="100"/>
      <c r="AI19" s="100"/>
      <c r="AJ19" s="100"/>
      <c r="AK19" s="3"/>
      <c r="AL19" s="100"/>
      <c r="AM19" s="103" t="s">
        <v>82</v>
      </c>
      <c r="AN19" s="11"/>
      <c r="AO19" s="11"/>
      <c r="AP19" s="11"/>
      <c r="AQ19" s="11"/>
      <c r="AR19" s="100"/>
      <c r="AS19" s="100"/>
      <c r="AT19" s="100"/>
      <c r="AU19" s="100"/>
      <c r="AV19" s="100"/>
    </row>
    <row r="20">
      <c r="A20" s="1"/>
      <c r="B20" s="12" t="s">
        <v>83</v>
      </c>
      <c r="C20" s="41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1"/>
      <c r="N20" s="12" t="s">
        <v>83</v>
      </c>
      <c r="O20" s="41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91" t="s">
        <v>83</v>
      </c>
      <c r="AA20" s="94" t="s">
        <v>6</v>
      </c>
      <c r="AB20" s="92" t="s">
        <v>7</v>
      </c>
      <c r="AC20" s="93" t="s">
        <v>8</v>
      </c>
      <c r="AD20" s="93" t="s">
        <v>9</v>
      </c>
      <c r="AE20" s="93" t="s">
        <v>10</v>
      </c>
      <c r="AF20" s="93" t="s">
        <v>11</v>
      </c>
      <c r="AG20" s="94" t="s">
        <v>12</v>
      </c>
      <c r="AH20" s="23"/>
      <c r="AI20" s="94" t="s">
        <v>13</v>
      </c>
      <c r="AJ20" s="23"/>
      <c r="AK20" s="33"/>
      <c r="AL20" s="91" t="s">
        <v>83</v>
      </c>
      <c r="AM20" s="94" t="s">
        <v>6</v>
      </c>
      <c r="AN20" s="92" t="s">
        <v>7</v>
      </c>
      <c r="AO20" s="93" t="s">
        <v>8</v>
      </c>
      <c r="AP20" s="93" t="s">
        <v>9</v>
      </c>
      <c r="AQ20" s="93" t="s">
        <v>10</v>
      </c>
      <c r="AR20" s="93" t="s">
        <v>11</v>
      </c>
      <c r="AS20" s="94" t="s">
        <v>12</v>
      </c>
      <c r="AT20" s="23"/>
      <c r="AU20" s="94" t="s">
        <v>13</v>
      </c>
      <c r="AV20" s="23"/>
    </row>
    <row r="21" ht="20.25" customHeight="1">
      <c r="A21" s="4"/>
      <c r="B21" s="1"/>
      <c r="C21" s="96" t="s">
        <v>38</v>
      </c>
      <c r="D21" s="44">
        <v>3.0</v>
      </c>
      <c r="E21" s="45">
        <v>10.0</v>
      </c>
      <c r="F21" s="45">
        <v>8.0</v>
      </c>
      <c r="G21" s="42"/>
      <c r="H21" s="43"/>
      <c r="I21" s="30"/>
      <c r="J21" s="23"/>
      <c r="K21" s="30"/>
      <c r="L21" s="23"/>
      <c r="M21" s="17"/>
      <c r="N21" s="1"/>
      <c r="O21" s="96" t="s">
        <v>38</v>
      </c>
      <c r="P21" s="44">
        <v>3.0</v>
      </c>
      <c r="Q21" s="45">
        <v>10.0</v>
      </c>
      <c r="R21" s="45">
        <v>8.0</v>
      </c>
      <c r="S21" s="42"/>
      <c r="T21" s="43"/>
      <c r="U21" s="30"/>
      <c r="V21" s="23"/>
      <c r="W21" s="30"/>
      <c r="X21" s="23"/>
      <c r="Y21" s="1"/>
      <c r="Z21" s="11"/>
      <c r="AA21" s="25" t="s">
        <v>38</v>
      </c>
      <c r="AB21" s="44">
        <v>3.0</v>
      </c>
      <c r="AC21" s="97">
        <v>10.0</v>
      </c>
      <c r="AD21" s="97">
        <v>8.0</v>
      </c>
      <c r="AE21" s="98"/>
      <c r="AF21" s="104"/>
      <c r="AG21" s="99"/>
      <c r="AH21" s="23"/>
      <c r="AI21" s="99"/>
      <c r="AJ21" s="23"/>
      <c r="AK21" s="33"/>
      <c r="AL21" s="11"/>
      <c r="AM21" s="25" t="s">
        <v>38</v>
      </c>
      <c r="AN21" s="44">
        <v>3.0</v>
      </c>
      <c r="AO21" s="97">
        <v>10.0</v>
      </c>
      <c r="AP21" s="97">
        <v>8.0</v>
      </c>
      <c r="AQ21" s="98"/>
      <c r="AR21" s="104"/>
      <c r="AS21" s="99"/>
      <c r="AT21" s="23"/>
      <c r="AU21" s="99"/>
      <c r="AV21" s="23"/>
    </row>
    <row r="22" ht="20.25" customHeight="1">
      <c r="A22" s="1"/>
      <c r="B22" s="1"/>
      <c r="C22" s="25" t="s">
        <v>15</v>
      </c>
      <c r="D22" s="44">
        <v>3.0</v>
      </c>
      <c r="E22" s="45" t="s">
        <v>16</v>
      </c>
      <c r="F22" s="45">
        <v>8.0</v>
      </c>
      <c r="G22" s="29"/>
      <c r="H22" s="29"/>
      <c r="I22" s="30"/>
      <c r="J22" s="23"/>
      <c r="K22" s="30"/>
      <c r="L22" s="23"/>
      <c r="M22" s="31"/>
      <c r="N22" s="1"/>
      <c r="O22" s="25" t="s">
        <v>15</v>
      </c>
      <c r="P22" s="44">
        <v>3.0</v>
      </c>
      <c r="Q22" s="45" t="s">
        <v>16</v>
      </c>
      <c r="R22" s="45">
        <v>8.0</v>
      </c>
      <c r="S22" s="29"/>
      <c r="T22" s="29"/>
      <c r="U22" s="30"/>
      <c r="V22" s="23"/>
      <c r="W22" s="30"/>
      <c r="X22" s="23"/>
      <c r="Y22" s="24"/>
      <c r="Z22" s="100"/>
      <c r="AA22" s="96" t="s">
        <v>15</v>
      </c>
      <c r="AB22" s="44">
        <v>3.0</v>
      </c>
      <c r="AC22" s="97" t="s">
        <v>16</v>
      </c>
      <c r="AD22" s="97">
        <v>8.0</v>
      </c>
      <c r="AE22" s="98"/>
      <c r="AF22" s="98"/>
      <c r="AG22" s="99"/>
      <c r="AH22" s="23"/>
      <c r="AI22" s="99"/>
      <c r="AJ22" s="23"/>
      <c r="AK22" s="33"/>
      <c r="AL22" s="100"/>
      <c r="AM22" s="96" t="s">
        <v>15</v>
      </c>
      <c r="AN22" s="44">
        <v>3.0</v>
      </c>
      <c r="AO22" s="97" t="s">
        <v>16</v>
      </c>
      <c r="AP22" s="97">
        <v>8.0</v>
      </c>
      <c r="AQ22" s="98"/>
      <c r="AR22" s="98"/>
      <c r="AS22" s="99"/>
      <c r="AT22" s="23"/>
      <c r="AU22" s="99"/>
      <c r="AV22" s="23"/>
    </row>
    <row r="23" ht="20.25" customHeight="1">
      <c r="A23" s="1"/>
      <c r="B23" s="1"/>
      <c r="C23" s="96" t="s">
        <v>84</v>
      </c>
      <c r="D23" s="44">
        <v>3.0</v>
      </c>
      <c r="E23" s="45" t="s">
        <v>16</v>
      </c>
      <c r="F23" s="45">
        <v>8.0</v>
      </c>
      <c r="G23" s="29"/>
      <c r="H23" s="29"/>
      <c r="I23" s="30"/>
      <c r="J23" s="23"/>
      <c r="K23" s="30"/>
      <c r="L23" s="23"/>
      <c r="M23" s="31"/>
      <c r="N23" s="1"/>
      <c r="O23" s="96" t="s">
        <v>84</v>
      </c>
      <c r="P23" s="44">
        <v>3.0</v>
      </c>
      <c r="Q23" s="45" t="s">
        <v>16</v>
      </c>
      <c r="R23" s="45">
        <v>8.0</v>
      </c>
      <c r="S23" s="29"/>
      <c r="T23" s="29"/>
      <c r="U23" s="30"/>
      <c r="V23" s="23"/>
      <c r="W23" s="30"/>
      <c r="X23" s="23"/>
      <c r="Y23" s="24"/>
      <c r="Z23" s="100"/>
      <c r="AA23" s="96" t="s">
        <v>84</v>
      </c>
      <c r="AB23" s="44">
        <v>3.0</v>
      </c>
      <c r="AC23" s="97" t="s">
        <v>16</v>
      </c>
      <c r="AD23" s="97">
        <v>8.0</v>
      </c>
      <c r="AE23" s="98"/>
      <c r="AF23" s="98"/>
      <c r="AG23" s="99"/>
      <c r="AH23" s="23"/>
      <c r="AI23" s="99"/>
      <c r="AJ23" s="23"/>
      <c r="AK23" s="33"/>
      <c r="AL23" s="100"/>
      <c r="AM23" s="96" t="s">
        <v>84</v>
      </c>
      <c r="AN23" s="44">
        <v>3.0</v>
      </c>
      <c r="AO23" s="97" t="s">
        <v>16</v>
      </c>
      <c r="AP23" s="97">
        <v>8.0</v>
      </c>
      <c r="AQ23" s="98"/>
      <c r="AR23" s="98"/>
      <c r="AS23" s="99"/>
      <c r="AT23" s="23"/>
      <c r="AU23" s="99"/>
      <c r="AV23" s="23"/>
    </row>
    <row r="24" ht="20.25" customHeight="1">
      <c r="A24" s="1"/>
      <c r="B24" s="1"/>
      <c r="C24" s="96" t="s">
        <v>85</v>
      </c>
      <c r="D24" s="44">
        <v>3.0</v>
      </c>
      <c r="E24" s="45" t="s">
        <v>16</v>
      </c>
      <c r="F24" s="45">
        <v>8.0</v>
      </c>
      <c r="G24" s="29"/>
      <c r="H24" s="29"/>
      <c r="I24" s="30"/>
      <c r="J24" s="23"/>
      <c r="K24" s="30"/>
      <c r="L24" s="23"/>
      <c r="M24" s="31"/>
      <c r="N24" s="1"/>
      <c r="O24" s="96" t="s">
        <v>85</v>
      </c>
      <c r="P24" s="44">
        <v>3.0</v>
      </c>
      <c r="Q24" s="45" t="s">
        <v>16</v>
      </c>
      <c r="R24" s="45">
        <v>8.0</v>
      </c>
      <c r="S24" s="29"/>
      <c r="T24" s="29"/>
      <c r="U24" s="30"/>
      <c r="V24" s="23"/>
      <c r="W24" s="30"/>
      <c r="X24" s="23"/>
      <c r="Y24" s="24"/>
      <c r="Z24" s="100"/>
      <c r="AA24" s="96" t="s">
        <v>85</v>
      </c>
      <c r="AB24" s="44">
        <v>3.0</v>
      </c>
      <c r="AC24" s="97" t="s">
        <v>16</v>
      </c>
      <c r="AD24" s="97">
        <v>8.0</v>
      </c>
      <c r="AE24" s="98"/>
      <c r="AF24" s="98"/>
      <c r="AG24" s="99"/>
      <c r="AH24" s="23"/>
      <c r="AI24" s="99"/>
      <c r="AJ24" s="23"/>
      <c r="AK24" s="33"/>
      <c r="AL24" s="100"/>
      <c r="AM24" s="96" t="s">
        <v>85</v>
      </c>
      <c r="AN24" s="44">
        <v>3.0</v>
      </c>
      <c r="AO24" s="97" t="s">
        <v>16</v>
      </c>
      <c r="AP24" s="97">
        <v>8.0</v>
      </c>
      <c r="AQ24" s="98"/>
      <c r="AR24" s="98"/>
      <c r="AS24" s="99"/>
      <c r="AT24" s="23"/>
      <c r="AU24" s="99"/>
      <c r="AV24" s="23"/>
    </row>
    <row r="25" ht="20.25" customHeight="1">
      <c r="A25" s="1"/>
      <c r="B25" s="1"/>
      <c r="C25" s="96" t="s">
        <v>18</v>
      </c>
      <c r="D25" s="44">
        <v>3.0</v>
      </c>
      <c r="E25" s="45" t="s">
        <v>16</v>
      </c>
      <c r="F25" s="45">
        <v>8.0</v>
      </c>
      <c r="G25" s="29"/>
      <c r="H25" s="29"/>
      <c r="I25" s="30"/>
      <c r="J25" s="23"/>
      <c r="K25" s="30"/>
      <c r="L25" s="23"/>
      <c r="M25" s="31"/>
      <c r="N25" s="1"/>
      <c r="O25" s="96" t="s">
        <v>18</v>
      </c>
      <c r="P25" s="44">
        <v>3.0</v>
      </c>
      <c r="Q25" s="45" t="s">
        <v>16</v>
      </c>
      <c r="R25" s="45">
        <v>8.0</v>
      </c>
      <c r="S25" s="29"/>
      <c r="T25" s="29"/>
      <c r="U25" s="30"/>
      <c r="V25" s="23"/>
      <c r="W25" s="30"/>
      <c r="X25" s="23"/>
      <c r="Y25" s="24"/>
      <c r="Z25" s="100"/>
      <c r="AA25" s="96" t="s">
        <v>18</v>
      </c>
      <c r="AB25" s="44">
        <v>3.0</v>
      </c>
      <c r="AC25" s="44" t="s">
        <v>16</v>
      </c>
      <c r="AD25" s="97">
        <v>8.0</v>
      </c>
      <c r="AE25" s="98"/>
      <c r="AF25" s="98"/>
      <c r="AG25" s="99"/>
      <c r="AH25" s="23"/>
      <c r="AI25" s="99"/>
      <c r="AJ25" s="23"/>
      <c r="AK25" s="33"/>
      <c r="AL25" s="100"/>
      <c r="AM25" s="96" t="s">
        <v>18</v>
      </c>
      <c r="AN25" s="44">
        <v>3.0</v>
      </c>
      <c r="AO25" s="44" t="s">
        <v>16</v>
      </c>
      <c r="AP25" s="97">
        <v>8.0</v>
      </c>
      <c r="AQ25" s="98"/>
      <c r="AR25" s="98"/>
      <c r="AS25" s="99"/>
      <c r="AT25" s="23"/>
      <c r="AU25" s="99"/>
      <c r="AV25" s="23"/>
    </row>
    <row r="26" ht="20.25" customHeight="1">
      <c r="A26" s="1"/>
      <c r="B26" s="1"/>
      <c r="C26" s="96" t="s">
        <v>86</v>
      </c>
      <c r="D26" s="44">
        <v>3.0</v>
      </c>
      <c r="E26" s="44" t="s">
        <v>16</v>
      </c>
      <c r="F26" s="45">
        <v>8.0</v>
      </c>
      <c r="G26" s="29"/>
      <c r="H26" s="29"/>
      <c r="I26" s="30"/>
      <c r="J26" s="23"/>
      <c r="K26" s="30"/>
      <c r="L26" s="23"/>
      <c r="M26" s="31"/>
      <c r="N26" s="1"/>
      <c r="O26" s="96" t="s">
        <v>86</v>
      </c>
      <c r="P26" s="44">
        <v>3.0</v>
      </c>
      <c r="Q26" s="44" t="s">
        <v>16</v>
      </c>
      <c r="R26" s="45">
        <v>8.0</v>
      </c>
      <c r="S26" s="29"/>
      <c r="T26" s="29"/>
      <c r="U26" s="30"/>
      <c r="V26" s="23"/>
      <c r="W26" s="30"/>
      <c r="X26" s="23"/>
      <c r="Y26" s="46"/>
      <c r="Z26" s="100"/>
      <c r="AA26" s="96" t="s">
        <v>86</v>
      </c>
      <c r="AB26" s="44">
        <v>3.0</v>
      </c>
      <c r="AC26" s="44" t="s">
        <v>16</v>
      </c>
      <c r="AD26" s="97">
        <v>8.0</v>
      </c>
      <c r="AE26" s="98"/>
      <c r="AF26" s="98"/>
      <c r="AG26" s="99"/>
      <c r="AH26" s="23"/>
      <c r="AI26" s="99"/>
      <c r="AJ26" s="23"/>
      <c r="AK26" s="33"/>
      <c r="AL26" s="100"/>
      <c r="AM26" s="96" t="s">
        <v>86</v>
      </c>
      <c r="AN26" s="44">
        <v>3.0</v>
      </c>
      <c r="AO26" s="44" t="s">
        <v>16</v>
      </c>
      <c r="AP26" s="97">
        <v>8.0</v>
      </c>
      <c r="AQ26" s="98"/>
      <c r="AR26" s="98"/>
      <c r="AS26" s="99"/>
      <c r="AT26" s="23"/>
      <c r="AU26" s="99"/>
      <c r="AV26" s="23"/>
    </row>
    <row r="27" ht="20.25" customHeight="1">
      <c r="A27" s="1"/>
      <c r="B27" s="16"/>
      <c r="C27" s="105" t="s">
        <v>87</v>
      </c>
      <c r="D27" s="47">
        <v>3.0</v>
      </c>
      <c r="E27" s="47" t="s">
        <v>16</v>
      </c>
      <c r="F27" s="48">
        <v>8.0</v>
      </c>
      <c r="G27" s="49"/>
      <c r="H27" s="49"/>
      <c r="I27" s="50"/>
      <c r="J27" s="10"/>
      <c r="K27" s="50"/>
      <c r="L27" s="10"/>
      <c r="M27" s="17"/>
      <c r="N27" s="16"/>
      <c r="O27" s="105" t="s">
        <v>87</v>
      </c>
      <c r="P27" s="47">
        <v>3.0</v>
      </c>
      <c r="Q27" s="47" t="s">
        <v>16</v>
      </c>
      <c r="R27" s="48">
        <v>8.0</v>
      </c>
      <c r="S27" s="49"/>
      <c r="T27" s="49"/>
      <c r="U27" s="50"/>
      <c r="V27" s="10"/>
      <c r="W27" s="50"/>
      <c r="X27" s="10"/>
      <c r="Y27" s="51"/>
      <c r="Z27" s="18"/>
      <c r="AA27" s="96" t="s">
        <v>87</v>
      </c>
      <c r="AB27" s="106">
        <v>3.0</v>
      </c>
      <c r="AC27" s="106" t="s">
        <v>16</v>
      </c>
      <c r="AD27" s="106">
        <v>8.0</v>
      </c>
      <c r="AE27" s="107"/>
      <c r="AF27" s="107"/>
      <c r="AG27" s="108"/>
      <c r="AH27" s="10"/>
      <c r="AI27" s="108"/>
      <c r="AJ27" s="10"/>
      <c r="AK27" s="52"/>
      <c r="AL27" s="18"/>
      <c r="AM27" s="96" t="s">
        <v>87</v>
      </c>
      <c r="AN27" s="106">
        <v>3.0</v>
      </c>
      <c r="AO27" s="106" t="s">
        <v>16</v>
      </c>
      <c r="AP27" s="106">
        <v>8.0</v>
      </c>
      <c r="AQ27" s="107"/>
      <c r="AR27" s="107"/>
      <c r="AS27" s="108"/>
      <c r="AT27" s="10"/>
      <c r="AU27" s="108"/>
      <c r="AV27" s="10"/>
    </row>
    <row r="28" ht="20.25" customHeight="1">
      <c r="A28" s="1"/>
      <c r="B28" s="1"/>
      <c r="C28" s="96" t="s">
        <v>88</v>
      </c>
      <c r="D28" s="45">
        <v>1.0</v>
      </c>
      <c r="E28" s="109" t="s">
        <v>89</v>
      </c>
      <c r="F28" s="109" t="s">
        <v>90</v>
      </c>
      <c r="G28" s="29"/>
      <c r="H28" s="29"/>
      <c r="I28" s="30"/>
      <c r="J28" s="23"/>
      <c r="K28" s="30"/>
      <c r="L28" s="23"/>
      <c r="M28" s="17"/>
      <c r="N28" s="1"/>
      <c r="O28" s="96" t="s">
        <v>88</v>
      </c>
      <c r="P28" s="45">
        <v>1.0</v>
      </c>
      <c r="Q28" s="109" t="s">
        <v>89</v>
      </c>
      <c r="R28" s="109" t="s">
        <v>90</v>
      </c>
      <c r="S28" s="29"/>
      <c r="T28" s="29"/>
      <c r="U28" s="30"/>
      <c r="V28" s="23"/>
      <c r="W28" s="30"/>
      <c r="X28" s="23"/>
      <c r="Y28" s="51"/>
      <c r="Z28" s="11"/>
      <c r="AA28" s="96" t="s">
        <v>88</v>
      </c>
      <c r="AB28" s="97">
        <v>1.0</v>
      </c>
      <c r="AC28" s="97" t="s">
        <v>89</v>
      </c>
      <c r="AD28" s="97" t="s">
        <v>90</v>
      </c>
      <c r="AE28" s="98"/>
      <c r="AF28" s="98"/>
      <c r="AG28" s="99"/>
      <c r="AH28" s="23"/>
      <c r="AI28" s="99"/>
      <c r="AJ28" s="23"/>
      <c r="AK28" s="52"/>
      <c r="AL28" s="11"/>
      <c r="AM28" s="96" t="s">
        <v>88</v>
      </c>
      <c r="AN28" s="97">
        <v>1.0</v>
      </c>
      <c r="AO28" s="97" t="s">
        <v>89</v>
      </c>
      <c r="AP28" s="97" t="s">
        <v>90</v>
      </c>
      <c r="AQ28" s="98"/>
      <c r="AR28" s="98"/>
      <c r="AS28" s="99"/>
      <c r="AT28" s="23"/>
      <c r="AU28" s="99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102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102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38" t="s">
        <v>22</v>
      </c>
      <c r="D30" s="39"/>
      <c r="E30" s="39"/>
      <c r="F30" s="39"/>
      <c r="G30" s="39"/>
      <c r="H30" s="39"/>
      <c r="I30" s="39"/>
      <c r="J30" s="39"/>
      <c r="K30" s="39"/>
      <c r="L30" s="23"/>
      <c r="M30" s="5"/>
      <c r="N30" s="1"/>
      <c r="O30" s="38" t="s">
        <v>22</v>
      </c>
      <c r="P30" s="39"/>
      <c r="Q30" s="39"/>
      <c r="R30" s="39"/>
      <c r="S30" s="39"/>
      <c r="T30" s="39"/>
      <c r="U30" s="39"/>
      <c r="V30" s="39"/>
      <c r="W30" s="39"/>
      <c r="X30" s="23"/>
      <c r="Y30" s="54"/>
      <c r="Z30" s="100"/>
      <c r="AA30" s="110" t="s">
        <v>22</v>
      </c>
      <c r="AB30" s="39"/>
      <c r="AC30" s="39"/>
      <c r="AD30" s="39"/>
      <c r="AE30" s="39"/>
      <c r="AF30" s="39"/>
      <c r="AG30" s="39"/>
      <c r="AH30" s="39"/>
      <c r="AI30" s="39"/>
      <c r="AJ30" s="23"/>
      <c r="AK30" s="3"/>
      <c r="AL30" s="100"/>
      <c r="AM30" s="110" t="s">
        <v>22</v>
      </c>
      <c r="AN30" s="39"/>
      <c r="AO30" s="39"/>
      <c r="AP30" s="39"/>
      <c r="AQ30" s="39"/>
      <c r="AR30" s="39"/>
      <c r="AS30" s="39"/>
      <c r="AT30" s="39"/>
      <c r="AU30" s="39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1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6"/>
      <c r="Z31" s="100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33"/>
      <c r="AL31" s="100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</row>
    <row r="32">
      <c r="A32" s="1"/>
      <c r="B32" s="16"/>
      <c r="C32" s="12" t="s">
        <v>91</v>
      </c>
      <c r="D32" s="40"/>
      <c r="E32" s="40"/>
      <c r="F32" s="1"/>
      <c r="G32" s="1"/>
      <c r="H32" s="1"/>
      <c r="I32" s="1"/>
      <c r="J32" s="1"/>
      <c r="K32" s="1"/>
      <c r="L32" s="1"/>
      <c r="M32" s="31"/>
      <c r="N32" s="16"/>
      <c r="O32" s="12" t="s">
        <v>91</v>
      </c>
      <c r="P32" s="40"/>
      <c r="Q32" s="40"/>
      <c r="R32" s="1"/>
      <c r="S32" s="1"/>
      <c r="T32" s="1"/>
      <c r="U32" s="1"/>
      <c r="V32" s="1"/>
      <c r="W32" s="1"/>
      <c r="X32" s="1"/>
      <c r="Y32" s="46"/>
      <c r="Z32" s="102"/>
      <c r="AA32" s="91" t="s">
        <v>91</v>
      </c>
      <c r="AB32" s="11"/>
      <c r="AC32" s="100"/>
      <c r="AD32" s="100"/>
      <c r="AE32" s="100"/>
      <c r="AF32" s="100"/>
      <c r="AG32" s="100"/>
      <c r="AH32" s="100"/>
      <c r="AI32" s="100"/>
      <c r="AJ32" s="100"/>
      <c r="AK32" s="33"/>
      <c r="AL32" s="102"/>
      <c r="AM32" s="91" t="s">
        <v>91</v>
      </c>
      <c r="AN32" s="11"/>
      <c r="AO32" s="100"/>
      <c r="AP32" s="100"/>
      <c r="AQ32" s="100"/>
      <c r="AR32" s="100"/>
      <c r="AS32" s="100"/>
      <c r="AT32" s="100"/>
      <c r="AU32" s="100"/>
      <c r="AV32" s="100"/>
    </row>
    <row r="33" ht="20.25" customHeight="1">
      <c r="A33" s="7"/>
      <c r="B33" s="55" t="s">
        <v>92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55" t="s">
        <v>92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46"/>
      <c r="Z33" s="111" t="s">
        <v>92</v>
      </c>
      <c r="AA33" s="93" t="s">
        <v>6</v>
      </c>
      <c r="AB33" s="93" t="s">
        <v>7</v>
      </c>
      <c r="AC33" s="92" t="s">
        <v>8</v>
      </c>
      <c r="AD33" s="93" t="s">
        <v>9</v>
      </c>
      <c r="AE33" s="93" t="s">
        <v>10</v>
      </c>
      <c r="AF33" s="93" t="s">
        <v>11</v>
      </c>
      <c r="AG33" s="94" t="s">
        <v>12</v>
      </c>
      <c r="AH33" s="23"/>
      <c r="AI33" s="94" t="s">
        <v>13</v>
      </c>
      <c r="AJ33" s="23"/>
      <c r="AK33" s="56"/>
      <c r="AL33" s="111" t="s">
        <v>92</v>
      </c>
      <c r="AM33" s="93" t="s">
        <v>6</v>
      </c>
      <c r="AN33" s="93" t="s">
        <v>7</v>
      </c>
      <c r="AO33" s="92" t="s">
        <v>8</v>
      </c>
      <c r="AP33" s="93" t="s">
        <v>9</v>
      </c>
      <c r="AQ33" s="93" t="s">
        <v>10</v>
      </c>
      <c r="AR33" s="93" t="s">
        <v>11</v>
      </c>
      <c r="AS33" s="94" t="s">
        <v>12</v>
      </c>
      <c r="AT33" s="23"/>
      <c r="AU33" s="94" t="s">
        <v>13</v>
      </c>
      <c r="AV33" s="23"/>
    </row>
    <row r="34" ht="20.25" customHeight="1">
      <c r="A34" s="57"/>
      <c r="B34" s="1"/>
      <c r="C34" s="105" t="s">
        <v>26</v>
      </c>
      <c r="D34" s="45">
        <v>3.0</v>
      </c>
      <c r="E34" s="45">
        <v>8.0</v>
      </c>
      <c r="F34" s="45">
        <v>8.0</v>
      </c>
      <c r="G34" s="42"/>
      <c r="H34" s="29"/>
      <c r="I34" s="30"/>
      <c r="J34" s="23"/>
      <c r="K34" s="30"/>
      <c r="L34" s="23"/>
      <c r="M34" s="5"/>
      <c r="N34" s="1"/>
      <c r="O34" s="105" t="s">
        <v>26</v>
      </c>
      <c r="P34" s="45">
        <v>3.0</v>
      </c>
      <c r="Q34" s="45">
        <v>8.0</v>
      </c>
      <c r="R34" s="45">
        <v>8.0</v>
      </c>
      <c r="S34" s="42"/>
      <c r="T34" s="29"/>
      <c r="U34" s="30"/>
      <c r="V34" s="23"/>
      <c r="W34" s="30"/>
      <c r="X34" s="23"/>
      <c r="Y34" s="24"/>
      <c r="Z34" s="100"/>
      <c r="AA34" s="96" t="s">
        <v>26</v>
      </c>
      <c r="AB34" s="97">
        <v>3.0</v>
      </c>
      <c r="AC34" s="44">
        <v>8.0</v>
      </c>
      <c r="AD34" s="97">
        <v>8.0</v>
      </c>
      <c r="AE34" s="98"/>
      <c r="AF34" s="98"/>
      <c r="AG34" s="99"/>
      <c r="AH34" s="23"/>
      <c r="AI34" s="99"/>
      <c r="AJ34" s="23"/>
      <c r="AK34" s="58"/>
      <c r="AL34" s="100"/>
      <c r="AM34" s="96" t="s">
        <v>26</v>
      </c>
      <c r="AN34" s="97">
        <v>3.0</v>
      </c>
      <c r="AO34" s="44">
        <v>8.0</v>
      </c>
      <c r="AP34" s="97">
        <v>8.0</v>
      </c>
      <c r="AQ34" s="98"/>
      <c r="AR34" s="98"/>
      <c r="AS34" s="99"/>
      <c r="AT34" s="23"/>
      <c r="AU34" s="99"/>
      <c r="AV34" s="23"/>
    </row>
    <row r="35" ht="20.25" customHeight="1">
      <c r="A35" s="4"/>
      <c r="B35" s="1"/>
      <c r="C35" s="112" t="s">
        <v>93</v>
      </c>
      <c r="D35" s="44">
        <v>3.0</v>
      </c>
      <c r="E35" s="45" t="s">
        <v>16</v>
      </c>
      <c r="F35" s="45">
        <v>8.0</v>
      </c>
      <c r="G35" s="29"/>
      <c r="H35" s="29"/>
      <c r="I35" s="30"/>
      <c r="J35" s="23"/>
      <c r="K35" s="30"/>
      <c r="L35" s="23"/>
      <c r="M35" s="31"/>
      <c r="N35" s="1"/>
      <c r="O35" s="112" t="s">
        <v>93</v>
      </c>
      <c r="P35" s="44">
        <v>3.0</v>
      </c>
      <c r="Q35" s="45" t="s">
        <v>16</v>
      </c>
      <c r="R35" s="45">
        <v>8.0</v>
      </c>
      <c r="S35" s="29"/>
      <c r="T35" s="29"/>
      <c r="U35" s="30"/>
      <c r="V35" s="23"/>
      <c r="W35" s="30"/>
      <c r="X35" s="23"/>
      <c r="Y35" s="46"/>
      <c r="Z35" s="100"/>
      <c r="AA35" s="113" t="s">
        <v>93</v>
      </c>
      <c r="AB35" s="97">
        <v>3.0</v>
      </c>
      <c r="AC35" s="44" t="s">
        <v>16</v>
      </c>
      <c r="AD35" s="97">
        <v>8.0</v>
      </c>
      <c r="AE35" s="98"/>
      <c r="AF35" s="98"/>
      <c r="AG35" s="99"/>
      <c r="AH35" s="23"/>
      <c r="AI35" s="99"/>
      <c r="AJ35" s="23"/>
      <c r="AK35" s="33"/>
      <c r="AL35" s="100"/>
      <c r="AM35" s="113" t="s">
        <v>93</v>
      </c>
      <c r="AN35" s="97">
        <v>3.0</v>
      </c>
      <c r="AO35" s="44" t="s">
        <v>16</v>
      </c>
      <c r="AP35" s="97">
        <v>8.0</v>
      </c>
      <c r="AQ35" s="98"/>
      <c r="AR35" s="98"/>
      <c r="AS35" s="99"/>
      <c r="AT35" s="23"/>
      <c r="AU35" s="99"/>
      <c r="AV35" s="23"/>
    </row>
    <row r="36" ht="20.25" customHeight="1">
      <c r="A36" s="1"/>
      <c r="B36" s="1"/>
      <c r="C36" s="95" t="s">
        <v>37</v>
      </c>
      <c r="D36" s="45">
        <v>3.0</v>
      </c>
      <c r="E36" s="44" t="s">
        <v>16</v>
      </c>
      <c r="F36" s="45">
        <v>8.0</v>
      </c>
      <c r="G36" s="29"/>
      <c r="H36" s="59"/>
      <c r="I36" s="30"/>
      <c r="J36" s="23"/>
      <c r="K36" s="30"/>
      <c r="L36" s="23"/>
      <c r="M36" s="31"/>
      <c r="N36" s="1"/>
      <c r="O36" s="95" t="s">
        <v>37</v>
      </c>
      <c r="P36" s="45">
        <v>3.0</v>
      </c>
      <c r="Q36" s="44" t="s">
        <v>16</v>
      </c>
      <c r="R36" s="45">
        <v>8.0</v>
      </c>
      <c r="S36" s="29"/>
      <c r="T36" s="59"/>
      <c r="U36" s="30"/>
      <c r="V36" s="23"/>
      <c r="W36" s="30"/>
      <c r="X36" s="23"/>
      <c r="Y36" s="1"/>
      <c r="Z36" s="11"/>
      <c r="AA36" s="96" t="s">
        <v>37</v>
      </c>
      <c r="AB36" s="44">
        <v>3.0</v>
      </c>
      <c r="AC36" s="44" t="s">
        <v>16</v>
      </c>
      <c r="AD36" s="97">
        <v>8.0</v>
      </c>
      <c r="AE36" s="98"/>
      <c r="AF36" s="99"/>
      <c r="AG36" s="99"/>
      <c r="AH36" s="23"/>
      <c r="AI36" s="99"/>
      <c r="AJ36" s="23"/>
      <c r="AK36" s="33"/>
      <c r="AL36" s="11"/>
      <c r="AM36" s="96" t="s">
        <v>37</v>
      </c>
      <c r="AN36" s="44">
        <v>3.0</v>
      </c>
      <c r="AO36" s="44" t="s">
        <v>16</v>
      </c>
      <c r="AP36" s="97">
        <v>8.0</v>
      </c>
      <c r="AQ36" s="98"/>
      <c r="AR36" s="99"/>
      <c r="AS36" s="99"/>
      <c r="AT36" s="23"/>
      <c r="AU36" s="99"/>
      <c r="AV36" s="23"/>
    </row>
    <row r="37" ht="20.25" customHeight="1">
      <c r="A37" s="1"/>
      <c r="B37" s="1"/>
      <c r="C37" s="95" t="s">
        <v>94</v>
      </c>
      <c r="D37" s="45">
        <v>3.0</v>
      </c>
      <c r="E37" s="44" t="s">
        <v>16</v>
      </c>
      <c r="F37" s="45">
        <v>8.0</v>
      </c>
      <c r="G37" s="29"/>
      <c r="H37" s="59"/>
      <c r="I37" s="30"/>
      <c r="J37" s="23"/>
      <c r="K37" s="30"/>
      <c r="L37" s="23"/>
      <c r="M37" s="31"/>
      <c r="N37" s="1"/>
      <c r="O37" s="95" t="s">
        <v>94</v>
      </c>
      <c r="P37" s="45">
        <v>3.0</v>
      </c>
      <c r="Q37" s="44" t="s">
        <v>16</v>
      </c>
      <c r="R37" s="45">
        <v>8.0</v>
      </c>
      <c r="S37" s="29"/>
      <c r="T37" s="59"/>
      <c r="U37" s="30"/>
      <c r="V37" s="23"/>
      <c r="W37" s="30"/>
      <c r="X37" s="23"/>
      <c r="Y37" s="1"/>
      <c r="Z37" s="11"/>
      <c r="AA37" s="96" t="s">
        <v>94</v>
      </c>
      <c r="AB37" s="44">
        <v>3.0</v>
      </c>
      <c r="AC37" s="97" t="s">
        <v>16</v>
      </c>
      <c r="AD37" s="97">
        <v>8.0</v>
      </c>
      <c r="AE37" s="114"/>
      <c r="AF37" s="115"/>
      <c r="AG37" s="99"/>
      <c r="AH37" s="23"/>
      <c r="AI37" s="99"/>
      <c r="AJ37" s="23"/>
      <c r="AK37" s="33"/>
      <c r="AL37" s="11"/>
      <c r="AM37" s="96" t="s">
        <v>94</v>
      </c>
      <c r="AN37" s="44">
        <v>3.0</v>
      </c>
      <c r="AO37" s="97" t="s">
        <v>16</v>
      </c>
      <c r="AP37" s="97">
        <v>8.0</v>
      </c>
      <c r="AQ37" s="114"/>
      <c r="AR37" s="115"/>
      <c r="AS37" s="99"/>
      <c r="AT37" s="23"/>
      <c r="AU37" s="99"/>
      <c r="AV37" s="23"/>
    </row>
    <row r="38" ht="20.25" customHeight="1">
      <c r="A38" s="1"/>
      <c r="B38" s="1"/>
      <c r="C38" s="95" t="s">
        <v>20</v>
      </c>
      <c r="D38" s="60">
        <v>3.0</v>
      </c>
      <c r="E38" s="61" t="s">
        <v>16</v>
      </c>
      <c r="F38" s="45">
        <v>8.0</v>
      </c>
      <c r="G38" s="29"/>
      <c r="H38" s="29"/>
      <c r="I38" s="30"/>
      <c r="J38" s="23"/>
      <c r="K38" s="30"/>
      <c r="L38" s="23"/>
      <c r="M38" s="5"/>
      <c r="N38" s="1"/>
      <c r="O38" s="95" t="s">
        <v>20</v>
      </c>
      <c r="P38" s="60">
        <v>3.0</v>
      </c>
      <c r="Q38" s="61" t="s">
        <v>16</v>
      </c>
      <c r="R38" s="45">
        <v>8.0</v>
      </c>
      <c r="S38" s="29"/>
      <c r="T38" s="29"/>
      <c r="U38" s="30"/>
      <c r="V38" s="23"/>
      <c r="W38" s="30"/>
      <c r="X38" s="23"/>
      <c r="Y38" s="2"/>
      <c r="Z38" s="11"/>
      <c r="AA38" s="25" t="s">
        <v>20</v>
      </c>
      <c r="AB38" s="61">
        <v>3.0</v>
      </c>
      <c r="AC38" s="61" t="s">
        <v>16</v>
      </c>
      <c r="AD38" s="44">
        <v>8.0</v>
      </c>
      <c r="AE38" s="116"/>
      <c r="AF38" s="116"/>
      <c r="AG38" s="117"/>
      <c r="AH38" s="23"/>
      <c r="AI38" s="117"/>
      <c r="AJ38" s="23"/>
      <c r="AK38" s="2"/>
      <c r="AL38" s="11"/>
      <c r="AM38" s="25" t="s">
        <v>20</v>
      </c>
      <c r="AN38" s="61">
        <v>3.0</v>
      </c>
      <c r="AO38" s="61" t="s">
        <v>16</v>
      </c>
      <c r="AP38" s="44">
        <v>8.0</v>
      </c>
      <c r="AQ38" s="116"/>
      <c r="AR38" s="116"/>
      <c r="AS38" s="117"/>
      <c r="AT38" s="23"/>
      <c r="AU38" s="117"/>
      <c r="AV38" s="23"/>
    </row>
    <row r="39" ht="20.25" customHeight="1">
      <c r="A39" s="1"/>
      <c r="B39" s="16"/>
      <c r="C39" s="118" t="s">
        <v>95</v>
      </c>
      <c r="D39" s="44">
        <v>3.0</v>
      </c>
      <c r="E39" s="44" t="s">
        <v>16</v>
      </c>
      <c r="F39" s="45">
        <v>8.0</v>
      </c>
      <c r="G39" s="29"/>
      <c r="H39" s="29"/>
      <c r="I39" s="30"/>
      <c r="J39" s="23"/>
      <c r="K39" s="30"/>
      <c r="L39" s="23"/>
      <c r="M39" s="5"/>
      <c r="N39" s="16"/>
      <c r="O39" s="118" t="s">
        <v>95</v>
      </c>
      <c r="P39" s="44">
        <v>3.0</v>
      </c>
      <c r="Q39" s="44" t="s">
        <v>16</v>
      </c>
      <c r="R39" s="45">
        <v>8.0</v>
      </c>
      <c r="S39" s="29"/>
      <c r="T39" s="29"/>
      <c r="U39" s="30"/>
      <c r="V39" s="23"/>
      <c r="W39" s="30"/>
      <c r="X39" s="23"/>
      <c r="Y39" s="54"/>
      <c r="Z39" s="102"/>
      <c r="AA39" s="119" t="s">
        <v>95</v>
      </c>
      <c r="AB39" s="44">
        <v>3.0</v>
      </c>
      <c r="AC39" s="44" t="s">
        <v>16</v>
      </c>
      <c r="AD39" s="44">
        <v>8.0</v>
      </c>
      <c r="AE39" s="116"/>
      <c r="AF39" s="98"/>
      <c r="AG39" s="99"/>
      <c r="AH39" s="23"/>
      <c r="AI39" s="99"/>
      <c r="AJ39" s="23"/>
      <c r="AK39" s="3"/>
      <c r="AL39" s="102"/>
      <c r="AM39" s="119" t="s">
        <v>95</v>
      </c>
      <c r="AN39" s="44">
        <v>3.0</v>
      </c>
      <c r="AO39" s="44" t="s">
        <v>16</v>
      </c>
      <c r="AP39" s="44">
        <v>8.0</v>
      </c>
      <c r="AQ39" s="116"/>
      <c r="AR39" s="98"/>
      <c r="AS39" s="99"/>
      <c r="AT39" s="23"/>
      <c r="AU39" s="99"/>
      <c r="AV39" s="23"/>
    </row>
    <row r="40" ht="20.25" customHeight="1">
      <c r="A40" s="4"/>
      <c r="B40" s="16"/>
      <c r="C40" s="105" t="str">
        <f>HYPERLINK("https://youtu.be/h0XtRD5YUmo", "Overhead cable extension ")</f>
        <v>Overhead cable extension </v>
      </c>
      <c r="D40" s="44">
        <v>3.0</v>
      </c>
      <c r="E40" s="45" t="s">
        <v>16</v>
      </c>
      <c r="F40" s="45">
        <v>8.0</v>
      </c>
      <c r="G40" s="29"/>
      <c r="H40" s="62"/>
      <c r="I40" s="30"/>
      <c r="J40" s="23"/>
      <c r="K40" s="30"/>
      <c r="L40" s="23"/>
      <c r="M40" s="31"/>
      <c r="N40" s="16"/>
      <c r="O40" s="105" t="str">
        <f>HYPERLINK("https://youtu.be/h0XtRD5YUmo", "Overhead cable extension ")</f>
        <v>Overhead cable extension </v>
      </c>
      <c r="P40" s="44">
        <v>3.0</v>
      </c>
      <c r="Q40" s="45" t="s">
        <v>16</v>
      </c>
      <c r="R40" s="45">
        <v>8.0</v>
      </c>
      <c r="S40" s="29"/>
      <c r="T40" s="62"/>
      <c r="U40" s="30"/>
      <c r="V40" s="23"/>
      <c r="W40" s="30"/>
      <c r="X40" s="23"/>
      <c r="Y40" s="46"/>
      <c r="Z40" s="102"/>
      <c r="AA40" s="96" t="str">
        <f>HYPERLINK("https://youtu.be/h0XtRD5YUmo", "Overhead cable extension ")</f>
        <v>Overhead cable extension </v>
      </c>
      <c r="AB40" s="44">
        <v>3.0</v>
      </c>
      <c r="AC40" s="97" t="s">
        <v>16</v>
      </c>
      <c r="AD40" s="97">
        <v>8.0</v>
      </c>
      <c r="AE40" s="98"/>
      <c r="AF40" s="114"/>
      <c r="AG40" s="99"/>
      <c r="AH40" s="23"/>
      <c r="AI40" s="99"/>
      <c r="AJ40" s="23"/>
      <c r="AK40" s="33"/>
      <c r="AL40" s="102"/>
      <c r="AM40" s="96" t="str">
        <f>HYPERLINK("https://youtu.be/h0XtRD5YUmo", "Overhead cable extension ")</f>
        <v>Overhead cable extension </v>
      </c>
      <c r="AN40" s="44">
        <v>3.0</v>
      </c>
      <c r="AO40" s="97" t="s">
        <v>16</v>
      </c>
      <c r="AP40" s="97">
        <v>8.0</v>
      </c>
      <c r="AQ40" s="98"/>
      <c r="AR40" s="114"/>
      <c r="AS40" s="99"/>
      <c r="AT40" s="23"/>
      <c r="AU40" s="99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1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46"/>
      <c r="Z41" s="100"/>
      <c r="AA41" s="18"/>
      <c r="AB41" s="18"/>
      <c r="AC41" s="102"/>
      <c r="AD41" s="102"/>
      <c r="AE41" s="102"/>
      <c r="AF41" s="102"/>
      <c r="AG41" s="102"/>
      <c r="AH41" s="102"/>
      <c r="AI41" s="102"/>
      <c r="AJ41" s="102"/>
      <c r="AK41" s="33"/>
      <c r="AL41" s="100"/>
      <c r="AM41" s="18"/>
      <c r="AN41" s="18"/>
      <c r="AO41" s="102"/>
      <c r="AP41" s="102"/>
      <c r="AQ41" s="102"/>
      <c r="AR41" s="102"/>
      <c r="AS41" s="102"/>
      <c r="AT41" s="102"/>
      <c r="AU41" s="102"/>
      <c r="AV41" s="102"/>
    </row>
    <row r="42" ht="20.25" customHeight="1">
      <c r="A42" s="1"/>
      <c r="B42" s="16"/>
      <c r="C42" s="120" t="s">
        <v>96</v>
      </c>
      <c r="D42" s="40"/>
      <c r="E42" s="40"/>
      <c r="F42" s="1"/>
      <c r="G42" s="1"/>
      <c r="H42" s="1"/>
      <c r="I42" s="1"/>
      <c r="J42" s="1"/>
      <c r="K42" s="1"/>
      <c r="L42" s="1"/>
      <c r="M42" s="31"/>
      <c r="N42" s="16"/>
      <c r="O42" s="120" t="s">
        <v>96</v>
      </c>
      <c r="P42" s="40"/>
      <c r="Q42" s="40"/>
      <c r="R42" s="1"/>
      <c r="S42" s="1"/>
      <c r="T42" s="1"/>
      <c r="U42" s="1"/>
      <c r="V42" s="1"/>
      <c r="W42" s="1"/>
      <c r="X42" s="1"/>
      <c r="Y42" s="46"/>
      <c r="Z42" s="102"/>
      <c r="AA42" s="121" t="s">
        <v>96</v>
      </c>
      <c r="AB42" s="11"/>
      <c r="AC42" s="100"/>
      <c r="AD42" s="100"/>
      <c r="AE42" s="100"/>
      <c r="AF42" s="100"/>
      <c r="AG42" s="100"/>
      <c r="AH42" s="100"/>
      <c r="AI42" s="100"/>
      <c r="AJ42" s="100"/>
      <c r="AK42" s="33"/>
      <c r="AL42" s="102"/>
      <c r="AM42" s="121" t="s">
        <v>96</v>
      </c>
      <c r="AN42" s="11"/>
      <c r="AO42" s="100"/>
      <c r="AP42" s="100"/>
      <c r="AQ42" s="100"/>
      <c r="AR42" s="100"/>
      <c r="AS42" s="100"/>
      <c r="AT42" s="100"/>
      <c r="AU42" s="100"/>
      <c r="AV42" s="100"/>
    </row>
    <row r="43" ht="20.25" customHeight="1">
      <c r="A43" s="1"/>
      <c r="B43" s="122" t="s">
        <v>34</v>
      </c>
      <c r="C43" s="123" t="s">
        <v>6</v>
      </c>
      <c r="D43" s="21" t="s">
        <v>7</v>
      </c>
      <c r="E43" s="21" t="s">
        <v>8</v>
      </c>
      <c r="F43" s="20" t="s">
        <v>9</v>
      </c>
      <c r="G43" s="21" t="s">
        <v>10</v>
      </c>
      <c r="H43" s="21" t="s">
        <v>11</v>
      </c>
      <c r="I43" s="22" t="s">
        <v>12</v>
      </c>
      <c r="J43" s="23"/>
      <c r="K43" s="22" t="s">
        <v>13</v>
      </c>
      <c r="L43" s="23"/>
      <c r="M43" s="31"/>
      <c r="N43" s="122" t="s">
        <v>34</v>
      </c>
      <c r="O43" s="123" t="s">
        <v>6</v>
      </c>
      <c r="P43" s="21" t="s">
        <v>7</v>
      </c>
      <c r="Q43" s="21" t="s">
        <v>8</v>
      </c>
      <c r="R43" s="20" t="s">
        <v>9</v>
      </c>
      <c r="S43" s="21" t="s">
        <v>10</v>
      </c>
      <c r="T43" s="21" t="s">
        <v>11</v>
      </c>
      <c r="U43" s="22" t="s">
        <v>12</v>
      </c>
      <c r="V43" s="23"/>
      <c r="W43" s="22" t="s">
        <v>13</v>
      </c>
      <c r="X43" s="23"/>
      <c r="Y43" s="46"/>
      <c r="Z43" s="124" t="s">
        <v>34</v>
      </c>
      <c r="AA43" s="125" t="s">
        <v>6</v>
      </c>
      <c r="AB43" s="92" t="s">
        <v>7</v>
      </c>
      <c r="AC43" s="93" t="s">
        <v>8</v>
      </c>
      <c r="AD43" s="93" t="s">
        <v>9</v>
      </c>
      <c r="AE43" s="93" t="s">
        <v>10</v>
      </c>
      <c r="AF43" s="93" t="s">
        <v>11</v>
      </c>
      <c r="AG43" s="94" t="s">
        <v>12</v>
      </c>
      <c r="AH43" s="23"/>
      <c r="AI43" s="94" t="s">
        <v>13</v>
      </c>
      <c r="AJ43" s="23"/>
      <c r="AK43" s="33"/>
      <c r="AL43" s="124" t="s">
        <v>34</v>
      </c>
      <c r="AM43" s="125" t="s">
        <v>6</v>
      </c>
      <c r="AN43" s="92" t="s">
        <v>7</v>
      </c>
      <c r="AO43" s="93" t="s">
        <v>8</v>
      </c>
      <c r="AP43" s="93" t="s">
        <v>9</v>
      </c>
      <c r="AQ43" s="93" t="s">
        <v>10</v>
      </c>
      <c r="AR43" s="93" t="s">
        <v>11</v>
      </c>
      <c r="AS43" s="94" t="s">
        <v>12</v>
      </c>
      <c r="AT43" s="23"/>
      <c r="AU43" s="94" t="s">
        <v>13</v>
      </c>
      <c r="AV43" s="23"/>
    </row>
    <row r="44" ht="20.25" customHeight="1">
      <c r="A44" s="4"/>
      <c r="B44" s="1"/>
      <c r="C44" s="95" t="s">
        <v>97</v>
      </c>
      <c r="D44" s="44">
        <v>3.0</v>
      </c>
      <c r="E44" s="45">
        <v>8.0</v>
      </c>
      <c r="F44" s="45">
        <v>8.0</v>
      </c>
      <c r="G44" s="42"/>
      <c r="H44" s="29"/>
      <c r="I44" s="30"/>
      <c r="J44" s="23"/>
      <c r="K44" s="30"/>
      <c r="L44" s="23"/>
      <c r="M44" s="31"/>
      <c r="N44" s="1"/>
      <c r="O44" s="95" t="s">
        <v>97</v>
      </c>
      <c r="P44" s="44">
        <v>3.0</v>
      </c>
      <c r="Q44" s="45">
        <v>8.0</v>
      </c>
      <c r="R44" s="45">
        <v>8.0</v>
      </c>
      <c r="S44" s="42"/>
      <c r="T44" s="29"/>
      <c r="U44" s="30"/>
      <c r="V44" s="23"/>
      <c r="W44" s="30"/>
      <c r="X44" s="23"/>
      <c r="Y44" s="46"/>
      <c r="Z44" s="100"/>
      <c r="AA44" s="25" t="s">
        <v>97</v>
      </c>
      <c r="AB44" s="44">
        <v>3.0</v>
      </c>
      <c r="AC44" s="97">
        <v>8.0</v>
      </c>
      <c r="AD44" s="97">
        <v>8.0</v>
      </c>
      <c r="AE44" s="98"/>
      <c r="AF44" s="98"/>
      <c r="AG44" s="99"/>
      <c r="AH44" s="23"/>
      <c r="AI44" s="99"/>
      <c r="AJ44" s="23"/>
      <c r="AK44" s="33"/>
      <c r="AL44" s="100"/>
      <c r="AM44" s="25" t="s">
        <v>97</v>
      </c>
      <c r="AN44" s="44">
        <v>3.0</v>
      </c>
      <c r="AO44" s="97">
        <v>8.0</v>
      </c>
      <c r="AP44" s="97">
        <v>8.0</v>
      </c>
      <c r="AQ44" s="98"/>
      <c r="AR44" s="98"/>
      <c r="AS44" s="99"/>
      <c r="AT44" s="23"/>
      <c r="AU44" s="99"/>
      <c r="AV44" s="23"/>
    </row>
    <row r="45" ht="20.25" customHeight="1">
      <c r="A45" s="1"/>
      <c r="B45" s="1"/>
      <c r="C45" s="126" t="s">
        <v>18</v>
      </c>
      <c r="D45" s="44">
        <v>3.0</v>
      </c>
      <c r="E45" s="45" t="s">
        <v>98</v>
      </c>
      <c r="F45" s="45">
        <v>8.0</v>
      </c>
      <c r="G45" s="29"/>
      <c r="H45" s="29"/>
      <c r="I45" s="30"/>
      <c r="J45" s="23"/>
      <c r="K45" s="30"/>
      <c r="L45" s="23"/>
      <c r="M45" s="31"/>
      <c r="N45" s="1"/>
      <c r="O45" s="126" t="s">
        <v>18</v>
      </c>
      <c r="P45" s="44">
        <v>3.0</v>
      </c>
      <c r="Q45" s="45" t="s">
        <v>98</v>
      </c>
      <c r="R45" s="45">
        <v>8.0</v>
      </c>
      <c r="S45" s="29"/>
      <c r="T45" s="29"/>
      <c r="U45" s="30"/>
      <c r="V45" s="23"/>
      <c r="W45" s="30"/>
      <c r="X45" s="23"/>
      <c r="Y45" s="46"/>
      <c r="Z45" s="100"/>
      <c r="AA45" s="96" t="s">
        <v>18</v>
      </c>
      <c r="AB45" s="44">
        <v>3.0</v>
      </c>
      <c r="AC45" s="127" t="s">
        <v>98</v>
      </c>
      <c r="AD45" s="97">
        <v>8.0</v>
      </c>
      <c r="AE45" s="98"/>
      <c r="AF45" s="98"/>
      <c r="AG45" s="99"/>
      <c r="AH45" s="23"/>
      <c r="AI45" s="99"/>
      <c r="AJ45" s="23"/>
      <c r="AK45" s="33"/>
      <c r="AL45" s="100"/>
      <c r="AM45" s="96" t="s">
        <v>18</v>
      </c>
      <c r="AN45" s="44">
        <v>3.0</v>
      </c>
      <c r="AO45" s="127" t="s">
        <v>98</v>
      </c>
      <c r="AP45" s="97">
        <v>8.0</v>
      </c>
      <c r="AQ45" s="98"/>
      <c r="AR45" s="98"/>
      <c r="AS45" s="99"/>
      <c r="AT45" s="23"/>
      <c r="AU45" s="99"/>
      <c r="AV45" s="23"/>
    </row>
    <row r="46" ht="20.25" customHeight="1">
      <c r="A46" s="1"/>
      <c r="B46" s="1"/>
      <c r="C46" s="126" t="s">
        <v>27</v>
      </c>
      <c r="D46" s="44">
        <v>3.0</v>
      </c>
      <c r="E46" s="45" t="s">
        <v>16</v>
      </c>
      <c r="F46" s="45">
        <v>8.0</v>
      </c>
      <c r="G46" s="29"/>
      <c r="H46" s="29"/>
      <c r="I46" s="30"/>
      <c r="J46" s="23"/>
      <c r="K46" s="30"/>
      <c r="L46" s="23"/>
      <c r="M46" s="17"/>
      <c r="N46" s="1"/>
      <c r="O46" s="126" t="s">
        <v>27</v>
      </c>
      <c r="P46" s="44">
        <v>3.0</v>
      </c>
      <c r="Q46" s="45" t="s">
        <v>16</v>
      </c>
      <c r="R46" s="45">
        <v>8.0</v>
      </c>
      <c r="S46" s="29"/>
      <c r="T46" s="29"/>
      <c r="U46" s="30"/>
      <c r="V46" s="23"/>
      <c r="W46" s="30"/>
      <c r="X46" s="23"/>
      <c r="Y46" s="128"/>
      <c r="Z46" s="11"/>
      <c r="AA46" s="96" t="s">
        <v>27</v>
      </c>
      <c r="AB46" s="97">
        <v>3.0</v>
      </c>
      <c r="AC46" s="97" t="s">
        <v>16</v>
      </c>
      <c r="AD46" s="97">
        <v>8.0</v>
      </c>
      <c r="AE46" s="98"/>
      <c r="AF46" s="98"/>
      <c r="AG46" s="99"/>
      <c r="AH46" s="23"/>
      <c r="AI46" s="99"/>
      <c r="AJ46" s="23"/>
      <c r="AK46" s="4"/>
      <c r="AL46" s="11"/>
      <c r="AM46" s="96" t="s">
        <v>27</v>
      </c>
      <c r="AN46" s="97">
        <v>3.0</v>
      </c>
      <c r="AO46" s="97" t="s">
        <v>16</v>
      </c>
      <c r="AP46" s="97">
        <v>8.0</v>
      </c>
      <c r="AQ46" s="98"/>
      <c r="AR46" s="98"/>
      <c r="AS46" s="99"/>
      <c r="AT46" s="23"/>
      <c r="AU46" s="99"/>
      <c r="AV46" s="23"/>
    </row>
    <row r="47" ht="20.25" customHeight="1">
      <c r="A47" s="1"/>
      <c r="B47" s="1"/>
      <c r="C47" s="105" t="s">
        <v>99</v>
      </c>
      <c r="D47" s="44">
        <v>3.0</v>
      </c>
      <c r="E47" s="45" t="s">
        <v>16</v>
      </c>
      <c r="F47" s="45">
        <v>8.0</v>
      </c>
      <c r="G47" s="29"/>
      <c r="H47" s="29"/>
      <c r="I47" s="30"/>
      <c r="J47" s="23"/>
      <c r="K47" s="30"/>
      <c r="L47" s="23"/>
      <c r="M47" s="5"/>
      <c r="N47" s="1"/>
      <c r="O47" s="105" t="s">
        <v>99</v>
      </c>
      <c r="P47" s="44">
        <v>3.0</v>
      </c>
      <c r="Q47" s="45" t="s">
        <v>16</v>
      </c>
      <c r="R47" s="45">
        <v>8.0</v>
      </c>
      <c r="S47" s="29"/>
      <c r="T47" s="29"/>
      <c r="U47" s="30"/>
      <c r="V47" s="23"/>
      <c r="W47" s="30"/>
      <c r="X47" s="23"/>
      <c r="Y47" s="2"/>
      <c r="Z47" s="11"/>
      <c r="AA47" s="25" t="s">
        <v>99</v>
      </c>
      <c r="AB47" s="44">
        <v>3.0</v>
      </c>
      <c r="AC47" s="44" t="s">
        <v>16</v>
      </c>
      <c r="AD47" s="44">
        <v>8.0</v>
      </c>
      <c r="AE47" s="116"/>
      <c r="AF47" s="116"/>
      <c r="AG47" s="117"/>
      <c r="AH47" s="23"/>
      <c r="AI47" s="117"/>
      <c r="AJ47" s="23"/>
      <c r="AK47" s="2"/>
      <c r="AL47" s="11"/>
      <c r="AM47" s="25" t="s">
        <v>99</v>
      </c>
      <c r="AN47" s="44">
        <v>3.0</v>
      </c>
      <c r="AO47" s="44" t="s">
        <v>16</v>
      </c>
      <c r="AP47" s="44">
        <v>8.0</v>
      </c>
      <c r="AQ47" s="116"/>
      <c r="AR47" s="116"/>
      <c r="AS47" s="117"/>
      <c r="AT47" s="23"/>
      <c r="AU47" s="117"/>
      <c r="AV47" s="23"/>
    </row>
    <row r="48" ht="20.25" customHeight="1">
      <c r="A48" s="1"/>
      <c r="B48" s="1"/>
      <c r="C48" s="126" t="s">
        <v>100</v>
      </c>
      <c r="D48" s="44">
        <v>3.0</v>
      </c>
      <c r="E48" s="45" t="s">
        <v>16</v>
      </c>
      <c r="F48" s="45">
        <v>8.0</v>
      </c>
      <c r="G48" s="29"/>
      <c r="H48" s="29"/>
      <c r="I48" s="30"/>
      <c r="J48" s="23"/>
      <c r="K48" s="30"/>
      <c r="L48" s="23"/>
      <c r="M48" s="5"/>
      <c r="N48" s="1"/>
      <c r="O48" s="126" t="s">
        <v>100</v>
      </c>
      <c r="P48" s="44">
        <v>3.0</v>
      </c>
      <c r="Q48" s="45" t="s">
        <v>16</v>
      </c>
      <c r="R48" s="45">
        <v>8.0</v>
      </c>
      <c r="S48" s="29"/>
      <c r="T48" s="29"/>
      <c r="U48" s="30"/>
      <c r="V48" s="23"/>
      <c r="W48" s="30"/>
      <c r="X48" s="23"/>
      <c r="Y48" s="3"/>
      <c r="Z48" s="11"/>
      <c r="AA48" s="25" t="s">
        <v>100</v>
      </c>
      <c r="AB48" s="44">
        <v>3.0</v>
      </c>
      <c r="AC48" s="44" t="s">
        <v>16</v>
      </c>
      <c r="AD48" s="44">
        <v>8.0</v>
      </c>
      <c r="AE48" s="116"/>
      <c r="AF48" s="116"/>
      <c r="AG48" s="117"/>
      <c r="AH48" s="23"/>
      <c r="AI48" s="117"/>
      <c r="AJ48" s="23"/>
      <c r="AK48" s="2"/>
      <c r="AL48" s="11"/>
      <c r="AM48" s="25" t="s">
        <v>100</v>
      </c>
      <c r="AN48" s="44">
        <v>3.0</v>
      </c>
      <c r="AO48" s="44" t="s">
        <v>16</v>
      </c>
      <c r="AP48" s="44">
        <v>8.0</v>
      </c>
      <c r="AQ48" s="116"/>
      <c r="AR48" s="116"/>
      <c r="AS48" s="117"/>
      <c r="AT48" s="23"/>
      <c r="AU48" s="117"/>
      <c r="AV48" s="23"/>
    </row>
    <row r="49" ht="20.25" customHeight="1">
      <c r="A49" s="1"/>
      <c r="B49" s="16"/>
      <c r="C49" s="105" t="s">
        <v>101</v>
      </c>
      <c r="D49" s="44">
        <v>3.0</v>
      </c>
      <c r="E49" s="53">
        <v>45211.0</v>
      </c>
      <c r="F49" s="45">
        <v>8.0</v>
      </c>
      <c r="G49" s="29"/>
      <c r="H49" s="29"/>
      <c r="I49" s="30"/>
      <c r="J49" s="23"/>
      <c r="K49" s="30"/>
      <c r="L49" s="23"/>
      <c r="M49" s="5"/>
      <c r="N49" s="16"/>
      <c r="O49" s="105" t="s">
        <v>101</v>
      </c>
      <c r="P49" s="44">
        <v>3.0</v>
      </c>
      <c r="Q49" s="53">
        <v>45211.0</v>
      </c>
      <c r="R49" s="45">
        <v>8.0</v>
      </c>
      <c r="S49" s="29"/>
      <c r="T49" s="29"/>
      <c r="U49" s="30"/>
      <c r="V49" s="23"/>
      <c r="W49" s="30"/>
      <c r="X49" s="23"/>
      <c r="Y49" s="64"/>
      <c r="Z49" s="18"/>
      <c r="AA49" s="25" t="s">
        <v>101</v>
      </c>
      <c r="AB49" s="44">
        <v>3.0</v>
      </c>
      <c r="AC49" s="127">
        <v>45211.0</v>
      </c>
      <c r="AD49" s="44">
        <v>8.0</v>
      </c>
      <c r="AE49" s="116"/>
      <c r="AF49" s="116"/>
      <c r="AG49" s="117"/>
      <c r="AH49" s="23"/>
      <c r="AI49" s="117"/>
      <c r="AJ49" s="23"/>
      <c r="AK49" s="2"/>
      <c r="AL49" s="18"/>
      <c r="AM49" s="25" t="s">
        <v>101</v>
      </c>
      <c r="AN49" s="44">
        <v>3.0</v>
      </c>
      <c r="AO49" s="127">
        <v>45211.0</v>
      </c>
      <c r="AP49" s="44">
        <v>8.0</v>
      </c>
      <c r="AQ49" s="116"/>
      <c r="AR49" s="116"/>
      <c r="AS49" s="117"/>
      <c r="AT49" s="23"/>
      <c r="AU49" s="117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38" t="s">
        <v>22</v>
      </c>
      <c r="D51" s="39"/>
      <c r="E51" s="39"/>
      <c r="F51" s="39"/>
      <c r="G51" s="39"/>
      <c r="H51" s="39"/>
      <c r="I51" s="39"/>
      <c r="J51" s="39"/>
      <c r="K51" s="39"/>
      <c r="L51" s="23"/>
      <c r="M51" s="5"/>
      <c r="N51" s="1"/>
      <c r="O51" s="38" t="s">
        <v>22</v>
      </c>
      <c r="P51" s="39"/>
      <c r="Q51" s="39"/>
      <c r="R51" s="39"/>
      <c r="S51" s="39"/>
      <c r="T51" s="39"/>
      <c r="U51" s="39"/>
      <c r="V51" s="39"/>
      <c r="W51" s="39"/>
      <c r="X51" s="23"/>
      <c r="Y51" s="2"/>
      <c r="Z51" s="11"/>
      <c r="AA51" s="110" t="s">
        <v>22</v>
      </c>
      <c r="AB51" s="39"/>
      <c r="AC51" s="39"/>
      <c r="AD51" s="39"/>
      <c r="AE51" s="39"/>
      <c r="AF51" s="39"/>
      <c r="AG51" s="39"/>
      <c r="AH51" s="39"/>
      <c r="AI51" s="39"/>
      <c r="AJ51" s="23"/>
      <c r="AK51" s="2"/>
      <c r="AL51" s="11"/>
      <c r="AM51" s="110" t="s">
        <v>22</v>
      </c>
      <c r="AN51" s="39"/>
      <c r="AO51" s="39"/>
      <c r="AP51" s="39"/>
      <c r="AQ51" s="39"/>
      <c r="AR51" s="39"/>
      <c r="AS51" s="39"/>
      <c r="AT51" s="39"/>
      <c r="AU51" s="39"/>
      <c r="AV51" s="23"/>
    </row>
    <row r="52" ht="20.25" customHeight="1">
      <c r="A52" s="1"/>
      <c r="B52" s="16"/>
      <c r="C52" s="16"/>
      <c r="D52" s="16"/>
      <c r="E52" s="16"/>
      <c r="F52" s="16"/>
      <c r="G52" s="63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63"/>
      <c r="T52" s="1"/>
      <c r="U52" s="1"/>
      <c r="V52" s="1"/>
      <c r="W52" s="1"/>
      <c r="X52" s="1"/>
      <c r="Y52" s="64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63"/>
      <c r="H53" s="65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65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66" t="s">
        <v>43</v>
      </c>
      <c r="C54" s="9"/>
      <c r="D54" s="9"/>
      <c r="E54" s="9"/>
      <c r="F54" s="10"/>
      <c r="G54" s="67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67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68" t="s">
        <v>6</v>
      </c>
      <c r="C56" s="9"/>
      <c r="D56" s="10"/>
      <c r="E56" s="69" t="s">
        <v>7</v>
      </c>
      <c r="F56" s="69" t="s">
        <v>44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70"/>
      <c r="F57" s="70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71" t="s">
        <v>45</v>
      </c>
      <c r="C58" s="9"/>
      <c r="D58" s="9"/>
      <c r="E58" s="9"/>
      <c r="F58" s="10"/>
      <c r="G58" s="7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7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73" t="s">
        <v>46</v>
      </c>
      <c r="C60" s="9"/>
      <c r="D60" s="10"/>
      <c r="E60" s="74">
        <v>1.0</v>
      </c>
      <c r="F60" s="75" t="s">
        <v>47</v>
      </c>
      <c r="G60" s="76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70"/>
      <c r="F61" s="70"/>
      <c r="G61" s="76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73" t="s">
        <v>48</v>
      </c>
      <c r="C62" s="9"/>
      <c r="D62" s="10"/>
      <c r="E62" s="74">
        <v>1.0</v>
      </c>
      <c r="F62" s="75" t="s">
        <v>49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70"/>
      <c r="F63" s="70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77" t="s">
        <v>50</v>
      </c>
      <c r="C64" s="9"/>
      <c r="D64" s="10"/>
      <c r="E64" s="78">
        <v>1.0</v>
      </c>
      <c r="F64" s="79" t="s">
        <v>49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70"/>
      <c r="F65" s="70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29" t="s">
        <v>102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29" t="s">
        <v>103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29" t="s">
        <v>104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29"/>
      <c r="C72" s="81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29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82"/>
      <c r="E76" s="82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82"/>
      <c r="E77" s="82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82"/>
      <c r="E78" s="82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82"/>
      <c r="E79" s="82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82"/>
      <c r="E80" s="82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40"/>
      <c r="E95" s="4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40"/>
      <c r="E96" s="4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83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83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83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83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83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83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83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83"/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83"/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83"/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56"/>
      <c r="C170" s="58"/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56"/>
      <c r="C171" s="58"/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56"/>
      <c r="C172" s="58"/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84" t="s">
        <v>51</v>
      </c>
      <c r="C173" s="85" t="s">
        <v>52</v>
      </c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84" t="s">
        <v>53</v>
      </c>
      <c r="C174" s="85" t="s">
        <v>54</v>
      </c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84" t="s">
        <v>55</v>
      </c>
      <c r="C175" s="86">
        <v>24.0</v>
      </c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84" t="s">
        <v>56</v>
      </c>
      <c r="C176" s="86">
        <v>174.5</v>
      </c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84" t="s">
        <v>57</v>
      </c>
      <c r="C177" s="86">
        <v>78.0</v>
      </c>
      <c r="D177" s="40"/>
      <c r="E177" s="4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84" t="s">
        <v>58</v>
      </c>
      <c r="C178" s="87" t="s">
        <v>59</v>
      </c>
      <c r="D178" s="40"/>
      <c r="E178" s="4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84" t="s">
        <v>60</v>
      </c>
      <c r="C179" s="87" t="s">
        <v>61</v>
      </c>
      <c r="D179" s="40"/>
      <c r="E179" s="4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84" t="s">
        <v>62</v>
      </c>
      <c r="C180" s="87" t="s">
        <v>63</v>
      </c>
      <c r="D180" s="40"/>
      <c r="E180" s="4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84" t="s">
        <v>64</v>
      </c>
      <c r="C181" s="87" t="s">
        <v>65</v>
      </c>
      <c r="D181" s="40"/>
      <c r="E181" s="4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84" t="s">
        <v>66</v>
      </c>
      <c r="C182" s="87" t="s">
        <v>67</v>
      </c>
      <c r="D182" s="40"/>
      <c r="E182" s="4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56"/>
      <c r="B183" s="84" t="s">
        <v>68</v>
      </c>
      <c r="C183" s="86" t="s">
        <v>69</v>
      </c>
      <c r="D183" s="88"/>
      <c r="E183" s="88"/>
      <c r="F183" s="56"/>
      <c r="G183" s="56"/>
      <c r="H183" s="56"/>
      <c r="I183" s="56"/>
      <c r="J183" s="56"/>
      <c r="K183" s="56"/>
      <c r="L183" s="56"/>
      <c r="M183" s="5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</row>
    <row r="184" ht="20.25" customHeight="1">
      <c r="A184" s="56"/>
      <c r="B184" s="84" t="s">
        <v>70</v>
      </c>
      <c r="C184" s="86">
        <v>0.0</v>
      </c>
      <c r="D184" s="88"/>
      <c r="E184" s="88"/>
      <c r="F184" s="56"/>
      <c r="G184" s="56"/>
      <c r="H184" s="56"/>
      <c r="I184" s="56"/>
      <c r="J184" s="56"/>
      <c r="K184" s="56"/>
      <c r="L184" s="56"/>
      <c r="M184" s="5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</row>
    <row r="185" ht="20.25" customHeight="1">
      <c r="A185" s="56"/>
      <c r="B185" s="84" t="s">
        <v>71</v>
      </c>
      <c r="C185" s="87" t="s">
        <v>72</v>
      </c>
      <c r="D185" s="88"/>
      <c r="E185" s="88"/>
      <c r="F185" s="56"/>
      <c r="G185" s="56"/>
      <c r="H185" s="56"/>
      <c r="I185" s="56"/>
      <c r="J185" s="56"/>
      <c r="K185" s="56"/>
      <c r="L185" s="56"/>
      <c r="M185" s="5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</row>
    <row r="186" ht="20.25" customHeight="1">
      <c r="A186" s="56"/>
      <c r="B186" s="84" t="s">
        <v>73</v>
      </c>
      <c r="C186" s="85" t="s">
        <v>74</v>
      </c>
      <c r="D186" s="88"/>
      <c r="E186" s="88"/>
      <c r="F186" s="56"/>
      <c r="G186" s="56"/>
      <c r="H186" s="56"/>
      <c r="I186" s="56"/>
      <c r="J186" s="56"/>
      <c r="K186" s="56"/>
      <c r="L186" s="56"/>
      <c r="M186" s="5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</row>
    <row r="187" ht="20.25" customHeight="1">
      <c r="A187" s="56"/>
      <c r="B187" s="89"/>
      <c r="C187" s="89"/>
      <c r="D187" s="88"/>
      <c r="E187" s="88"/>
      <c r="F187" s="56"/>
      <c r="G187" s="56"/>
      <c r="H187" s="56"/>
      <c r="I187" s="56"/>
      <c r="J187" s="56"/>
      <c r="K187" s="56"/>
      <c r="L187" s="56"/>
      <c r="M187" s="5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</row>
    <row r="188" ht="20.25" customHeight="1">
      <c r="A188" s="56"/>
      <c r="B188" s="89"/>
      <c r="C188" s="89"/>
      <c r="D188" s="88"/>
      <c r="E188" s="88"/>
      <c r="F188" s="56"/>
      <c r="G188" s="56"/>
      <c r="H188" s="56"/>
      <c r="I188" s="56"/>
      <c r="J188" s="56"/>
      <c r="K188" s="56"/>
      <c r="L188" s="56"/>
      <c r="M188" s="5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</row>
    <row r="189" ht="20.25" customHeight="1">
      <c r="A189" s="56"/>
      <c r="B189" s="89"/>
      <c r="C189" s="89"/>
      <c r="D189" s="88"/>
      <c r="E189" s="88"/>
      <c r="F189" s="56"/>
      <c r="G189" s="56"/>
      <c r="H189" s="56"/>
      <c r="I189" s="56"/>
      <c r="J189" s="56"/>
      <c r="K189" s="56"/>
      <c r="L189" s="56"/>
      <c r="M189" s="5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</row>
    <row r="190" ht="20.25" customHeight="1">
      <c r="A190" s="56"/>
      <c r="B190" s="89"/>
      <c r="C190" s="90"/>
      <c r="D190" s="88"/>
      <c r="E190" s="88"/>
      <c r="F190" s="56"/>
      <c r="G190" s="56"/>
      <c r="H190" s="56"/>
      <c r="I190" s="56"/>
      <c r="J190" s="56"/>
      <c r="K190" s="56"/>
      <c r="L190" s="56"/>
      <c r="M190" s="5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</row>
    <row r="191" ht="20.25" customHeight="1">
      <c r="A191" s="56"/>
      <c r="B191" s="56"/>
      <c r="C191" s="56"/>
      <c r="D191" s="88"/>
      <c r="E191" s="88"/>
      <c r="F191" s="56"/>
      <c r="G191" s="56"/>
      <c r="H191" s="56"/>
      <c r="I191" s="56"/>
      <c r="J191" s="56"/>
      <c r="K191" s="56"/>
      <c r="L191" s="56"/>
      <c r="M191" s="5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</row>
    <row r="192" ht="20.25" customHeight="1">
      <c r="A192" s="1"/>
      <c r="B192" s="56"/>
      <c r="C192" s="56"/>
      <c r="D192" s="40"/>
      <c r="E192" s="4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56"/>
      <c r="C193" s="56"/>
      <c r="D193" s="40"/>
      <c r="E193" s="4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83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83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83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83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83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83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83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83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83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83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83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83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83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83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83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83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83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83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83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83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83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83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83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83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83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83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83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83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83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83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83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83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83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83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83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83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83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83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83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83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83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83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83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83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83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83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83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83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83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83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83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83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83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83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83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83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83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83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83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83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83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83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83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83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83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83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83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83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83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83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83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83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83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83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83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83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83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83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83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83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83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83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83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83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83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83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83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83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83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83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83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83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83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83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83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83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83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83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83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83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83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83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83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83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83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83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83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83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83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83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83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83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83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83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83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83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83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83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83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83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83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83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83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83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83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83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83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83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83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83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83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83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83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83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83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83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83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83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83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83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83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83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83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83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83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83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83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83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83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83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83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83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83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83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83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83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83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83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83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83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83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83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83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83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83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83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83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83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83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83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83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83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83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83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83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83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83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83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83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83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83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83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83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83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83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83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83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83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83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83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83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83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83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83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83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83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83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83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83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83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83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83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83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83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83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83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83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83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83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83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83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83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83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83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83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83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83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83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83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83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83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83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83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83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83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83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83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83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83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83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83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83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83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83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83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83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83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83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83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83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83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83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83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83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83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83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83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83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83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83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83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83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83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83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83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83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83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83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83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83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83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83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83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83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83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83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83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83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83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83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83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83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83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83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83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83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83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83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83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83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83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83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83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83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83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83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83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83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83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83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83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83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83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83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83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83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83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83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83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83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83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83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83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83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83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83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83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83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83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83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83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83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83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83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83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83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83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83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83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83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83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83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83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83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83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83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83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83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83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83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83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83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83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83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83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83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83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83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83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83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83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83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83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83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83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83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83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83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83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83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83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83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83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83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83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83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83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83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83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83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83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83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83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83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83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83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83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83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83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83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83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83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83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83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83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83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83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83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83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83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83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83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83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83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83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83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83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83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83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83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83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83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83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83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83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83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83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83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83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83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83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83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83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83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83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83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83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83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83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83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83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83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83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83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83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83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83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83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83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83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83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83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83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83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83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83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83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83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83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83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83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83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83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83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83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83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83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83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83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83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83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83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83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83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83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83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83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83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83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83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83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83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83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83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83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83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83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83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83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83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83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83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83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83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83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83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83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83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83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83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83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83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83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83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83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83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83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83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83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83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83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83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83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83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83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83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83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83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83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83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83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83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83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83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83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83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83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83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83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83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83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83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83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83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83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83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83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83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83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83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83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83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83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83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83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83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83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83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83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83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83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83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83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83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83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83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83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83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83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83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83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83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83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83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83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83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83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83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83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83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83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83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83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83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83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83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83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83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83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83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83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83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83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83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83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83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83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83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83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83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83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83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83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83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83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83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83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83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83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83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83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83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83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83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83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83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83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83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83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83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83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83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83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83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83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83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83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83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83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83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83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83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83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83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83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83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83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83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83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83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83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83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83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83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83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83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83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83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83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83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83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83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83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83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83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83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83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83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83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83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83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83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83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83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83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83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83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83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83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83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83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83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83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83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83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83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83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83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83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83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83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83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83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83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83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83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83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83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83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83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83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83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83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83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83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83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83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83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83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83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83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83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83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83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83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83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83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83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83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83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83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83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83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83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83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83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83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83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83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83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83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83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83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83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83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83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83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83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83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83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83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83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83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83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83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83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83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83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83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83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83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83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83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83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83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83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83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83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83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83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83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83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83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83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83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83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83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83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83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83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83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83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83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83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83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83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83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83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83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83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83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83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83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83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83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83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83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83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83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83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83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83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83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83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83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83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83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83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83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83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83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83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83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83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83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83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83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83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83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83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83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83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83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83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83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83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83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83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83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83"/>
      <c r="D963" s="40"/>
      <c r="E963" s="4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83"/>
      <c r="D964" s="40"/>
      <c r="E964" s="4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83"/>
      <c r="D965" s="40"/>
      <c r="E965" s="4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83"/>
      <c r="D966" s="40"/>
      <c r="E966" s="4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83"/>
      <c r="D967" s="40"/>
      <c r="E967" s="4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40"/>
      <c r="E968" s="4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40"/>
      <c r="E969" s="4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40"/>
      <c r="E970" s="4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40"/>
      <c r="E971" s="4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0"/>
      <c r="E973" s="4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0"/>
      <c r="E974" s="4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0"/>
      <c r="E975" s="4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0"/>
      <c r="E976" s="4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0"/>
      <c r="E977" s="4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0"/>
      <c r="E978" s="4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30"/>
      <c r="B1" s="130"/>
      <c r="C1" s="130"/>
      <c r="D1" s="130"/>
      <c r="E1" s="130"/>
      <c r="F1" s="131"/>
      <c r="G1" s="131"/>
      <c r="H1" s="131"/>
      <c r="I1" s="131"/>
      <c r="J1" s="131"/>
      <c r="K1" s="131"/>
      <c r="L1" s="16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</row>
    <row r="2">
      <c r="A2" s="130"/>
      <c r="B2" s="130"/>
      <c r="C2" s="130"/>
      <c r="D2" s="130"/>
      <c r="E2" s="130"/>
      <c r="F2" s="131"/>
      <c r="G2" s="131"/>
      <c r="H2" s="131"/>
      <c r="I2" s="131"/>
      <c r="J2" s="131"/>
      <c r="K2" s="131"/>
      <c r="L2" s="16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</row>
    <row r="3" ht="217.5" customHeight="1">
      <c r="A3" s="132"/>
      <c r="B3" s="132"/>
      <c r="C3" s="16"/>
      <c r="D3" s="16"/>
      <c r="E3" s="16"/>
      <c r="F3" s="16"/>
      <c r="G3" s="16"/>
      <c r="H3" s="132"/>
      <c r="I3" s="16"/>
      <c r="J3" s="16"/>
      <c r="K3" s="16"/>
      <c r="L3" s="16"/>
      <c r="M3" s="131"/>
      <c r="N3" s="133"/>
      <c r="O3" s="131"/>
      <c r="P3" s="132"/>
      <c r="Q3" s="132"/>
      <c r="R3" s="132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</row>
    <row r="4" ht="75.0" customHeight="1">
      <c r="A4" s="132"/>
      <c r="B4" s="132"/>
      <c r="C4" s="16"/>
      <c r="D4" s="16"/>
      <c r="E4" s="16"/>
      <c r="F4" s="16"/>
      <c r="G4" s="16"/>
      <c r="H4" s="132"/>
      <c r="I4" s="16"/>
      <c r="J4" s="16"/>
      <c r="K4" s="16"/>
      <c r="L4" s="16"/>
      <c r="M4" s="131"/>
      <c r="N4" s="131"/>
      <c r="O4" s="131"/>
      <c r="P4" s="132"/>
      <c r="Q4" s="16"/>
      <c r="R4" s="16"/>
      <c r="S4" s="16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</row>
    <row r="5">
      <c r="A5" s="81"/>
      <c r="B5" s="81"/>
      <c r="C5" s="134" t="s">
        <v>105</v>
      </c>
      <c r="D5" s="39"/>
      <c r="E5" s="23"/>
      <c r="F5" s="16"/>
      <c r="G5" s="81"/>
      <c r="H5" s="81"/>
      <c r="I5" s="81"/>
      <c r="J5" s="81"/>
      <c r="K5" s="81"/>
      <c r="L5" s="16"/>
      <c r="M5" s="135"/>
      <c r="N5" s="135"/>
      <c r="O5" s="135"/>
      <c r="P5" s="82"/>
      <c r="Q5" s="136"/>
      <c r="R5" s="136"/>
      <c r="S5" s="136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</row>
    <row r="6">
      <c r="A6" s="81"/>
      <c r="B6" s="81"/>
      <c r="C6" s="134" t="s">
        <v>106</v>
      </c>
      <c r="D6" s="39"/>
      <c r="E6" s="23"/>
      <c r="F6" s="16"/>
      <c r="G6" s="81"/>
      <c r="H6" s="81"/>
      <c r="I6" s="81"/>
      <c r="J6" s="81"/>
      <c r="K6" s="16"/>
      <c r="L6" s="16"/>
      <c r="M6" s="135"/>
      <c r="N6" s="135"/>
      <c r="O6" s="135"/>
      <c r="P6" s="82"/>
      <c r="Q6" s="136"/>
      <c r="R6" s="136"/>
      <c r="S6" s="136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</row>
    <row r="7">
      <c r="A7" s="81"/>
      <c r="B7" s="81"/>
      <c r="C7" s="134" t="s">
        <v>107</v>
      </c>
      <c r="D7" s="39"/>
      <c r="E7" s="23"/>
      <c r="F7" s="16"/>
      <c r="G7" s="81"/>
      <c r="H7" s="81"/>
      <c r="I7" s="81"/>
      <c r="J7" s="81"/>
      <c r="K7" s="16"/>
      <c r="L7" s="16"/>
      <c r="M7" s="16"/>
      <c r="N7" s="16"/>
      <c r="O7" s="16"/>
      <c r="P7" s="16"/>
      <c r="Q7" s="16"/>
      <c r="R7" s="16"/>
      <c r="S7" s="16"/>
      <c r="T7" s="137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</row>
    <row r="8">
      <c r="A8" s="81"/>
      <c r="B8" s="81"/>
      <c r="F8" s="16"/>
      <c r="G8" s="81"/>
      <c r="H8" s="81"/>
      <c r="I8" s="81"/>
      <c r="J8" s="81"/>
      <c r="K8" s="16"/>
      <c r="L8" s="16"/>
      <c r="M8" s="16"/>
      <c r="N8" s="16"/>
      <c r="O8" s="16"/>
      <c r="P8" s="16"/>
      <c r="Q8" s="16"/>
      <c r="R8" s="16"/>
      <c r="S8" s="16"/>
      <c r="T8" s="137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</row>
    <row r="9">
      <c r="A9" s="132"/>
      <c r="B9" s="132"/>
      <c r="C9" s="16"/>
      <c r="D9" s="16"/>
      <c r="E9" s="16"/>
      <c r="F9" s="16"/>
      <c r="G9" s="81"/>
      <c r="H9" s="81"/>
      <c r="I9" s="81"/>
      <c r="J9" s="81"/>
      <c r="K9" s="16"/>
      <c r="L9" s="16"/>
      <c r="M9" s="16"/>
      <c r="N9" s="16"/>
      <c r="O9" s="16"/>
      <c r="P9" s="16"/>
      <c r="Q9" s="16"/>
      <c r="R9" s="16"/>
      <c r="S9" s="16"/>
      <c r="T9" s="137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</row>
    <row r="10">
      <c r="A10" s="132"/>
      <c r="B10" s="132"/>
      <c r="C10" s="16"/>
      <c r="D10" s="16"/>
      <c r="E10" s="16"/>
      <c r="F10" s="16"/>
      <c r="G10" s="138"/>
      <c r="H10" s="138"/>
      <c r="I10" s="138"/>
      <c r="J10" s="138"/>
      <c r="K10" s="138"/>
      <c r="L10" s="16"/>
      <c r="M10" s="16"/>
      <c r="N10" s="16"/>
      <c r="O10" s="16"/>
      <c r="P10" s="16"/>
      <c r="Q10" s="16"/>
      <c r="R10" s="16"/>
      <c r="S10" s="16"/>
      <c r="T10" s="137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</row>
    <row r="11" ht="18.0" customHeight="1">
      <c r="A11" s="132"/>
      <c r="B11" s="132"/>
      <c r="C11" s="16"/>
      <c r="D11" s="16"/>
      <c r="E11" s="16"/>
      <c r="F11" s="16"/>
      <c r="G11" s="138"/>
      <c r="H11" s="138"/>
      <c r="I11" s="138"/>
      <c r="J11" s="138"/>
      <c r="K11" s="138"/>
      <c r="L11" s="16"/>
      <c r="M11" s="16"/>
      <c r="N11" s="16"/>
      <c r="O11" s="16"/>
      <c r="P11" s="16"/>
      <c r="Q11" s="16"/>
      <c r="R11" s="16"/>
      <c r="S11" s="16"/>
      <c r="T11" s="139"/>
      <c r="U11" s="16"/>
      <c r="V11" s="16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</row>
    <row r="12" ht="25.5" customHeight="1">
      <c r="A12" s="132"/>
      <c r="B12" s="132"/>
      <c r="C12" s="140" t="s">
        <v>108</v>
      </c>
      <c r="D12" s="39"/>
      <c r="E12" s="23"/>
      <c r="F12" s="16"/>
      <c r="G12" s="138"/>
      <c r="H12" s="132"/>
      <c r="I12" s="16"/>
      <c r="J12" s="16"/>
      <c r="K12" s="138"/>
      <c r="L12" s="16"/>
      <c r="M12" s="16"/>
      <c r="N12" s="16"/>
      <c r="O12" s="16"/>
      <c r="P12" s="16"/>
      <c r="Q12" s="16"/>
      <c r="R12" s="16"/>
      <c r="S12" s="16"/>
      <c r="T12" s="139"/>
      <c r="U12" s="16"/>
      <c r="V12" s="16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</row>
    <row r="13">
      <c r="A13" s="132"/>
      <c r="B13" s="132"/>
      <c r="C13" s="141" t="s">
        <v>109</v>
      </c>
      <c r="D13" s="142"/>
      <c r="E13" s="23"/>
      <c r="F13" s="16"/>
      <c r="G13" s="138"/>
      <c r="H13" s="132"/>
      <c r="I13" s="16"/>
      <c r="J13" s="16"/>
      <c r="K13" s="138"/>
      <c r="L13" s="16"/>
      <c r="M13" s="16"/>
      <c r="N13" s="16"/>
      <c r="O13" s="16"/>
      <c r="P13" s="16"/>
      <c r="Q13" s="16"/>
      <c r="R13" s="16"/>
      <c r="S13" s="16"/>
      <c r="T13" s="139"/>
      <c r="U13" s="16"/>
      <c r="V13" s="16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</row>
    <row r="14">
      <c r="A14" s="132"/>
      <c r="B14" s="132"/>
      <c r="C14" s="141" t="s">
        <v>55</v>
      </c>
      <c r="D14" s="142"/>
      <c r="E14" s="23"/>
      <c r="F14" s="16"/>
      <c r="G14" s="138"/>
      <c r="H14" s="132"/>
      <c r="I14" s="16"/>
      <c r="J14" s="16"/>
      <c r="K14" s="138"/>
      <c r="L14" s="16"/>
      <c r="M14" s="16"/>
      <c r="N14" s="16"/>
      <c r="O14" s="16"/>
      <c r="P14" s="16"/>
      <c r="Q14" s="16"/>
      <c r="R14" s="16"/>
      <c r="S14" s="16"/>
      <c r="T14" s="139"/>
      <c r="U14" s="16"/>
      <c r="V14" s="16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</row>
    <row r="15">
      <c r="A15" s="143"/>
      <c r="B15" s="143"/>
      <c r="C15" s="141" t="s">
        <v>56</v>
      </c>
      <c r="D15" s="142"/>
      <c r="E15" s="23"/>
      <c r="F15" s="136"/>
      <c r="G15" s="138"/>
      <c r="H15" s="132"/>
      <c r="I15" s="16"/>
      <c r="J15" s="16"/>
      <c r="K15" s="138"/>
      <c r="L15" s="16"/>
      <c r="M15" s="16"/>
      <c r="N15" s="16"/>
      <c r="O15" s="16"/>
      <c r="P15" s="16"/>
      <c r="Q15" s="16"/>
      <c r="R15" s="16"/>
      <c r="S15" s="16"/>
      <c r="T15" s="139"/>
      <c r="U15" s="16"/>
      <c r="V15" s="16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</row>
    <row r="16">
      <c r="A16" s="144"/>
      <c r="B16" s="144"/>
      <c r="C16" s="141" t="s">
        <v>110</v>
      </c>
      <c r="D16" s="145"/>
      <c r="E16" s="23"/>
      <c r="F16" s="136"/>
      <c r="G16" s="138"/>
      <c r="H16" s="132"/>
      <c r="I16" s="16"/>
      <c r="J16" s="16"/>
      <c r="K16" s="138"/>
      <c r="L16" s="16"/>
      <c r="M16" s="16"/>
      <c r="N16" s="16"/>
      <c r="O16" s="16"/>
      <c r="P16" s="16"/>
      <c r="Q16" s="16"/>
      <c r="R16" s="16"/>
      <c r="S16" s="16"/>
      <c r="T16" s="139"/>
      <c r="U16" s="16"/>
      <c r="V16" s="16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</row>
    <row r="17">
      <c r="A17" s="144"/>
      <c r="B17" s="144"/>
      <c r="C17" s="16"/>
      <c r="D17" s="16"/>
      <c r="E17" s="16"/>
      <c r="F17" s="136"/>
      <c r="G17" s="135"/>
      <c r="H17" s="135"/>
      <c r="I17" s="135"/>
      <c r="J17" s="135"/>
      <c r="K17" s="135"/>
      <c r="L17" s="16"/>
      <c r="M17" s="16"/>
      <c r="N17" s="16"/>
      <c r="O17" s="16"/>
      <c r="P17" s="16"/>
      <c r="Q17" s="16"/>
      <c r="R17" s="16"/>
      <c r="S17" s="16"/>
      <c r="T17" s="139"/>
      <c r="U17" s="16"/>
      <c r="V17" s="16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</row>
    <row r="18" ht="22.5" customHeight="1">
      <c r="A18" s="144"/>
      <c r="B18" s="144"/>
      <c r="C18" s="16"/>
      <c r="D18" s="16"/>
      <c r="E18" s="16"/>
      <c r="F18" s="135"/>
      <c r="G18" s="135"/>
      <c r="H18" s="135"/>
      <c r="I18" s="135"/>
      <c r="J18" s="135"/>
      <c r="K18" s="135"/>
      <c r="L18" s="16"/>
      <c r="M18" s="16"/>
      <c r="N18" s="16"/>
      <c r="O18" s="16"/>
      <c r="P18" s="16"/>
      <c r="Q18" s="16"/>
      <c r="R18" s="16"/>
      <c r="S18" s="16"/>
      <c r="T18" s="139"/>
      <c r="U18" s="16"/>
      <c r="V18" s="16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</row>
    <row r="19" ht="30.0" customHeight="1">
      <c r="A19" s="144"/>
      <c r="B19" s="144"/>
      <c r="C19" s="136"/>
      <c r="D19" s="146" t="s">
        <v>0</v>
      </c>
      <c r="E19" s="23"/>
      <c r="F19" s="136"/>
      <c r="G19" s="135"/>
      <c r="H19" s="135"/>
      <c r="I19" s="135"/>
      <c r="J19" s="135"/>
      <c r="K19" s="135"/>
      <c r="L19" s="147" t="s">
        <v>111</v>
      </c>
      <c r="M19" s="147" t="s">
        <v>112</v>
      </c>
      <c r="N19" s="147" t="s">
        <v>57</v>
      </c>
      <c r="O19" s="147" t="s">
        <v>113</v>
      </c>
      <c r="P19" s="148" t="s">
        <v>114</v>
      </c>
      <c r="Q19" s="147" t="s">
        <v>115</v>
      </c>
      <c r="R19" s="147" t="s">
        <v>116</v>
      </c>
      <c r="S19" s="147" t="s">
        <v>117</v>
      </c>
      <c r="T19" s="139"/>
      <c r="U19" s="16"/>
      <c r="V19" s="16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</row>
    <row r="20">
      <c r="A20" s="149"/>
      <c r="B20" s="149"/>
      <c r="C20" s="147" t="s">
        <v>118</v>
      </c>
      <c r="D20" s="147" t="s">
        <v>119</v>
      </c>
      <c r="E20" s="147" t="s">
        <v>120</v>
      </c>
      <c r="F20" s="147" t="s">
        <v>121</v>
      </c>
      <c r="G20" s="135"/>
      <c r="H20" s="150"/>
      <c r="I20" s="151" t="s">
        <v>122</v>
      </c>
      <c r="J20" s="23"/>
      <c r="K20" s="135"/>
      <c r="L20" s="152" t="s">
        <v>123</v>
      </c>
      <c r="M20" s="153">
        <v>45479.0</v>
      </c>
      <c r="N20" s="154"/>
      <c r="O20" s="154"/>
      <c r="P20" s="154"/>
      <c r="Q20" s="154"/>
      <c r="R20" s="154"/>
      <c r="S20" s="154"/>
      <c r="T20" s="139"/>
      <c r="U20" s="16"/>
      <c r="V20" s="16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</row>
    <row r="21">
      <c r="A21" s="82"/>
      <c r="B21" s="82"/>
      <c r="C21" s="155">
        <v>45703.0</v>
      </c>
      <c r="D21" s="156"/>
      <c r="E21" s="156"/>
      <c r="F21" s="156"/>
      <c r="G21" s="135"/>
      <c r="H21" s="157"/>
      <c r="I21" s="155" t="s">
        <v>124</v>
      </c>
      <c r="J21" s="158">
        <v>1530.0</v>
      </c>
      <c r="K21" s="135"/>
      <c r="L21" s="152">
        <v>1.0</v>
      </c>
      <c r="M21" s="159">
        <f t="shared" ref="M21:M32" si="2">M20+7</f>
        <v>45486</v>
      </c>
      <c r="N21" s="160" t="str">
        <f>D28</f>
        <v>#DIV/0!</v>
      </c>
      <c r="O21" s="161" t="str">
        <f t="shared" ref="O21:S21" si="1">C32</f>
        <v/>
      </c>
      <c r="P21" s="161" t="str">
        <f t="shared" si="1"/>
        <v/>
      </c>
      <c r="Q21" s="161" t="str">
        <f t="shared" si="1"/>
        <v/>
      </c>
      <c r="R21" s="161" t="str">
        <f t="shared" si="1"/>
        <v/>
      </c>
      <c r="S21" s="161" t="str">
        <f t="shared" si="1"/>
        <v/>
      </c>
      <c r="T21" s="139"/>
      <c r="U21" s="16"/>
      <c r="V21" s="16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</row>
    <row r="22">
      <c r="A22" s="150"/>
      <c r="B22" s="150"/>
      <c r="C22" s="155">
        <v>45704.0</v>
      </c>
      <c r="D22" s="156"/>
      <c r="E22" s="156"/>
      <c r="F22" s="156"/>
      <c r="G22" s="135"/>
      <c r="H22" s="157"/>
      <c r="I22" s="155" t="s">
        <v>125</v>
      </c>
      <c r="J22" s="158">
        <v>120.0</v>
      </c>
      <c r="K22" s="135"/>
      <c r="L22" s="152">
        <v>2.0</v>
      </c>
      <c r="M22" s="159">
        <f t="shared" si="2"/>
        <v>45493</v>
      </c>
      <c r="N22" s="162" t="str">
        <f>AVERAGE(D55:D61)</f>
        <v>#DIV/0!</v>
      </c>
      <c r="O22" s="163" t="str">
        <f t="shared" ref="O22:S22" si="3">C49</f>
        <v/>
      </c>
      <c r="P22" s="163" t="str">
        <f t="shared" si="3"/>
        <v/>
      </c>
      <c r="Q22" s="163" t="str">
        <f t="shared" si="3"/>
        <v/>
      </c>
      <c r="R22" s="163" t="str">
        <f t="shared" si="3"/>
        <v/>
      </c>
      <c r="S22" s="163" t="str">
        <f t="shared" si="3"/>
        <v/>
      </c>
      <c r="T22" s="139"/>
      <c r="U22" s="16"/>
      <c r="V22" s="16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</row>
    <row r="23">
      <c r="A23" s="164"/>
      <c r="B23" s="164"/>
      <c r="C23" s="155">
        <v>45705.0</v>
      </c>
      <c r="D23" s="156"/>
      <c r="E23" s="156"/>
      <c r="F23" s="156"/>
      <c r="G23" s="135"/>
      <c r="H23" s="157"/>
      <c r="I23" s="155" t="s">
        <v>126</v>
      </c>
      <c r="J23" s="158">
        <v>150.0</v>
      </c>
      <c r="K23" s="135"/>
      <c r="L23" s="152">
        <v>3.0</v>
      </c>
      <c r="M23" s="159">
        <f t="shared" si="2"/>
        <v>45500</v>
      </c>
      <c r="N23" s="156" t="str">
        <f>AVERAGE(D55:D61)</f>
        <v>#DIV/0!</v>
      </c>
      <c r="O23" s="165" t="str">
        <f t="shared" ref="O23:S23" si="4">C66</f>
        <v/>
      </c>
      <c r="P23" s="165" t="str">
        <f t="shared" si="4"/>
        <v/>
      </c>
      <c r="Q23" s="165" t="str">
        <f t="shared" si="4"/>
        <v/>
      </c>
      <c r="R23" s="165" t="str">
        <f t="shared" si="4"/>
        <v/>
      </c>
      <c r="S23" s="165" t="str">
        <f t="shared" si="4"/>
        <v/>
      </c>
      <c r="T23" s="139"/>
      <c r="U23" s="16"/>
      <c r="V23" s="16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</row>
    <row r="24">
      <c r="A24" s="135"/>
      <c r="B24" s="135"/>
      <c r="C24" s="155">
        <v>45706.0</v>
      </c>
      <c r="D24" s="156"/>
      <c r="E24" s="156"/>
      <c r="F24" s="156"/>
      <c r="G24" s="135"/>
      <c r="H24" s="157"/>
      <c r="I24" s="155" t="s">
        <v>127</v>
      </c>
      <c r="J24" s="158">
        <v>50.0</v>
      </c>
      <c r="K24" s="135"/>
      <c r="L24" s="152">
        <v>4.0</v>
      </c>
      <c r="M24" s="159">
        <f t="shared" si="2"/>
        <v>45507</v>
      </c>
      <c r="N24" s="162" t="str">
        <f>AVERAGE(D71:D77)</f>
        <v>#DIV/0!</v>
      </c>
      <c r="O24" s="163" t="str">
        <f t="shared" ref="O24:S24" si="5">C82</f>
        <v/>
      </c>
      <c r="P24" s="163" t="str">
        <f t="shared" si="5"/>
        <v/>
      </c>
      <c r="Q24" s="163" t="str">
        <f t="shared" si="5"/>
        <v/>
      </c>
      <c r="R24" s="163" t="str">
        <f t="shared" si="5"/>
        <v/>
      </c>
      <c r="S24" s="163" t="str">
        <f t="shared" si="5"/>
        <v/>
      </c>
      <c r="T24" s="139"/>
      <c r="U24" s="16"/>
      <c r="V24" s="16"/>
      <c r="W24" s="16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</row>
    <row r="25">
      <c r="A25" s="164"/>
      <c r="B25" s="164"/>
      <c r="C25" s="155">
        <v>45707.0</v>
      </c>
      <c r="D25" s="156"/>
      <c r="E25" s="156"/>
      <c r="F25" s="156"/>
      <c r="G25" s="135"/>
      <c r="H25" s="135"/>
      <c r="I25" s="135"/>
      <c r="J25" s="135"/>
      <c r="K25" s="135"/>
      <c r="L25" s="152">
        <v>5.0</v>
      </c>
      <c r="M25" s="159">
        <f t="shared" si="2"/>
        <v>45514</v>
      </c>
      <c r="N25" s="156" t="str">
        <f>AVERAGE(D87:D93)</f>
        <v>#DIV/0!</v>
      </c>
      <c r="O25" s="165" t="str">
        <f t="shared" ref="O25:S25" si="6">C98</f>
        <v/>
      </c>
      <c r="P25" s="165" t="str">
        <f t="shared" si="6"/>
        <v/>
      </c>
      <c r="Q25" s="165" t="str">
        <f t="shared" si="6"/>
        <v/>
      </c>
      <c r="R25" s="165" t="str">
        <f t="shared" si="6"/>
        <v/>
      </c>
      <c r="S25" s="165" t="str">
        <f t="shared" si="6"/>
        <v/>
      </c>
      <c r="T25" s="139"/>
      <c r="U25" s="16"/>
      <c r="V25" s="16"/>
      <c r="W25" s="16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</row>
    <row r="26">
      <c r="A26" s="164"/>
      <c r="B26" s="164"/>
      <c r="C26" s="155">
        <v>45708.0</v>
      </c>
      <c r="D26" s="166"/>
      <c r="E26" s="156"/>
      <c r="F26" s="156"/>
      <c r="G26" s="135"/>
      <c r="H26" s="135"/>
      <c r="I26" s="135"/>
      <c r="J26" s="135"/>
      <c r="K26" s="135"/>
      <c r="L26" s="152">
        <v>6.0</v>
      </c>
      <c r="M26" s="159">
        <f t="shared" si="2"/>
        <v>45521</v>
      </c>
      <c r="N26" s="162" t="str">
        <f>AVERAGE(D103:D109)</f>
        <v>#DIV/0!</v>
      </c>
      <c r="O26" s="163" t="str">
        <f t="shared" ref="O26:S26" si="7">C114</f>
        <v/>
      </c>
      <c r="P26" s="163" t="str">
        <f t="shared" si="7"/>
        <v/>
      </c>
      <c r="Q26" s="163" t="str">
        <f t="shared" si="7"/>
        <v/>
      </c>
      <c r="R26" s="163" t="str">
        <f t="shared" si="7"/>
        <v/>
      </c>
      <c r="S26" s="163" t="str">
        <f t="shared" si="7"/>
        <v/>
      </c>
      <c r="T26" s="139"/>
      <c r="U26" s="16"/>
      <c r="V26" s="16"/>
      <c r="W26" s="16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</row>
    <row r="27">
      <c r="A27" s="135"/>
      <c r="B27" s="135"/>
      <c r="C27" s="155">
        <v>45709.0</v>
      </c>
      <c r="D27" s="166"/>
      <c r="E27" s="156"/>
      <c r="F27" s="166"/>
      <c r="G27" s="135"/>
      <c r="H27" s="135"/>
      <c r="I27" s="135"/>
      <c r="J27" s="135"/>
      <c r="K27" s="135"/>
      <c r="L27" s="152">
        <v>7.0</v>
      </c>
      <c r="M27" s="159">
        <f t="shared" si="2"/>
        <v>45528</v>
      </c>
      <c r="N27" s="156" t="str">
        <f>AVERAGE(D120:D126)</f>
        <v>#DIV/0!</v>
      </c>
      <c r="O27" s="165" t="str">
        <f t="shared" ref="O27:S27" si="8">C131</f>
        <v/>
      </c>
      <c r="P27" s="165" t="str">
        <f t="shared" si="8"/>
        <v/>
      </c>
      <c r="Q27" s="165" t="str">
        <f t="shared" si="8"/>
        <v/>
      </c>
      <c r="R27" s="165" t="str">
        <f t="shared" si="8"/>
        <v/>
      </c>
      <c r="S27" s="165" t="str">
        <f t="shared" si="8"/>
        <v/>
      </c>
      <c r="T27" s="139"/>
      <c r="U27" s="16"/>
      <c r="V27" s="16"/>
      <c r="W27" s="16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</row>
    <row r="28">
      <c r="A28" s="164"/>
      <c r="B28" s="164"/>
      <c r="C28" s="167" t="s">
        <v>128</v>
      </c>
      <c r="D28" s="168" t="str">
        <f t="shared" ref="D28:F28" si="9">AVERAGE(D21:D27)</f>
        <v>#DIV/0!</v>
      </c>
      <c r="E28" s="168" t="str">
        <f t="shared" si="9"/>
        <v>#DIV/0!</v>
      </c>
      <c r="F28" s="168" t="str">
        <f t="shared" si="9"/>
        <v>#DIV/0!</v>
      </c>
      <c r="G28" s="135"/>
      <c r="H28" s="135"/>
      <c r="I28" s="135"/>
      <c r="J28" s="135"/>
      <c r="K28" s="135"/>
      <c r="L28" s="152">
        <v>8.0</v>
      </c>
      <c r="M28" s="159">
        <f t="shared" si="2"/>
        <v>45535</v>
      </c>
      <c r="N28" s="162" t="str">
        <f>AVERAGE(D137:D143)</f>
        <v>#DIV/0!</v>
      </c>
      <c r="O28" s="163" t="str">
        <f t="shared" ref="O28:S28" si="10">C148</f>
        <v/>
      </c>
      <c r="P28" s="163" t="str">
        <f t="shared" si="10"/>
        <v/>
      </c>
      <c r="Q28" s="163" t="str">
        <f t="shared" si="10"/>
        <v/>
      </c>
      <c r="R28" s="163" t="str">
        <f t="shared" si="10"/>
        <v/>
      </c>
      <c r="S28" s="163" t="str">
        <f t="shared" si="10"/>
        <v/>
      </c>
      <c r="T28" s="139"/>
      <c r="U28" s="16"/>
      <c r="V28" s="16"/>
      <c r="W28" s="16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</row>
    <row r="29">
      <c r="A29" s="164"/>
      <c r="B29" s="164"/>
      <c r="C29" s="136"/>
      <c r="D29" s="136"/>
      <c r="E29" s="136"/>
      <c r="F29" s="136"/>
      <c r="G29" s="135"/>
      <c r="H29" s="135"/>
      <c r="I29" s="135"/>
      <c r="J29" s="135"/>
      <c r="K29" s="135"/>
      <c r="L29" s="152">
        <v>9.0</v>
      </c>
      <c r="M29" s="159">
        <f t="shared" si="2"/>
        <v>45542</v>
      </c>
      <c r="N29" s="156" t="str">
        <f>AVERAGE(D153:D159)</f>
        <v>#DIV/0!</v>
      </c>
      <c r="O29" s="165" t="str">
        <f t="shared" ref="O29:S29" si="11">C164</f>
        <v/>
      </c>
      <c r="P29" s="165" t="str">
        <f t="shared" si="11"/>
        <v/>
      </c>
      <c r="Q29" s="165" t="str">
        <f t="shared" si="11"/>
        <v/>
      </c>
      <c r="R29" s="165" t="str">
        <f t="shared" si="11"/>
        <v/>
      </c>
      <c r="S29" s="165" t="str">
        <f t="shared" si="11"/>
        <v/>
      </c>
      <c r="T29" s="139"/>
      <c r="U29" s="16"/>
      <c r="V29" s="16"/>
      <c r="W29" s="16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</row>
    <row r="30">
      <c r="A30" s="169"/>
      <c r="B30" s="169"/>
      <c r="C30" s="170" t="s">
        <v>129</v>
      </c>
      <c r="D30" s="39"/>
      <c r="E30" s="39"/>
      <c r="F30" s="39"/>
      <c r="G30" s="23"/>
      <c r="H30" s="171"/>
      <c r="I30" s="171"/>
      <c r="J30" s="171"/>
      <c r="K30" s="171"/>
      <c r="L30" s="152">
        <v>10.0</v>
      </c>
      <c r="M30" s="159">
        <f t="shared" si="2"/>
        <v>45549</v>
      </c>
      <c r="N30" s="162" t="str">
        <f>AVERAGE(D169:D175)</f>
        <v>#DIV/0!</v>
      </c>
      <c r="O30" s="163" t="str">
        <f>C164</f>
        <v/>
      </c>
      <c r="P30" s="163" t="str">
        <f t="shared" ref="P30:S30" si="12">D180</f>
        <v/>
      </c>
      <c r="Q30" s="163" t="str">
        <f t="shared" si="12"/>
        <v/>
      </c>
      <c r="R30" s="163" t="str">
        <f t="shared" si="12"/>
        <v/>
      </c>
      <c r="S30" s="163" t="str">
        <f t="shared" si="12"/>
        <v/>
      </c>
      <c r="T30" s="139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</row>
    <row r="31">
      <c r="A31" s="82"/>
      <c r="B31" s="82"/>
      <c r="C31" s="172" t="s">
        <v>113</v>
      </c>
      <c r="D31" s="172" t="s">
        <v>130</v>
      </c>
      <c r="E31" s="172" t="s">
        <v>131</v>
      </c>
      <c r="F31" s="172" t="s">
        <v>116</v>
      </c>
      <c r="G31" s="172" t="s">
        <v>117</v>
      </c>
      <c r="H31" s="171"/>
      <c r="I31" s="171"/>
      <c r="J31" s="171"/>
      <c r="K31" s="171"/>
      <c r="L31" s="152">
        <v>11.0</v>
      </c>
      <c r="M31" s="159">
        <f t="shared" si="2"/>
        <v>45556</v>
      </c>
      <c r="N31" s="156" t="str">
        <f>AVERAGE(D185:D191)</f>
        <v>#DIV/0!</v>
      </c>
      <c r="O31" s="165" t="str">
        <f t="shared" ref="O31:S31" si="13">C196</f>
        <v/>
      </c>
      <c r="P31" s="165" t="str">
        <f t="shared" si="13"/>
        <v/>
      </c>
      <c r="Q31" s="165" t="str">
        <f t="shared" si="13"/>
        <v/>
      </c>
      <c r="R31" s="165" t="str">
        <f t="shared" si="13"/>
        <v/>
      </c>
      <c r="S31" s="165" t="str">
        <f t="shared" si="13"/>
        <v/>
      </c>
      <c r="T31" s="139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</row>
    <row r="32">
      <c r="A32" s="150"/>
      <c r="B32" s="150"/>
      <c r="C32" s="173"/>
      <c r="D32" s="173"/>
      <c r="E32" s="173"/>
      <c r="F32" s="173"/>
      <c r="G32" s="173"/>
      <c r="H32" s="171"/>
      <c r="I32" s="171"/>
      <c r="J32" s="171"/>
      <c r="K32" s="171"/>
      <c r="L32" s="152">
        <v>12.0</v>
      </c>
      <c r="M32" s="159">
        <f t="shared" si="2"/>
        <v>45563</v>
      </c>
      <c r="N32" s="162" t="str">
        <f>AVERAGE(D201:D207)</f>
        <v>#DIV/0!</v>
      </c>
      <c r="O32" s="163" t="str">
        <f t="shared" ref="O32:S32" si="14">C212</f>
        <v/>
      </c>
      <c r="P32" s="163" t="str">
        <f t="shared" si="14"/>
        <v/>
      </c>
      <c r="Q32" s="163" t="str">
        <f t="shared" si="14"/>
        <v/>
      </c>
      <c r="R32" s="163" t="str">
        <f t="shared" si="14"/>
        <v/>
      </c>
      <c r="S32" s="163" t="str">
        <f t="shared" si="14"/>
        <v/>
      </c>
      <c r="T32" s="139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</row>
    <row r="33">
      <c r="A33" s="157"/>
      <c r="B33" s="157"/>
      <c r="C33" s="135"/>
      <c r="D33" s="135"/>
      <c r="E33" s="135"/>
      <c r="F33" s="135"/>
      <c r="G33" s="171"/>
      <c r="H33" s="171"/>
      <c r="I33" s="171"/>
      <c r="J33" s="171"/>
      <c r="K33" s="171"/>
      <c r="L33" s="135"/>
      <c r="M33" s="135"/>
      <c r="N33" s="135"/>
      <c r="O33" s="135"/>
      <c r="P33" s="135"/>
      <c r="Q33" s="135"/>
      <c r="R33" s="135"/>
      <c r="S33" s="135"/>
      <c r="T33" s="139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</row>
    <row r="34">
      <c r="A34" s="135"/>
      <c r="B34" s="135"/>
      <c r="C34" s="16"/>
      <c r="D34" s="16"/>
      <c r="E34" s="16"/>
      <c r="F34" s="16"/>
      <c r="G34" s="171"/>
      <c r="H34" s="171"/>
      <c r="I34" s="171"/>
      <c r="J34" s="171"/>
      <c r="K34" s="171"/>
      <c r="L34" s="16"/>
      <c r="M34" s="135"/>
      <c r="N34" s="81" t="s">
        <v>132</v>
      </c>
      <c r="O34" s="135"/>
      <c r="P34" s="135"/>
      <c r="Q34" s="135"/>
      <c r="R34" s="135"/>
      <c r="S34" s="135"/>
      <c r="T34" s="139"/>
      <c r="U34" s="174" t="s">
        <v>133</v>
      </c>
      <c r="V34" s="23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</row>
    <row r="35">
      <c r="A35" s="135"/>
      <c r="B35" s="135"/>
      <c r="C35" s="16"/>
      <c r="D35" s="16"/>
      <c r="E35" s="16"/>
      <c r="F35" s="16"/>
      <c r="G35" s="171"/>
      <c r="H35" s="171"/>
      <c r="I35" s="171"/>
      <c r="J35" s="171"/>
      <c r="K35" s="171"/>
      <c r="L35" s="135"/>
      <c r="M35" s="135"/>
      <c r="N35" s="135"/>
      <c r="O35" s="135"/>
      <c r="P35" s="135"/>
      <c r="Q35" s="135"/>
      <c r="R35" s="135"/>
      <c r="S35" s="135"/>
      <c r="T35" s="139"/>
      <c r="U35" s="175" t="s">
        <v>134</v>
      </c>
      <c r="V35" s="176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</row>
    <row r="36" ht="31.5" customHeight="1">
      <c r="A36" s="135"/>
      <c r="B36" s="135"/>
      <c r="C36" s="136"/>
      <c r="D36" s="177" t="s">
        <v>1</v>
      </c>
      <c r="E36" s="23"/>
      <c r="F36" s="136"/>
      <c r="G36" s="135"/>
      <c r="H36" s="135"/>
      <c r="I36" s="135"/>
      <c r="J36" s="135"/>
      <c r="K36" s="171"/>
      <c r="L36" s="135"/>
      <c r="M36" s="135"/>
      <c r="N36" s="135"/>
      <c r="O36" s="135"/>
      <c r="P36" s="135"/>
      <c r="Q36" s="135"/>
      <c r="R36" s="135"/>
      <c r="S36" s="135"/>
      <c r="T36" s="139"/>
      <c r="U36" s="175" t="s">
        <v>135</v>
      </c>
      <c r="V36" s="178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</row>
    <row r="37">
      <c r="A37" s="164"/>
      <c r="B37" s="164"/>
      <c r="C37" s="147" t="s">
        <v>118</v>
      </c>
      <c r="D37" s="147" t="s">
        <v>119</v>
      </c>
      <c r="E37" s="147" t="s">
        <v>120</v>
      </c>
      <c r="F37" s="147" t="s">
        <v>121</v>
      </c>
      <c r="G37" s="135"/>
      <c r="H37" s="150"/>
      <c r="I37" s="151" t="s">
        <v>122</v>
      </c>
      <c r="J37" s="23"/>
      <c r="K37" s="171"/>
      <c r="L37" s="135"/>
      <c r="M37" s="135"/>
      <c r="N37" s="135"/>
      <c r="O37" s="135"/>
      <c r="P37" s="135"/>
      <c r="Q37" s="135"/>
      <c r="R37" s="135"/>
      <c r="S37" s="135"/>
      <c r="T37" s="139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</row>
    <row r="38">
      <c r="A38" s="132"/>
      <c r="B38" s="132"/>
      <c r="C38" s="155">
        <v>45710.0</v>
      </c>
      <c r="D38" s="156"/>
      <c r="E38" s="156"/>
      <c r="F38" s="156"/>
      <c r="G38" s="135"/>
      <c r="H38" s="157"/>
      <c r="I38" s="155" t="s">
        <v>124</v>
      </c>
      <c r="J38" s="158">
        <v>1530.0</v>
      </c>
      <c r="K38" s="171"/>
      <c r="L38" s="135"/>
      <c r="M38" s="135"/>
      <c r="N38" s="135"/>
      <c r="O38" s="135"/>
      <c r="P38" s="135"/>
      <c r="Q38" s="135"/>
      <c r="R38" s="135"/>
      <c r="S38" s="135"/>
      <c r="T38" s="139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</row>
    <row r="39">
      <c r="A39" s="171"/>
      <c r="B39" s="171"/>
      <c r="C39" s="155">
        <v>45711.0</v>
      </c>
      <c r="D39" s="156"/>
      <c r="E39" s="156"/>
      <c r="F39" s="156"/>
      <c r="G39" s="135"/>
      <c r="H39" s="157"/>
      <c r="I39" s="155" t="s">
        <v>125</v>
      </c>
      <c r="J39" s="158">
        <v>120.0</v>
      </c>
      <c r="K39" s="171"/>
      <c r="L39" s="135"/>
      <c r="M39" s="135"/>
      <c r="N39" s="135"/>
      <c r="O39" s="135"/>
      <c r="P39" s="135"/>
      <c r="Q39" s="135"/>
      <c r="R39" s="135"/>
      <c r="S39" s="135"/>
      <c r="T39" s="139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</row>
    <row r="40">
      <c r="A40" s="171"/>
      <c r="B40" s="171"/>
      <c r="C40" s="155">
        <v>45712.0</v>
      </c>
      <c r="D40" s="156"/>
      <c r="E40" s="156"/>
      <c r="F40" s="156"/>
      <c r="G40" s="135"/>
      <c r="H40" s="157"/>
      <c r="I40" s="155" t="s">
        <v>126</v>
      </c>
      <c r="J40" s="158">
        <v>150.0</v>
      </c>
      <c r="K40" s="171"/>
      <c r="L40" s="135"/>
      <c r="M40" s="135"/>
      <c r="N40" s="135"/>
      <c r="O40" s="135"/>
      <c r="P40" s="135"/>
      <c r="Q40" s="135"/>
      <c r="R40" s="135"/>
      <c r="S40" s="135"/>
      <c r="T40" s="139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</row>
    <row r="41">
      <c r="A41" s="171"/>
      <c r="B41" s="171"/>
      <c r="C41" s="155">
        <v>45713.0</v>
      </c>
      <c r="D41" s="156"/>
      <c r="E41" s="156"/>
      <c r="F41" s="156"/>
      <c r="G41" s="135"/>
      <c r="H41" s="157"/>
      <c r="I41" s="155" t="s">
        <v>127</v>
      </c>
      <c r="J41" s="158">
        <v>50.0</v>
      </c>
      <c r="K41" s="171"/>
      <c r="L41" s="135"/>
      <c r="M41" s="135"/>
      <c r="N41" s="135"/>
      <c r="O41" s="135"/>
      <c r="P41" s="135"/>
      <c r="Q41" s="135"/>
      <c r="R41" s="135"/>
      <c r="S41" s="135"/>
      <c r="T41" s="139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>
      <c r="A42" s="171"/>
      <c r="B42" s="171"/>
      <c r="C42" s="155">
        <v>45714.0</v>
      </c>
      <c r="D42" s="156"/>
      <c r="E42" s="156"/>
      <c r="F42" s="156"/>
      <c r="G42" s="135"/>
      <c r="H42" s="135"/>
      <c r="I42" s="135"/>
      <c r="J42" s="135"/>
      <c r="K42" s="171"/>
      <c r="L42" s="135"/>
      <c r="M42" s="135"/>
      <c r="N42" s="135"/>
      <c r="O42" s="135"/>
      <c r="P42" s="135"/>
      <c r="Q42" s="135"/>
      <c r="R42" s="135"/>
      <c r="S42" s="135"/>
      <c r="T42" s="139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</row>
    <row r="43">
      <c r="A43" s="130"/>
      <c r="B43" s="130"/>
      <c r="C43" s="155">
        <v>45715.0</v>
      </c>
      <c r="D43" s="166"/>
      <c r="E43" s="156"/>
      <c r="F43" s="156"/>
      <c r="G43" s="135"/>
      <c r="H43" s="135"/>
      <c r="I43" s="135"/>
      <c r="J43" s="135"/>
      <c r="K43" s="130"/>
      <c r="L43" s="135"/>
      <c r="M43" s="135"/>
      <c r="N43" s="135"/>
      <c r="O43" s="135"/>
      <c r="P43" s="135"/>
      <c r="Q43" s="135"/>
      <c r="R43" s="135"/>
      <c r="S43" s="135"/>
      <c r="T43" s="139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</row>
    <row r="44">
      <c r="A44" s="130"/>
      <c r="B44" s="130"/>
      <c r="C44" s="155">
        <v>45716.0</v>
      </c>
      <c r="D44" s="166"/>
      <c r="E44" s="156"/>
      <c r="F44" s="166"/>
      <c r="G44" s="135"/>
      <c r="H44" s="135"/>
      <c r="I44" s="135"/>
      <c r="J44" s="135"/>
      <c r="K44" s="130"/>
      <c r="L44" s="135"/>
      <c r="M44" s="135"/>
      <c r="N44" s="135"/>
      <c r="O44" s="135"/>
      <c r="P44" s="135"/>
      <c r="Q44" s="135"/>
      <c r="R44" s="135"/>
      <c r="S44" s="135"/>
      <c r="T44" s="139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</row>
    <row r="45">
      <c r="A45" s="130"/>
      <c r="B45" s="130"/>
      <c r="C45" s="167" t="s">
        <v>128</v>
      </c>
      <c r="D45" s="168" t="str">
        <f t="shared" ref="D45:F45" si="15">AVERAGE(D38:D44)</f>
        <v>#DIV/0!</v>
      </c>
      <c r="E45" s="168" t="str">
        <f t="shared" si="15"/>
        <v>#DIV/0!</v>
      </c>
      <c r="F45" s="168" t="str">
        <f t="shared" si="15"/>
        <v>#DIV/0!</v>
      </c>
      <c r="G45" s="135"/>
      <c r="H45" s="135"/>
      <c r="I45" s="135"/>
      <c r="J45" s="135"/>
      <c r="K45" s="130"/>
      <c r="L45" s="135"/>
      <c r="M45" s="135"/>
      <c r="N45" s="135"/>
      <c r="O45" s="135"/>
      <c r="P45" s="135"/>
      <c r="Q45" s="135"/>
      <c r="R45" s="135"/>
      <c r="S45" s="135"/>
      <c r="T45" s="139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</row>
    <row r="46">
      <c r="A46" s="130"/>
      <c r="B46" s="130"/>
      <c r="C46" s="136"/>
      <c r="D46" s="136"/>
      <c r="E46" s="136"/>
      <c r="F46" s="136"/>
      <c r="G46" s="135"/>
      <c r="H46" s="135"/>
      <c r="I46" s="135"/>
      <c r="J46" s="135"/>
      <c r="K46" s="130"/>
      <c r="L46" s="135"/>
      <c r="M46" s="135"/>
      <c r="N46" s="135"/>
      <c r="O46" s="135"/>
      <c r="P46" s="135"/>
      <c r="Q46" s="135"/>
      <c r="R46" s="135"/>
      <c r="S46" s="135"/>
      <c r="T46" s="139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</row>
    <row r="47">
      <c r="A47" s="130"/>
      <c r="B47" s="130"/>
      <c r="C47" s="170" t="s">
        <v>129</v>
      </c>
      <c r="D47" s="39"/>
      <c r="E47" s="39"/>
      <c r="F47" s="39"/>
      <c r="G47" s="23"/>
      <c r="H47" s="171"/>
      <c r="I47" s="171"/>
      <c r="J47" s="171"/>
      <c r="K47" s="130"/>
      <c r="L47" s="135"/>
      <c r="M47" s="135"/>
      <c r="N47" s="135"/>
      <c r="O47" s="135"/>
      <c r="P47" s="135"/>
      <c r="Q47" s="135"/>
      <c r="R47" s="135"/>
      <c r="S47" s="135"/>
      <c r="T47" s="139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</row>
    <row r="48">
      <c r="A48" s="130"/>
      <c r="B48" s="130"/>
      <c r="C48" s="172" t="s">
        <v>113</v>
      </c>
      <c r="D48" s="172" t="s">
        <v>130</v>
      </c>
      <c r="E48" s="172" t="s">
        <v>131</v>
      </c>
      <c r="F48" s="172" t="s">
        <v>116</v>
      </c>
      <c r="G48" s="172" t="s">
        <v>117</v>
      </c>
      <c r="H48" s="171"/>
      <c r="I48" s="171"/>
      <c r="J48" s="171"/>
      <c r="K48" s="130"/>
      <c r="L48" s="139"/>
      <c r="M48" s="139"/>
      <c r="N48" s="139"/>
      <c r="O48" s="139"/>
      <c r="P48" s="139"/>
      <c r="Q48" s="139"/>
      <c r="R48" s="139"/>
      <c r="S48" s="139"/>
      <c r="T48" s="139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</row>
    <row r="49">
      <c r="A49" s="130"/>
      <c r="B49" s="130"/>
      <c r="C49" s="173"/>
      <c r="D49" s="173"/>
      <c r="E49" s="173"/>
      <c r="F49" s="173"/>
      <c r="G49" s="173"/>
      <c r="H49" s="171"/>
      <c r="I49" s="171"/>
      <c r="J49" s="171"/>
      <c r="K49" s="130"/>
      <c r="L49" s="139"/>
      <c r="M49" s="139"/>
      <c r="N49" s="139"/>
      <c r="O49" s="139"/>
      <c r="P49" s="139"/>
      <c r="Q49" s="139"/>
      <c r="R49" s="139"/>
      <c r="S49" s="139"/>
      <c r="T49" s="139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</row>
    <row r="50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6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</row>
    <row r="5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6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</row>
    <row r="5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6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</row>
    <row r="53" ht="30.0" customHeight="1">
      <c r="A53" s="130"/>
      <c r="B53" s="130"/>
      <c r="C53" s="136"/>
      <c r="D53" s="177" t="s">
        <v>2</v>
      </c>
      <c r="E53" s="23"/>
      <c r="F53" s="136"/>
      <c r="G53" s="135"/>
      <c r="H53" s="135"/>
      <c r="I53" s="135"/>
      <c r="J53" s="135"/>
      <c r="K53" s="130"/>
      <c r="L53" s="16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</row>
    <row r="54">
      <c r="A54" s="130"/>
      <c r="B54" s="130"/>
      <c r="C54" s="147" t="s">
        <v>118</v>
      </c>
      <c r="D54" s="147" t="s">
        <v>119</v>
      </c>
      <c r="E54" s="147" t="s">
        <v>120</v>
      </c>
      <c r="F54" s="147" t="s">
        <v>121</v>
      </c>
      <c r="G54" s="135"/>
      <c r="H54" s="150"/>
      <c r="I54" s="151" t="s">
        <v>122</v>
      </c>
      <c r="J54" s="23"/>
      <c r="K54" s="130"/>
      <c r="L54" s="16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</row>
    <row r="55">
      <c r="A55" s="130"/>
      <c r="B55" s="130"/>
      <c r="C55" s="155">
        <v>45717.0</v>
      </c>
      <c r="D55" s="156"/>
      <c r="E55" s="156"/>
      <c r="F55" s="156"/>
      <c r="G55" s="135"/>
      <c r="H55" s="157"/>
      <c r="I55" s="155" t="s">
        <v>124</v>
      </c>
      <c r="J55" s="158">
        <v>1530.0</v>
      </c>
      <c r="K55" s="130"/>
      <c r="L55" s="16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</row>
    <row r="56">
      <c r="A56" s="130"/>
      <c r="B56" s="130"/>
      <c r="C56" s="155">
        <v>45718.0</v>
      </c>
      <c r="D56" s="156"/>
      <c r="E56" s="156"/>
      <c r="F56" s="156"/>
      <c r="G56" s="135"/>
      <c r="H56" s="157"/>
      <c r="I56" s="155" t="s">
        <v>125</v>
      </c>
      <c r="J56" s="158">
        <v>120.0</v>
      </c>
      <c r="K56" s="130"/>
      <c r="L56" s="16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</row>
    <row r="57">
      <c r="A57" s="130"/>
      <c r="B57" s="130"/>
      <c r="C57" s="155">
        <v>45719.0</v>
      </c>
      <c r="D57" s="156"/>
      <c r="E57" s="156"/>
      <c r="F57" s="156"/>
      <c r="G57" s="135"/>
      <c r="H57" s="157"/>
      <c r="I57" s="155" t="s">
        <v>126</v>
      </c>
      <c r="J57" s="158">
        <v>150.0</v>
      </c>
      <c r="K57" s="130"/>
      <c r="L57" s="16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</row>
    <row r="58">
      <c r="A58" s="130"/>
      <c r="B58" s="130"/>
      <c r="C58" s="155">
        <v>45720.0</v>
      </c>
      <c r="D58" s="156"/>
      <c r="E58" s="156"/>
      <c r="F58" s="156"/>
      <c r="G58" s="135"/>
      <c r="H58" s="157"/>
      <c r="I58" s="155" t="s">
        <v>127</v>
      </c>
      <c r="J58" s="158">
        <v>50.0</v>
      </c>
      <c r="K58" s="130"/>
      <c r="L58" s="16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</row>
    <row r="59">
      <c r="A59" s="130"/>
      <c r="B59" s="130"/>
      <c r="C59" s="155">
        <v>45721.0</v>
      </c>
      <c r="D59" s="156"/>
      <c r="E59" s="156"/>
      <c r="F59" s="156"/>
      <c r="G59" s="135"/>
      <c r="H59" s="135"/>
      <c r="I59" s="135"/>
      <c r="J59" s="135"/>
      <c r="K59" s="130"/>
      <c r="L59" s="16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</row>
    <row r="60">
      <c r="A60" s="130"/>
      <c r="B60" s="130"/>
      <c r="C60" s="155">
        <v>45722.0</v>
      </c>
      <c r="D60" s="166"/>
      <c r="E60" s="156"/>
      <c r="F60" s="156"/>
      <c r="G60" s="135"/>
      <c r="H60" s="135"/>
      <c r="I60" s="135"/>
      <c r="J60" s="135"/>
      <c r="K60" s="130"/>
      <c r="L60" s="16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</row>
    <row r="61">
      <c r="A61" s="130"/>
      <c r="B61" s="130"/>
      <c r="C61" s="155">
        <v>45723.0</v>
      </c>
      <c r="D61" s="166"/>
      <c r="E61" s="156"/>
      <c r="F61" s="166"/>
      <c r="G61" s="135"/>
      <c r="H61" s="135"/>
      <c r="I61" s="135"/>
      <c r="J61" s="135"/>
      <c r="K61" s="130"/>
      <c r="L61" s="16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</row>
    <row r="62">
      <c r="A62" s="130"/>
      <c r="B62" s="130"/>
      <c r="C62" s="167" t="s">
        <v>128</v>
      </c>
      <c r="D62" s="168" t="str">
        <f t="shared" ref="D62:F62" si="16">AVERAGE(D55:D61)</f>
        <v>#DIV/0!</v>
      </c>
      <c r="E62" s="168" t="str">
        <f t="shared" si="16"/>
        <v>#DIV/0!</v>
      </c>
      <c r="F62" s="168" t="str">
        <f t="shared" si="16"/>
        <v>#DIV/0!</v>
      </c>
      <c r="G62" s="135"/>
      <c r="H62" s="135"/>
      <c r="I62" s="135"/>
      <c r="J62" s="135"/>
      <c r="K62" s="130"/>
      <c r="L62" s="16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</row>
    <row r="63">
      <c r="A63" s="130"/>
      <c r="B63" s="130"/>
      <c r="C63" s="136"/>
      <c r="D63" s="136"/>
      <c r="E63" s="136"/>
      <c r="F63" s="136"/>
      <c r="G63" s="135"/>
      <c r="H63" s="135"/>
      <c r="I63" s="135"/>
      <c r="J63" s="135"/>
      <c r="K63" s="130"/>
      <c r="L63" s="16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</row>
    <row r="64">
      <c r="A64" s="130"/>
      <c r="B64" s="130"/>
      <c r="C64" s="170" t="s">
        <v>129</v>
      </c>
      <c r="D64" s="39"/>
      <c r="E64" s="39"/>
      <c r="F64" s="39"/>
      <c r="G64" s="23"/>
      <c r="H64" s="171"/>
      <c r="I64" s="171"/>
      <c r="J64" s="171"/>
      <c r="K64" s="130"/>
      <c r="L64" s="16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</row>
    <row r="65">
      <c r="A65" s="130"/>
      <c r="B65" s="130"/>
      <c r="C65" s="172" t="s">
        <v>113</v>
      </c>
      <c r="D65" s="172" t="s">
        <v>130</v>
      </c>
      <c r="E65" s="172" t="s">
        <v>131</v>
      </c>
      <c r="F65" s="172" t="s">
        <v>116</v>
      </c>
      <c r="G65" s="172" t="s">
        <v>117</v>
      </c>
      <c r="H65" s="171"/>
      <c r="I65" s="171"/>
      <c r="J65" s="171"/>
      <c r="K65" s="130"/>
      <c r="L65" s="16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</row>
    <row r="66">
      <c r="A66" s="130"/>
      <c r="B66" s="130"/>
      <c r="C66" s="173"/>
      <c r="D66" s="173"/>
      <c r="E66" s="173"/>
      <c r="F66" s="173"/>
      <c r="G66" s="173"/>
      <c r="H66" s="171"/>
      <c r="I66" s="171"/>
      <c r="J66" s="171"/>
      <c r="K66" s="130"/>
      <c r="L66" s="16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</row>
    <row r="67" ht="21.0" customHeight="1">
      <c r="A67" s="130"/>
      <c r="B67" s="130"/>
      <c r="C67" s="130"/>
      <c r="D67" s="130"/>
      <c r="E67" s="130"/>
      <c r="F67" s="130"/>
      <c r="G67" s="130"/>
      <c r="H67" s="171"/>
      <c r="I67" s="171"/>
      <c r="J67" s="171"/>
      <c r="K67" s="130"/>
      <c r="L67" s="16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</row>
    <row r="68" ht="31.5" customHeight="1">
      <c r="A68" s="130"/>
      <c r="B68" s="130"/>
      <c r="C68" s="130"/>
      <c r="D68" s="130"/>
      <c r="E68" s="130"/>
      <c r="F68" s="130"/>
      <c r="G68" s="130"/>
      <c r="H68" s="171"/>
      <c r="I68" s="171"/>
      <c r="J68" s="171"/>
      <c r="K68" s="130"/>
      <c r="L68" s="16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</row>
    <row r="69" ht="30.0" customHeight="1">
      <c r="A69" s="130"/>
      <c r="B69" s="130"/>
      <c r="C69" s="136"/>
      <c r="D69" s="177" t="s">
        <v>3</v>
      </c>
      <c r="E69" s="23"/>
      <c r="F69" s="136"/>
      <c r="G69" s="135"/>
      <c r="H69" s="135"/>
      <c r="I69" s="135"/>
      <c r="J69" s="135"/>
      <c r="K69" s="130"/>
      <c r="L69" s="16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</row>
    <row r="70">
      <c r="A70" s="130"/>
      <c r="B70" s="130"/>
      <c r="C70" s="147" t="s">
        <v>118</v>
      </c>
      <c r="D70" s="147" t="s">
        <v>119</v>
      </c>
      <c r="E70" s="147" t="s">
        <v>120</v>
      </c>
      <c r="F70" s="147" t="s">
        <v>121</v>
      </c>
      <c r="G70" s="135"/>
      <c r="H70" s="150"/>
      <c r="I70" s="151" t="s">
        <v>122</v>
      </c>
      <c r="J70" s="23"/>
      <c r="K70" s="130"/>
      <c r="L70" s="16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</row>
    <row r="71">
      <c r="A71" s="130"/>
      <c r="B71" s="130"/>
      <c r="C71" s="155">
        <v>45724.0</v>
      </c>
      <c r="D71" s="156"/>
      <c r="E71" s="156"/>
      <c r="F71" s="156"/>
      <c r="G71" s="135"/>
      <c r="H71" s="157"/>
      <c r="I71" s="155" t="s">
        <v>124</v>
      </c>
      <c r="J71" s="158">
        <v>1530.0</v>
      </c>
      <c r="K71" s="130"/>
      <c r="L71" s="16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</row>
    <row r="72">
      <c r="A72" s="130"/>
      <c r="B72" s="130"/>
      <c r="C72" s="155">
        <v>45725.0</v>
      </c>
      <c r="D72" s="156"/>
      <c r="E72" s="156"/>
      <c r="F72" s="156"/>
      <c r="G72" s="135"/>
      <c r="H72" s="157"/>
      <c r="I72" s="155" t="s">
        <v>125</v>
      </c>
      <c r="J72" s="158">
        <v>120.0</v>
      </c>
      <c r="K72" s="130"/>
      <c r="L72" s="16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</row>
    <row r="73">
      <c r="A73" s="130"/>
      <c r="B73" s="130"/>
      <c r="C73" s="155">
        <v>45726.0</v>
      </c>
      <c r="D73" s="156"/>
      <c r="E73" s="156"/>
      <c r="F73" s="156"/>
      <c r="G73" s="135"/>
      <c r="H73" s="157"/>
      <c r="I73" s="155" t="s">
        <v>126</v>
      </c>
      <c r="J73" s="158">
        <v>150.0</v>
      </c>
      <c r="K73" s="130"/>
      <c r="L73" s="16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</row>
    <row r="74">
      <c r="A74" s="130"/>
      <c r="B74" s="130"/>
      <c r="C74" s="155">
        <v>45727.0</v>
      </c>
      <c r="D74" s="156"/>
      <c r="E74" s="156"/>
      <c r="F74" s="156"/>
      <c r="G74" s="135"/>
      <c r="H74" s="157"/>
      <c r="I74" s="155" t="s">
        <v>127</v>
      </c>
      <c r="J74" s="158">
        <v>50.0</v>
      </c>
      <c r="K74" s="130"/>
      <c r="L74" s="16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</row>
    <row r="75">
      <c r="A75" s="130"/>
      <c r="B75" s="130"/>
      <c r="C75" s="155">
        <v>45728.0</v>
      </c>
      <c r="D75" s="156"/>
      <c r="E75" s="156"/>
      <c r="F75" s="156"/>
      <c r="G75" s="135"/>
      <c r="H75" s="135"/>
      <c r="I75" s="135"/>
      <c r="J75" s="135"/>
      <c r="K75" s="130"/>
      <c r="L75" s="16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</row>
    <row r="76">
      <c r="A76" s="130"/>
      <c r="B76" s="130"/>
      <c r="C76" s="155">
        <v>45729.0</v>
      </c>
      <c r="D76" s="166"/>
      <c r="E76" s="156"/>
      <c r="F76" s="156"/>
      <c r="G76" s="135"/>
      <c r="H76" s="135"/>
      <c r="I76" s="135"/>
      <c r="J76" s="135"/>
      <c r="K76" s="130"/>
      <c r="L76" s="16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</row>
    <row r="77">
      <c r="A77" s="130"/>
      <c r="B77" s="130"/>
      <c r="C77" s="155">
        <v>45730.0</v>
      </c>
      <c r="D77" s="166"/>
      <c r="E77" s="156"/>
      <c r="F77" s="166"/>
      <c r="G77" s="135"/>
      <c r="H77" s="135"/>
      <c r="I77" s="135"/>
      <c r="J77" s="135"/>
      <c r="K77" s="130"/>
      <c r="L77" s="16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</row>
    <row r="78">
      <c r="A78" s="130"/>
      <c r="B78" s="130"/>
      <c r="C78" s="167" t="s">
        <v>128</v>
      </c>
      <c r="D78" s="168" t="str">
        <f t="shared" ref="D78:F78" si="17">AVERAGE(D71:D77)</f>
        <v>#DIV/0!</v>
      </c>
      <c r="E78" s="168" t="str">
        <f t="shared" si="17"/>
        <v>#DIV/0!</v>
      </c>
      <c r="F78" s="168" t="str">
        <f t="shared" si="17"/>
        <v>#DIV/0!</v>
      </c>
      <c r="G78" s="135"/>
      <c r="H78" s="135"/>
      <c r="I78" s="135"/>
      <c r="J78" s="135"/>
      <c r="K78" s="130"/>
      <c r="L78" s="16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</row>
    <row r="79">
      <c r="A79" s="130"/>
      <c r="B79" s="130"/>
      <c r="C79" s="136"/>
      <c r="D79" s="136"/>
      <c r="E79" s="136"/>
      <c r="F79" s="136"/>
      <c r="G79" s="135"/>
      <c r="H79" s="135"/>
      <c r="I79" s="135"/>
      <c r="J79" s="135"/>
      <c r="K79" s="130"/>
      <c r="L79" s="16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</row>
    <row r="80">
      <c r="A80" s="130"/>
      <c r="B80" s="130"/>
      <c r="C80" s="170" t="s">
        <v>129</v>
      </c>
      <c r="D80" s="39"/>
      <c r="E80" s="39"/>
      <c r="F80" s="39"/>
      <c r="G80" s="23"/>
      <c r="H80" s="171"/>
      <c r="I80" s="171"/>
      <c r="J80" s="171"/>
      <c r="K80" s="130"/>
      <c r="L80" s="16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</row>
    <row r="81">
      <c r="A81" s="130"/>
      <c r="B81" s="130"/>
      <c r="C81" s="172" t="s">
        <v>113</v>
      </c>
      <c r="D81" s="172" t="s">
        <v>130</v>
      </c>
      <c r="E81" s="172" t="s">
        <v>131</v>
      </c>
      <c r="F81" s="172" t="s">
        <v>116</v>
      </c>
      <c r="G81" s="172" t="s">
        <v>117</v>
      </c>
      <c r="H81" s="171"/>
      <c r="I81" s="171"/>
      <c r="J81" s="171"/>
      <c r="K81" s="130"/>
      <c r="L81" s="16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</row>
    <row r="82">
      <c r="A82" s="130"/>
      <c r="B82" s="130"/>
      <c r="C82" s="173"/>
      <c r="D82" s="173"/>
      <c r="E82" s="173"/>
      <c r="F82" s="173"/>
      <c r="G82" s="173"/>
      <c r="H82" s="171"/>
      <c r="I82" s="171"/>
      <c r="J82" s="171"/>
      <c r="K82" s="130"/>
      <c r="L82" s="16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</row>
    <row r="83">
      <c r="A83" s="130"/>
      <c r="B83" s="130"/>
      <c r="C83" s="130"/>
      <c r="D83" s="130"/>
      <c r="E83" s="130"/>
      <c r="F83" s="130"/>
      <c r="G83" s="130"/>
      <c r="H83" s="171"/>
      <c r="I83" s="171"/>
      <c r="J83" s="171"/>
      <c r="K83" s="130"/>
      <c r="L83" s="16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</row>
    <row r="84">
      <c r="A84" s="130"/>
      <c r="B84" s="130"/>
      <c r="C84" s="130"/>
      <c r="D84" s="130"/>
      <c r="E84" s="130"/>
      <c r="F84" s="130"/>
      <c r="G84" s="130"/>
      <c r="H84" s="171"/>
      <c r="I84" s="171"/>
      <c r="J84" s="171"/>
      <c r="K84" s="130"/>
      <c r="L84" s="16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</row>
    <row r="85" ht="30.0" customHeight="1">
      <c r="A85" s="130"/>
      <c r="B85" s="130"/>
      <c r="C85" s="136"/>
      <c r="D85" s="177" t="s">
        <v>136</v>
      </c>
      <c r="E85" s="23"/>
      <c r="F85" s="136"/>
      <c r="G85" s="135"/>
      <c r="H85" s="135"/>
      <c r="I85" s="135"/>
      <c r="J85" s="135"/>
      <c r="K85" s="130"/>
      <c r="L85" s="16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</row>
    <row r="86">
      <c r="A86" s="130"/>
      <c r="B86" s="130"/>
      <c r="C86" s="147" t="s">
        <v>118</v>
      </c>
      <c r="D86" s="147" t="s">
        <v>119</v>
      </c>
      <c r="E86" s="147" t="s">
        <v>120</v>
      </c>
      <c r="F86" s="147" t="s">
        <v>121</v>
      </c>
      <c r="G86" s="135"/>
      <c r="H86" s="150"/>
      <c r="I86" s="151" t="s">
        <v>122</v>
      </c>
      <c r="J86" s="23"/>
      <c r="K86" s="130"/>
      <c r="L86" s="16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</row>
    <row r="87">
      <c r="A87" s="130"/>
      <c r="B87" s="130"/>
      <c r="C87" s="155">
        <v>45483.0</v>
      </c>
      <c r="D87" s="156"/>
      <c r="E87" s="156"/>
      <c r="F87" s="156"/>
      <c r="G87" s="135"/>
      <c r="H87" s="157"/>
      <c r="I87" s="155" t="s">
        <v>124</v>
      </c>
      <c r="J87" s="158">
        <v>1530.0</v>
      </c>
      <c r="K87" s="130"/>
      <c r="L87" s="16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</row>
    <row r="88">
      <c r="A88" s="130"/>
      <c r="B88" s="130"/>
      <c r="C88" s="155">
        <v>45484.0</v>
      </c>
      <c r="D88" s="156"/>
      <c r="E88" s="156"/>
      <c r="F88" s="156"/>
      <c r="G88" s="135"/>
      <c r="H88" s="157"/>
      <c r="I88" s="155" t="s">
        <v>125</v>
      </c>
      <c r="J88" s="158">
        <v>120.0</v>
      </c>
      <c r="K88" s="130"/>
      <c r="L88" s="16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</row>
    <row r="89">
      <c r="A89" s="130"/>
      <c r="B89" s="130"/>
      <c r="C89" s="155">
        <v>45485.0</v>
      </c>
      <c r="D89" s="156"/>
      <c r="E89" s="156"/>
      <c r="F89" s="156"/>
      <c r="G89" s="135"/>
      <c r="H89" s="157"/>
      <c r="I89" s="155" t="s">
        <v>126</v>
      </c>
      <c r="J89" s="158">
        <v>150.0</v>
      </c>
      <c r="K89" s="130"/>
      <c r="L89" s="16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</row>
    <row r="90">
      <c r="A90" s="130"/>
      <c r="B90" s="130"/>
      <c r="C90" s="155">
        <v>45486.0</v>
      </c>
      <c r="D90" s="156"/>
      <c r="E90" s="156"/>
      <c r="F90" s="156"/>
      <c r="G90" s="135"/>
      <c r="H90" s="157"/>
      <c r="I90" s="155" t="s">
        <v>127</v>
      </c>
      <c r="J90" s="158">
        <v>50.0</v>
      </c>
      <c r="K90" s="130"/>
      <c r="L90" s="16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</row>
    <row r="91">
      <c r="A91" s="130"/>
      <c r="B91" s="130"/>
      <c r="C91" s="155">
        <v>45487.0</v>
      </c>
      <c r="D91" s="156"/>
      <c r="E91" s="156"/>
      <c r="F91" s="156"/>
      <c r="G91" s="135"/>
      <c r="H91" s="135"/>
      <c r="I91" s="135"/>
      <c r="J91" s="135"/>
      <c r="K91" s="130"/>
      <c r="L91" s="16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</row>
    <row r="92">
      <c r="A92" s="130"/>
      <c r="B92" s="130"/>
      <c r="C92" s="155">
        <v>45488.0</v>
      </c>
      <c r="D92" s="166"/>
      <c r="E92" s="156"/>
      <c r="F92" s="156"/>
      <c r="G92" s="135"/>
      <c r="H92" s="135"/>
      <c r="I92" s="135"/>
      <c r="J92" s="135"/>
      <c r="K92" s="130"/>
      <c r="L92" s="16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</row>
    <row r="93">
      <c r="A93" s="130"/>
      <c r="B93" s="130"/>
      <c r="C93" s="155">
        <v>45489.0</v>
      </c>
      <c r="D93" s="166"/>
      <c r="E93" s="156"/>
      <c r="F93" s="166"/>
      <c r="G93" s="135"/>
      <c r="H93" s="135"/>
      <c r="I93" s="135"/>
      <c r="J93" s="135"/>
      <c r="K93" s="130"/>
      <c r="L93" s="16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</row>
    <row r="94">
      <c r="A94" s="130"/>
      <c r="B94" s="130"/>
      <c r="C94" s="167" t="s">
        <v>128</v>
      </c>
      <c r="D94" s="168" t="str">
        <f t="shared" ref="D94:F94" si="18">AVERAGE(D87:D93)</f>
        <v>#DIV/0!</v>
      </c>
      <c r="E94" s="168" t="str">
        <f t="shared" si="18"/>
        <v>#DIV/0!</v>
      </c>
      <c r="F94" s="168" t="str">
        <f t="shared" si="18"/>
        <v>#DIV/0!</v>
      </c>
      <c r="G94" s="135"/>
      <c r="H94" s="135"/>
      <c r="I94" s="135"/>
      <c r="J94" s="135"/>
      <c r="K94" s="130"/>
      <c r="L94" s="16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</row>
    <row r="95">
      <c r="A95" s="130"/>
      <c r="B95" s="130"/>
      <c r="C95" s="136"/>
      <c r="D95" s="136"/>
      <c r="E95" s="136"/>
      <c r="F95" s="136"/>
      <c r="G95" s="135"/>
      <c r="H95" s="135"/>
      <c r="I95" s="135"/>
      <c r="J95" s="135"/>
      <c r="K95" s="130"/>
      <c r="L95" s="16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</row>
    <row r="96">
      <c r="A96" s="130"/>
      <c r="B96" s="130"/>
      <c r="C96" s="170" t="s">
        <v>129</v>
      </c>
      <c r="D96" s="39"/>
      <c r="E96" s="39"/>
      <c r="F96" s="39"/>
      <c r="G96" s="23"/>
      <c r="H96" s="171"/>
      <c r="I96" s="171"/>
      <c r="J96" s="171"/>
      <c r="K96" s="130"/>
      <c r="L96" s="16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</row>
    <row r="97">
      <c r="A97" s="130"/>
      <c r="B97" s="130"/>
      <c r="C97" s="172" t="s">
        <v>113</v>
      </c>
      <c r="D97" s="172" t="s">
        <v>130</v>
      </c>
      <c r="E97" s="172" t="s">
        <v>131</v>
      </c>
      <c r="F97" s="172" t="s">
        <v>116</v>
      </c>
      <c r="G97" s="172" t="s">
        <v>117</v>
      </c>
      <c r="H97" s="171"/>
      <c r="I97" s="171"/>
      <c r="J97" s="171"/>
      <c r="K97" s="130"/>
      <c r="L97" s="16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</row>
    <row r="98">
      <c r="A98" s="130"/>
      <c r="B98" s="130"/>
      <c r="C98" s="173"/>
      <c r="D98" s="173"/>
      <c r="E98" s="173"/>
      <c r="F98" s="173"/>
      <c r="G98" s="173"/>
      <c r="H98" s="171"/>
      <c r="I98" s="171"/>
      <c r="J98" s="171"/>
      <c r="K98" s="130"/>
      <c r="L98" s="16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</row>
    <row r="99">
      <c r="A99" s="130"/>
      <c r="B99" s="130"/>
      <c r="C99" s="130"/>
      <c r="D99" s="130"/>
      <c r="E99" s="130"/>
      <c r="F99" s="130"/>
      <c r="G99" s="130"/>
      <c r="H99" s="171"/>
      <c r="I99" s="171"/>
      <c r="J99" s="171"/>
      <c r="K99" s="130"/>
      <c r="L99" s="16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</row>
    <row r="100">
      <c r="A100" s="130"/>
      <c r="B100" s="130"/>
      <c r="C100" s="130"/>
      <c r="D100" s="130"/>
      <c r="E100" s="130"/>
      <c r="F100" s="130"/>
      <c r="G100" s="130"/>
      <c r="H100" s="171"/>
      <c r="I100" s="171"/>
      <c r="J100" s="171"/>
      <c r="K100" s="130"/>
      <c r="L100" s="16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</row>
    <row r="101" ht="27.0" customHeight="1">
      <c r="A101" s="130"/>
      <c r="B101" s="130"/>
      <c r="C101" s="136"/>
      <c r="D101" s="177" t="s">
        <v>137</v>
      </c>
      <c r="E101" s="23"/>
      <c r="F101" s="136"/>
      <c r="G101" s="135"/>
      <c r="H101" s="135"/>
      <c r="I101" s="135"/>
      <c r="J101" s="135"/>
      <c r="K101" s="130"/>
      <c r="L101" s="16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</row>
    <row r="102">
      <c r="A102" s="130"/>
      <c r="B102" s="130"/>
      <c r="C102" s="147" t="s">
        <v>118</v>
      </c>
      <c r="D102" s="147" t="s">
        <v>119</v>
      </c>
      <c r="E102" s="147" t="s">
        <v>120</v>
      </c>
      <c r="F102" s="147" t="s">
        <v>121</v>
      </c>
      <c r="G102" s="135"/>
      <c r="H102" s="150"/>
      <c r="I102" s="151" t="s">
        <v>122</v>
      </c>
      <c r="J102" s="23"/>
      <c r="K102" s="130"/>
      <c r="L102" s="16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</row>
    <row r="103">
      <c r="A103" s="130"/>
      <c r="B103" s="130"/>
      <c r="C103" s="155">
        <v>45483.0</v>
      </c>
      <c r="D103" s="156"/>
      <c r="E103" s="156"/>
      <c r="F103" s="156"/>
      <c r="G103" s="135"/>
      <c r="H103" s="157"/>
      <c r="I103" s="155" t="s">
        <v>124</v>
      </c>
      <c r="J103" s="158">
        <v>1530.0</v>
      </c>
      <c r="K103" s="130"/>
      <c r="L103" s="16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</row>
    <row r="104">
      <c r="A104" s="130"/>
      <c r="B104" s="130"/>
      <c r="C104" s="155">
        <v>45484.0</v>
      </c>
      <c r="D104" s="156"/>
      <c r="E104" s="156"/>
      <c r="F104" s="156"/>
      <c r="G104" s="135"/>
      <c r="H104" s="157"/>
      <c r="I104" s="155" t="s">
        <v>125</v>
      </c>
      <c r="J104" s="158">
        <v>120.0</v>
      </c>
      <c r="K104" s="130"/>
      <c r="L104" s="16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</row>
    <row r="105">
      <c r="A105" s="130"/>
      <c r="B105" s="130"/>
      <c r="C105" s="155">
        <v>45485.0</v>
      </c>
      <c r="D105" s="156"/>
      <c r="E105" s="156"/>
      <c r="F105" s="156"/>
      <c r="G105" s="135"/>
      <c r="H105" s="157"/>
      <c r="I105" s="155" t="s">
        <v>126</v>
      </c>
      <c r="J105" s="158">
        <v>150.0</v>
      </c>
      <c r="K105" s="130"/>
      <c r="L105" s="16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</row>
    <row r="106">
      <c r="A106" s="130"/>
      <c r="B106" s="130"/>
      <c r="C106" s="155">
        <v>45486.0</v>
      </c>
      <c r="D106" s="156"/>
      <c r="E106" s="156"/>
      <c r="F106" s="156"/>
      <c r="G106" s="135"/>
      <c r="H106" s="157"/>
      <c r="I106" s="155" t="s">
        <v>127</v>
      </c>
      <c r="J106" s="158">
        <v>50.0</v>
      </c>
      <c r="K106" s="130"/>
      <c r="L106" s="16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</row>
    <row r="107">
      <c r="A107" s="130"/>
      <c r="B107" s="130"/>
      <c r="C107" s="155">
        <v>45487.0</v>
      </c>
      <c r="D107" s="156"/>
      <c r="E107" s="156"/>
      <c r="F107" s="156"/>
      <c r="G107" s="135"/>
      <c r="H107" s="135"/>
      <c r="I107" s="135"/>
      <c r="J107" s="135"/>
      <c r="K107" s="130"/>
      <c r="L107" s="16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</row>
    <row r="108">
      <c r="A108" s="130"/>
      <c r="B108" s="130"/>
      <c r="C108" s="155">
        <v>45488.0</v>
      </c>
      <c r="D108" s="166"/>
      <c r="E108" s="156"/>
      <c r="F108" s="156"/>
      <c r="G108" s="135"/>
      <c r="H108" s="135"/>
      <c r="I108" s="135"/>
      <c r="J108" s="135"/>
      <c r="K108" s="130"/>
      <c r="L108" s="16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</row>
    <row r="109">
      <c r="A109" s="130"/>
      <c r="B109" s="130"/>
      <c r="C109" s="155">
        <v>45489.0</v>
      </c>
      <c r="D109" s="166"/>
      <c r="E109" s="156"/>
      <c r="F109" s="166"/>
      <c r="G109" s="135"/>
      <c r="H109" s="135"/>
      <c r="I109" s="135"/>
      <c r="J109" s="135"/>
      <c r="K109" s="130"/>
      <c r="L109" s="16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</row>
    <row r="110">
      <c r="A110" s="130"/>
      <c r="B110" s="130"/>
      <c r="C110" s="167" t="s">
        <v>128</v>
      </c>
      <c r="D110" s="168" t="str">
        <f t="shared" ref="D110:F110" si="19">AVERAGE(D103:D109)</f>
        <v>#DIV/0!</v>
      </c>
      <c r="E110" s="168" t="str">
        <f t="shared" si="19"/>
        <v>#DIV/0!</v>
      </c>
      <c r="F110" s="168" t="str">
        <f t="shared" si="19"/>
        <v>#DIV/0!</v>
      </c>
      <c r="G110" s="135"/>
      <c r="H110" s="135"/>
      <c r="I110" s="135"/>
      <c r="J110" s="135"/>
      <c r="K110" s="130"/>
      <c r="L110" s="16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</row>
    <row r="111">
      <c r="A111" s="130"/>
      <c r="B111" s="130"/>
      <c r="C111" s="136"/>
      <c r="D111" s="136"/>
      <c r="E111" s="136"/>
      <c r="F111" s="136"/>
      <c r="G111" s="135"/>
      <c r="H111" s="135"/>
      <c r="I111" s="135"/>
      <c r="J111" s="135"/>
      <c r="K111" s="130"/>
      <c r="L111" s="16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</row>
    <row r="112">
      <c r="A112" s="130"/>
      <c r="B112" s="130"/>
      <c r="C112" s="170" t="s">
        <v>129</v>
      </c>
      <c r="D112" s="39"/>
      <c r="E112" s="39"/>
      <c r="F112" s="39"/>
      <c r="G112" s="23"/>
      <c r="H112" s="171"/>
      <c r="I112" s="171"/>
      <c r="J112" s="171"/>
      <c r="K112" s="130"/>
      <c r="L112" s="16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</row>
    <row r="113">
      <c r="A113" s="130"/>
      <c r="B113" s="130"/>
      <c r="C113" s="172" t="s">
        <v>113</v>
      </c>
      <c r="D113" s="172" t="s">
        <v>130</v>
      </c>
      <c r="E113" s="172" t="s">
        <v>131</v>
      </c>
      <c r="F113" s="172" t="s">
        <v>116</v>
      </c>
      <c r="G113" s="172" t="s">
        <v>117</v>
      </c>
      <c r="H113" s="171"/>
      <c r="I113" s="171"/>
      <c r="J113" s="171"/>
      <c r="K113" s="130"/>
      <c r="L113" s="16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</row>
    <row r="114">
      <c r="A114" s="130"/>
      <c r="B114" s="130"/>
      <c r="C114" s="173"/>
      <c r="D114" s="173"/>
      <c r="E114" s="173"/>
      <c r="F114" s="173"/>
      <c r="G114" s="173"/>
      <c r="H114" s="171"/>
      <c r="I114" s="171"/>
      <c r="J114" s="171"/>
      <c r="K114" s="130"/>
      <c r="L114" s="16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</row>
    <row r="115">
      <c r="A115" s="130"/>
      <c r="B115" s="130"/>
      <c r="C115" s="135"/>
      <c r="D115" s="135"/>
      <c r="E115" s="135"/>
      <c r="F115" s="135"/>
      <c r="G115" s="130"/>
      <c r="H115" s="130"/>
      <c r="I115" s="130"/>
      <c r="J115" s="130"/>
      <c r="K115" s="130"/>
      <c r="L115" s="16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</row>
    <row r="116">
      <c r="A116" s="130"/>
      <c r="B116" s="130"/>
      <c r="C116" s="16"/>
      <c r="D116" s="16"/>
      <c r="E116" s="16"/>
      <c r="F116" s="16"/>
      <c r="G116" s="130"/>
      <c r="H116" s="130"/>
      <c r="I116" s="130"/>
      <c r="J116" s="130"/>
      <c r="K116" s="130"/>
      <c r="L116" s="16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</row>
    <row r="117">
      <c r="A117" s="130"/>
      <c r="B117" s="130"/>
      <c r="C117" s="16"/>
      <c r="D117" s="16"/>
      <c r="E117" s="16"/>
      <c r="F117" s="16"/>
      <c r="G117" s="130"/>
      <c r="H117" s="130"/>
      <c r="I117" s="130"/>
      <c r="J117" s="130"/>
      <c r="K117" s="130"/>
      <c r="L117" s="16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</row>
    <row r="118" ht="30.0" customHeight="1">
      <c r="A118" s="130"/>
      <c r="B118" s="130"/>
      <c r="C118" s="136"/>
      <c r="D118" s="177" t="s">
        <v>138</v>
      </c>
      <c r="E118" s="23"/>
      <c r="F118" s="136"/>
      <c r="G118" s="135"/>
      <c r="H118" s="135"/>
      <c r="I118" s="135"/>
      <c r="J118" s="135"/>
      <c r="K118" s="130"/>
      <c r="L118" s="16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</row>
    <row r="119">
      <c r="A119" s="130"/>
      <c r="B119" s="130"/>
      <c r="C119" s="147" t="s">
        <v>118</v>
      </c>
      <c r="D119" s="147" t="s">
        <v>119</v>
      </c>
      <c r="E119" s="147" t="s">
        <v>120</v>
      </c>
      <c r="F119" s="147" t="s">
        <v>121</v>
      </c>
      <c r="G119" s="135"/>
      <c r="H119" s="150"/>
      <c r="I119" s="151" t="s">
        <v>122</v>
      </c>
      <c r="J119" s="23"/>
      <c r="K119" s="130"/>
      <c r="L119" s="16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</row>
    <row r="120">
      <c r="A120" s="130"/>
      <c r="B120" s="130"/>
      <c r="C120" s="155">
        <v>45483.0</v>
      </c>
      <c r="D120" s="156"/>
      <c r="E120" s="156"/>
      <c r="F120" s="156"/>
      <c r="G120" s="135"/>
      <c r="H120" s="157"/>
      <c r="I120" s="155" t="s">
        <v>124</v>
      </c>
      <c r="J120" s="158">
        <v>1530.0</v>
      </c>
      <c r="K120" s="130"/>
      <c r="L120" s="16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</row>
    <row r="121">
      <c r="A121" s="130"/>
      <c r="B121" s="130"/>
      <c r="C121" s="155">
        <v>45484.0</v>
      </c>
      <c r="D121" s="156"/>
      <c r="E121" s="156"/>
      <c r="F121" s="156"/>
      <c r="G121" s="135"/>
      <c r="H121" s="157"/>
      <c r="I121" s="155" t="s">
        <v>125</v>
      </c>
      <c r="J121" s="158">
        <v>120.0</v>
      </c>
      <c r="K121" s="130"/>
      <c r="L121" s="16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</row>
    <row r="122">
      <c r="A122" s="130"/>
      <c r="B122" s="130"/>
      <c r="C122" s="155">
        <v>45485.0</v>
      </c>
      <c r="D122" s="156"/>
      <c r="E122" s="156"/>
      <c r="F122" s="156"/>
      <c r="G122" s="135"/>
      <c r="H122" s="157"/>
      <c r="I122" s="155" t="s">
        <v>126</v>
      </c>
      <c r="J122" s="158">
        <v>150.0</v>
      </c>
      <c r="K122" s="130"/>
      <c r="L122" s="16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</row>
    <row r="123">
      <c r="A123" s="130"/>
      <c r="B123" s="130"/>
      <c r="C123" s="155">
        <v>45486.0</v>
      </c>
      <c r="D123" s="156"/>
      <c r="E123" s="156"/>
      <c r="F123" s="156"/>
      <c r="G123" s="135"/>
      <c r="H123" s="157"/>
      <c r="I123" s="155" t="s">
        <v>127</v>
      </c>
      <c r="J123" s="158">
        <v>50.0</v>
      </c>
      <c r="K123" s="130"/>
      <c r="L123" s="16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</row>
    <row r="124">
      <c r="A124" s="130"/>
      <c r="B124" s="130"/>
      <c r="C124" s="155">
        <v>45487.0</v>
      </c>
      <c r="D124" s="156"/>
      <c r="E124" s="156"/>
      <c r="F124" s="156"/>
      <c r="G124" s="135"/>
      <c r="H124" s="135"/>
      <c r="I124" s="135"/>
      <c r="J124" s="135"/>
      <c r="K124" s="130"/>
      <c r="L124" s="16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</row>
    <row r="125">
      <c r="A125" s="130"/>
      <c r="B125" s="130"/>
      <c r="C125" s="155">
        <v>45488.0</v>
      </c>
      <c r="D125" s="166"/>
      <c r="E125" s="156"/>
      <c r="F125" s="156"/>
      <c r="G125" s="135"/>
      <c r="H125" s="135"/>
      <c r="I125" s="135"/>
      <c r="J125" s="135"/>
      <c r="K125" s="130"/>
      <c r="L125" s="16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</row>
    <row r="126">
      <c r="A126" s="130"/>
      <c r="B126" s="130"/>
      <c r="C126" s="155">
        <v>45489.0</v>
      </c>
      <c r="D126" s="166"/>
      <c r="E126" s="156"/>
      <c r="F126" s="166"/>
      <c r="G126" s="135"/>
      <c r="H126" s="135"/>
      <c r="I126" s="135"/>
      <c r="J126" s="135"/>
      <c r="K126" s="130"/>
      <c r="L126" s="16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</row>
    <row r="127">
      <c r="A127" s="130"/>
      <c r="B127" s="130"/>
      <c r="C127" s="167" t="s">
        <v>128</v>
      </c>
      <c r="D127" s="168" t="str">
        <f t="shared" ref="D127:F127" si="20">AVERAGE(D120:D126)</f>
        <v>#DIV/0!</v>
      </c>
      <c r="E127" s="168" t="str">
        <f t="shared" si="20"/>
        <v>#DIV/0!</v>
      </c>
      <c r="F127" s="168" t="str">
        <f t="shared" si="20"/>
        <v>#DIV/0!</v>
      </c>
      <c r="G127" s="135"/>
      <c r="H127" s="135"/>
      <c r="I127" s="135"/>
      <c r="J127" s="135"/>
      <c r="K127" s="130"/>
      <c r="L127" s="16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</row>
    <row r="128">
      <c r="A128" s="130"/>
      <c r="B128" s="130"/>
      <c r="C128" s="136"/>
      <c r="D128" s="136"/>
      <c r="E128" s="136"/>
      <c r="F128" s="136"/>
      <c r="G128" s="135"/>
      <c r="H128" s="135"/>
      <c r="I128" s="135"/>
      <c r="J128" s="135"/>
      <c r="K128" s="130"/>
      <c r="L128" s="16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</row>
    <row r="129">
      <c r="A129" s="130"/>
      <c r="B129" s="130"/>
      <c r="C129" s="170" t="s">
        <v>129</v>
      </c>
      <c r="D129" s="39"/>
      <c r="E129" s="39"/>
      <c r="F129" s="39"/>
      <c r="G129" s="23"/>
      <c r="H129" s="171"/>
      <c r="I129" s="171"/>
      <c r="J129" s="171"/>
      <c r="K129" s="130"/>
      <c r="L129" s="16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</row>
    <row r="130">
      <c r="A130" s="130"/>
      <c r="B130" s="130"/>
      <c r="C130" s="172" t="s">
        <v>113</v>
      </c>
      <c r="D130" s="172" t="s">
        <v>130</v>
      </c>
      <c r="E130" s="172" t="s">
        <v>131</v>
      </c>
      <c r="F130" s="172" t="s">
        <v>116</v>
      </c>
      <c r="G130" s="172" t="s">
        <v>117</v>
      </c>
      <c r="H130" s="171"/>
      <c r="I130" s="171"/>
      <c r="J130" s="171"/>
      <c r="K130" s="130"/>
      <c r="L130" s="16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</row>
    <row r="131">
      <c r="A131" s="130"/>
      <c r="B131" s="130"/>
      <c r="C131" s="173"/>
      <c r="D131" s="173"/>
      <c r="E131" s="173"/>
      <c r="F131" s="173"/>
      <c r="G131" s="173"/>
      <c r="H131" s="171"/>
      <c r="I131" s="171"/>
      <c r="J131" s="171"/>
      <c r="K131" s="130"/>
      <c r="L131" s="16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</row>
    <row r="132">
      <c r="A132" s="130"/>
      <c r="B132" s="130"/>
      <c r="C132" s="130"/>
      <c r="D132" s="130"/>
      <c r="E132" s="130"/>
      <c r="F132" s="130"/>
      <c r="G132" s="130"/>
      <c r="H132" s="171"/>
      <c r="I132" s="171"/>
      <c r="J132" s="171"/>
      <c r="K132" s="130"/>
      <c r="L132" s="16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</row>
    <row r="133">
      <c r="A133" s="130"/>
      <c r="B133" s="130"/>
      <c r="C133" s="130"/>
      <c r="D133" s="130"/>
      <c r="E133" s="130"/>
      <c r="F133" s="130"/>
      <c r="G133" s="130"/>
      <c r="H133" s="171"/>
      <c r="I133" s="171"/>
      <c r="J133" s="171"/>
      <c r="K133" s="130"/>
      <c r="L133" s="16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</row>
    <row r="134">
      <c r="A134" s="130"/>
      <c r="B134" s="130"/>
      <c r="C134" s="130"/>
      <c r="D134" s="130"/>
      <c r="E134" s="130"/>
      <c r="F134" s="130"/>
      <c r="G134" s="130"/>
      <c r="H134" s="171"/>
      <c r="I134" s="171"/>
      <c r="J134" s="171"/>
      <c r="K134" s="130"/>
      <c r="L134" s="16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</row>
    <row r="135" ht="31.5" customHeight="1">
      <c r="A135" s="130"/>
      <c r="B135" s="130"/>
      <c r="C135" s="136"/>
      <c r="D135" s="177" t="s">
        <v>139</v>
      </c>
      <c r="E135" s="23"/>
      <c r="F135" s="136"/>
      <c r="G135" s="135"/>
      <c r="H135" s="135"/>
      <c r="I135" s="135"/>
      <c r="J135" s="135"/>
      <c r="K135" s="130"/>
      <c r="L135" s="16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</row>
    <row r="136">
      <c r="A136" s="130"/>
      <c r="B136" s="130"/>
      <c r="C136" s="147" t="s">
        <v>118</v>
      </c>
      <c r="D136" s="147" t="s">
        <v>119</v>
      </c>
      <c r="E136" s="147" t="s">
        <v>120</v>
      </c>
      <c r="F136" s="147" t="s">
        <v>121</v>
      </c>
      <c r="G136" s="135"/>
      <c r="H136" s="150"/>
      <c r="I136" s="151" t="s">
        <v>122</v>
      </c>
      <c r="J136" s="23"/>
      <c r="K136" s="130"/>
      <c r="L136" s="16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</row>
    <row r="137">
      <c r="A137" s="130"/>
      <c r="B137" s="130"/>
      <c r="C137" s="155">
        <v>45483.0</v>
      </c>
      <c r="D137" s="156"/>
      <c r="E137" s="156"/>
      <c r="F137" s="156"/>
      <c r="G137" s="135"/>
      <c r="H137" s="157"/>
      <c r="I137" s="155" t="s">
        <v>124</v>
      </c>
      <c r="J137" s="158">
        <v>1530.0</v>
      </c>
      <c r="K137" s="130"/>
      <c r="L137" s="16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</row>
    <row r="138">
      <c r="A138" s="130"/>
      <c r="B138" s="130"/>
      <c r="C138" s="155">
        <v>45484.0</v>
      </c>
      <c r="D138" s="156"/>
      <c r="E138" s="156"/>
      <c r="F138" s="156"/>
      <c r="G138" s="135"/>
      <c r="H138" s="157"/>
      <c r="I138" s="155" t="s">
        <v>125</v>
      </c>
      <c r="J138" s="158">
        <v>120.0</v>
      </c>
      <c r="K138" s="130"/>
      <c r="L138" s="16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</row>
    <row r="139">
      <c r="A139" s="130"/>
      <c r="B139" s="130"/>
      <c r="C139" s="155">
        <v>45485.0</v>
      </c>
      <c r="D139" s="156"/>
      <c r="E139" s="156"/>
      <c r="F139" s="156"/>
      <c r="G139" s="135"/>
      <c r="H139" s="157"/>
      <c r="I139" s="155" t="s">
        <v>126</v>
      </c>
      <c r="J139" s="158">
        <v>150.0</v>
      </c>
      <c r="K139" s="130"/>
      <c r="L139" s="16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</row>
    <row r="140">
      <c r="A140" s="130"/>
      <c r="B140" s="130"/>
      <c r="C140" s="155">
        <v>45486.0</v>
      </c>
      <c r="D140" s="156"/>
      <c r="E140" s="156"/>
      <c r="F140" s="156"/>
      <c r="G140" s="135"/>
      <c r="H140" s="157"/>
      <c r="I140" s="155" t="s">
        <v>127</v>
      </c>
      <c r="J140" s="158">
        <v>50.0</v>
      </c>
      <c r="K140" s="130"/>
      <c r="L140" s="16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</row>
    <row r="141">
      <c r="A141" s="130"/>
      <c r="B141" s="130"/>
      <c r="C141" s="155">
        <v>45487.0</v>
      </c>
      <c r="D141" s="156"/>
      <c r="E141" s="156"/>
      <c r="F141" s="156"/>
      <c r="G141" s="135"/>
      <c r="H141" s="135"/>
      <c r="I141" s="135"/>
      <c r="J141" s="135"/>
      <c r="K141" s="130"/>
      <c r="L141" s="16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</row>
    <row r="142">
      <c r="A142" s="130"/>
      <c r="B142" s="130"/>
      <c r="C142" s="155">
        <v>45488.0</v>
      </c>
      <c r="D142" s="166"/>
      <c r="E142" s="156"/>
      <c r="F142" s="156"/>
      <c r="G142" s="135"/>
      <c r="H142" s="135"/>
      <c r="I142" s="135"/>
      <c r="J142" s="135"/>
      <c r="K142" s="130"/>
      <c r="L142" s="16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</row>
    <row r="143">
      <c r="A143" s="130"/>
      <c r="B143" s="130"/>
      <c r="C143" s="155">
        <v>45489.0</v>
      </c>
      <c r="D143" s="166"/>
      <c r="E143" s="156"/>
      <c r="F143" s="166"/>
      <c r="G143" s="135"/>
      <c r="H143" s="135"/>
      <c r="I143" s="135"/>
      <c r="J143" s="135"/>
      <c r="K143" s="130"/>
      <c r="L143" s="16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</row>
    <row r="144">
      <c r="A144" s="130"/>
      <c r="B144" s="130"/>
      <c r="C144" s="167" t="s">
        <v>128</v>
      </c>
      <c r="D144" s="168" t="str">
        <f t="shared" ref="D144:F144" si="21">AVERAGE(D137:D143)</f>
        <v>#DIV/0!</v>
      </c>
      <c r="E144" s="168" t="str">
        <f t="shared" si="21"/>
        <v>#DIV/0!</v>
      </c>
      <c r="F144" s="168" t="str">
        <f t="shared" si="21"/>
        <v>#DIV/0!</v>
      </c>
      <c r="G144" s="135"/>
      <c r="H144" s="135"/>
      <c r="I144" s="135"/>
      <c r="J144" s="135"/>
      <c r="K144" s="130"/>
      <c r="L144" s="16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</row>
    <row r="145">
      <c r="A145" s="130"/>
      <c r="B145" s="130"/>
      <c r="C145" s="136"/>
      <c r="D145" s="136"/>
      <c r="E145" s="136"/>
      <c r="F145" s="136"/>
      <c r="G145" s="135"/>
      <c r="H145" s="135"/>
      <c r="I145" s="135"/>
      <c r="J145" s="135"/>
      <c r="K145" s="130"/>
      <c r="L145" s="16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</row>
    <row r="146">
      <c r="A146" s="130"/>
      <c r="B146" s="130"/>
      <c r="C146" s="170" t="s">
        <v>129</v>
      </c>
      <c r="D146" s="39"/>
      <c r="E146" s="39"/>
      <c r="F146" s="39"/>
      <c r="G146" s="23"/>
      <c r="H146" s="171"/>
      <c r="I146" s="171"/>
      <c r="J146" s="171"/>
      <c r="K146" s="130"/>
      <c r="L146" s="16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</row>
    <row r="147">
      <c r="A147" s="130"/>
      <c r="B147" s="130"/>
      <c r="C147" s="172" t="s">
        <v>113</v>
      </c>
      <c r="D147" s="172" t="s">
        <v>130</v>
      </c>
      <c r="E147" s="172" t="s">
        <v>131</v>
      </c>
      <c r="F147" s="172" t="s">
        <v>116</v>
      </c>
      <c r="G147" s="172" t="s">
        <v>117</v>
      </c>
      <c r="H147" s="171"/>
      <c r="I147" s="171"/>
      <c r="J147" s="171"/>
      <c r="K147" s="130"/>
      <c r="L147" s="16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</row>
    <row r="148">
      <c r="A148" s="130"/>
      <c r="B148" s="130"/>
      <c r="C148" s="173"/>
      <c r="D148" s="173"/>
      <c r="E148" s="173"/>
      <c r="F148" s="173"/>
      <c r="G148" s="173"/>
      <c r="H148" s="171"/>
      <c r="I148" s="171"/>
      <c r="J148" s="171"/>
      <c r="K148" s="130"/>
      <c r="L148" s="16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6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6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</row>
    <row r="151" ht="28.5" customHeight="1">
      <c r="A151" s="130"/>
      <c r="B151" s="130"/>
      <c r="C151" s="136"/>
      <c r="D151" s="177" t="s">
        <v>140</v>
      </c>
      <c r="E151" s="23"/>
      <c r="F151" s="136"/>
      <c r="G151" s="135"/>
      <c r="H151" s="135"/>
      <c r="I151" s="135"/>
      <c r="J151" s="135"/>
      <c r="K151" s="130"/>
      <c r="L151" s="16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</row>
    <row r="152">
      <c r="A152" s="130"/>
      <c r="B152" s="130"/>
      <c r="C152" s="147" t="s">
        <v>118</v>
      </c>
      <c r="D152" s="147" t="s">
        <v>119</v>
      </c>
      <c r="E152" s="147" t="s">
        <v>120</v>
      </c>
      <c r="F152" s="147" t="s">
        <v>121</v>
      </c>
      <c r="G152" s="135"/>
      <c r="H152" s="150"/>
      <c r="I152" s="151" t="s">
        <v>122</v>
      </c>
      <c r="J152" s="23"/>
      <c r="K152" s="130"/>
      <c r="L152" s="16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</row>
    <row r="153">
      <c r="A153" s="130"/>
      <c r="B153" s="130"/>
      <c r="C153" s="155">
        <v>45483.0</v>
      </c>
      <c r="D153" s="156"/>
      <c r="E153" s="156"/>
      <c r="F153" s="156"/>
      <c r="G153" s="135"/>
      <c r="H153" s="157"/>
      <c r="I153" s="155" t="s">
        <v>124</v>
      </c>
      <c r="J153" s="158">
        <v>1530.0</v>
      </c>
      <c r="K153" s="130"/>
      <c r="L153" s="16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</row>
    <row r="154">
      <c r="A154" s="130"/>
      <c r="B154" s="130"/>
      <c r="C154" s="155">
        <v>45484.0</v>
      </c>
      <c r="D154" s="156"/>
      <c r="E154" s="156"/>
      <c r="F154" s="156"/>
      <c r="G154" s="135"/>
      <c r="H154" s="157"/>
      <c r="I154" s="155" t="s">
        <v>125</v>
      </c>
      <c r="J154" s="158">
        <v>120.0</v>
      </c>
      <c r="K154" s="130"/>
      <c r="L154" s="16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</row>
    <row r="155">
      <c r="A155" s="130"/>
      <c r="B155" s="130"/>
      <c r="C155" s="155">
        <v>45485.0</v>
      </c>
      <c r="D155" s="156"/>
      <c r="E155" s="156"/>
      <c r="F155" s="156"/>
      <c r="G155" s="135"/>
      <c r="H155" s="157"/>
      <c r="I155" s="155" t="s">
        <v>126</v>
      </c>
      <c r="J155" s="158">
        <v>150.0</v>
      </c>
      <c r="K155" s="130"/>
      <c r="L155" s="16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</row>
    <row r="156">
      <c r="A156" s="130"/>
      <c r="B156" s="130"/>
      <c r="C156" s="155">
        <v>45486.0</v>
      </c>
      <c r="D156" s="156"/>
      <c r="E156" s="156"/>
      <c r="F156" s="156"/>
      <c r="G156" s="135"/>
      <c r="H156" s="157"/>
      <c r="I156" s="155" t="s">
        <v>127</v>
      </c>
      <c r="J156" s="158">
        <v>50.0</v>
      </c>
      <c r="K156" s="130"/>
      <c r="L156" s="16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</row>
    <row r="157">
      <c r="A157" s="130"/>
      <c r="B157" s="130"/>
      <c r="C157" s="155">
        <v>45487.0</v>
      </c>
      <c r="D157" s="156"/>
      <c r="E157" s="156"/>
      <c r="F157" s="156"/>
      <c r="G157" s="135"/>
      <c r="H157" s="135"/>
      <c r="I157" s="135"/>
      <c r="J157" s="135"/>
      <c r="K157" s="130"/>
      <c r="L157" s="16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</row>
    <row r="158">
      <c r="A158" s="130"/>
      <c r="B158" s="130"/>
      <c r="C158" s="155">
        <v>45488.0</v>
      </c>
      <c r="D158" s="166"/>
      <c r="E158" s="156"/>
      <c r="F158" s="156"/>
      <c r="G158" s="135"/>
      <c r="H158" s="135"/>
      <c r="I158" s="135"/>
      <c r="J158" s="135"/>
      <c r="K158" s="130"/>
      <c r="L158" s="16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</row>
    <row r="159">
      <c r="A159" s="130"/>
      <c r="B159" s="130"/>
      <c r="C159" s="155">
        <v>45489.0</v>
      </c>
      <c r="D159" s="166"/>
      <c r="E159" s="156"/>
      <c r="F159" s="166"/>
      <c r="G159" s="135"/>
      <c r="H159" s="135"/>
      <c r="I159" s="135"/>
      <c r="J159" s="135"/>
      <c r="K159" s="130"/>
      <c r="L159" s="16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</row>
    <row r="160">
      <c r="A160" s="130"/>
      <c r="B160" s="130"/>
      <c r="C160" s="167" t="s">
        <v>128</v>
      </c>
      <c r="D160" s="168" t="str">
        <f t="shared" ref="D160:F160" si="22">AVERAGE(D153:D159)</f>
        <v>#DIV/0!</v>
      </c>
      <c r="E160" s="168" t="str">
        <f t="shared" si="22"/>
        <v>#DIV/0!</v>
      </c>
      <c r="F160" s="168" t="str">
        <f t="shared" si="22"/>
        <v>#DIV/0!</v>
      </c>
      <c r="G160" s="135"/>
      <c r="H160" s="135"/>
      <c r="I160" s="135"/>
      <c r="J160" s="135"/>
      <c r="K160" s="130"/>
      <c r="L160" s="16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</row>
    <row r="161">
      <c r="A161" s="130"/>
      <c r="B161" s="130"/>
      <c r="C161" s="136"/>
      <c r="D161" s="136"/>
      <c r="E161" s="136"/>
      <c r="F161" s="136"/>
      <c r="G161" s="135"/>
      <c r="H161" s="135"/>
      <c r="I161" s="135"/>
      <c r="J161" s="135"/>
      <c r="K161" s="130"/>
      <c r="L161" s="16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</row>
    <row r="162">
      <c r="A162" s="130"/>
      <c r="B162" s="130"/>
      <c r="C162" s="170" t="s">
        <v>129</v>
      </c>
      <c r="D162" s="39"/>
      <c r="E162" s="39"/>
      <c r="F162" s="39"/>
      <c r="G162" s="23"/>
      <c r="H162" s="171"/>
      <c r="I162" s="171"/>
      <c r="J162" s="171"/>
      <c r="K162" s="130"/>
      <c r="L162" s="16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</row>
    <row r="163">
      <c r="A163" s="130"/>
      <c r="B163" s="130"/>
      <c r="C163" s="172" t="s">
        <v>113</v>
      </c>
      <c r="D163" s="172" t="s">
        <v>130</v>
      </c>
      <c r="E163" s="172" t="s">
        <v>131</v>
      </c>
      <c r="F163" s="172" t="s">
        <v>116</v>
      </c>
      <c r="G163" s="172" t="s">
        <v>117</v>
      </c>
      <c r="H163" s="171"/>
      <c r="I163" s="171"/>
      <c r="J163" s="171"/>
      <c r="K163" s="130"/>
      <c r="L163" s="16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</row>
    <row r="164">
      <c r="A164" s="130"/>
      <c r="B164" s="130"/>
      <c r="C164" s="173"/>
      <c r="D164" s="173"/>
      <c r="E164" s="173"/>
      <c r="F164" s="173"/>
      <c r="G164" s="173"/>
      <c r="H164" s="171"/>
      <c r="I164" s="171"/>
      <c r="J164" s="171"/>
      <c r="K164" s="130"/>
      <c r="L164" s="16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</row>
    <row r="165">
      <c r="A165" s="130"/>
      <c r="B165" s="130"/>
      <c r="C165" s="130"/>
      <c r="D165" s="130"/>
      <c r="E165" s="130"/>
      <c r="F165" s="130"/>
      <c r="G165" s="130"/>
      <c r="H165" s="171"/>
      <c r="I165" s="171"/>
      <c r="J165" s="171"/>
      <c r="K165" s="130"/>
      <c r="L165" s="16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</row>
    <row r="166">
      <c r="A166" s="130"/>
      <c r="B166" s="130"/>
      <c r="C166" s="130"/>
      <c r="D166" s="130"/>
      <c r="E166" s="130"/>
      <c r="F166" s="130"/>
      <c r="G166" s="130"/>
      <c r="H166" s="171"/>
      <c r="I166" s="171"/>
      <c r="J166" s="171"/>
      <c r="K166" s="130"/>
      <c r="L166" s="16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</row>
    <row r="167" ht="31.5" customHeight="1">
      <c r="A167" s="130"/>
      <c r="B167" s="130"/>
      <c r="C167" s="136"/>
      <c r="D167" s="177" t="s">
        <v>141</v>
      </c>
      <c r="E167" s="23"/>
      <c r="F167" s="136"/>
      <c r="G167" s="135"/>
      <c r="H167" s="135"/>
      <c r="I167" s="135"/>
      <c r="J167" s="135"/>
      <c r="K167" s="130"/>
      <c r="L167" s="16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</row>
    <row r="168">
      <c r="A168" s="130"/>
      <c r="B168" s="130"/>
      <c r="C168" s="147" t="s">
        <v>118</v>
      </c>
      <c r="D168" s="147" t="s">
        <v>119</v>
      </c>
      <c r="E168" s="147" t="s">
        <v>120</v>
      </c>
      <c r="F168" s="147" t="s">
        <v>121</v>
      </c>
      <c r="G168" s="135"/>
      <c r="H168" s="150"/>
      <c r="I168" s="151" t="s">
        <v>122</v>
      </c>
      <c r="J168" s="23"/>
      <c r="K168" s="130"/>
      <c r="L168" s="16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</row>
    <row r="169">
      <c r="A169" s="130"/>
      <c r="B169" s="130"/>
      <c r="C169" s="155">
        <v>45483.0</v>
      </c>
      <c r="D169" s="156"/>
      <c r="E169" s="156"/>
      <c r="F169" s="156"/>
      <c r="G169" s="135"/>
      <c r="H169" s="157"/>
      <c r="I169" s="155" t="s">
        <v>124</v>
      </c>
      <c r="J169" s="158">
        <v>1530.0</v>
      </c>
      <c r="K169" s="130"/>
      <c r="L169" s="16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</row>
    <row r="170">
      <c r="A170" s="130"/>
      <c r="B170" s="130"/>
      <c r="C170" s="155">
        <v>45484.0</v>
      </c>
      <c r="D170" s="156"/>
      <c r="E170" s="156"/>
      <c r="F170" s="156"/>
      <c r="G170" s="135"/>
      <c r="H170" s="157"/>
      <c r="I170" s="155" t="s">
        <v>125</v>
      </c>
      <c r="J170" s="158">
        <v>120.0</v>
      </c>
      <c r="K170" s="130"/>
      <c r="L170" s="16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</row>
    <row r="171">
      <c r="A171" s="130"/>
      <c r="B171" s="130"/>
      <c r="C171" s="155">
        <v>45485.0</v>
      </c>
      <c r="D171" s="156"/>
      <c r="E171" s="156"/>
      <c r="F171" s="156"/>
      <c r="G171" s="135"/>
      <c r="H171" s="157"/>
      <c r="I171" s="155" t="s">
        <v>126</v>
      </c>
      <c r="J171" s="158">
        <v>150.0</v>
      </c>
      <c r="K171" s="130"/>
      <c r="L171" s="16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</row>
    <row r="172">
      <c r="A172" s="130"/>
      <c r="B172" s="130"/>
      <c r="C172" s="155">
        <v>45486.0</v>
      </c>
      <c r="D172" s="156"/>
      <c r="E172" s="156"/>
      <c r="F172" s="156"/>
      <c r="G172" s="135"/>
      <c r="H172" s="157"/>
      <c r="I172" s="155" t="s">
        <v>127</v>
      </c>
      <c r="J172" s="158">
        <v>50.0</v>
      </c>
      <c r="K172" s="130"/>
      <c r="L172" s="16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</row>
    <row r="173">
      <c r="A173" s="130"/>
      <c r="B173" s="130"/>
      <c r="C173" s="155">
        <v>45487.0</v>
      </c>
      <c r="D173" s="156"/>
      <c r="E173" s="156"/>
      <c r="F173" s="156"/>
      <c r="G173" s="135"/>
      <c r="H173" s="135"/>
      <c r="I173" s="135"/>
      <c r="J173" s="135"/>
      <c r="K173" s="130"/>
      <c r="L173" s="16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</row>
    <row r="174">
      <c r="A174" s="130"/>
      <c r="B174" s="130"/>
      <c r="C174" s="155">
        <v>45488.0</v>
      </c>
      <c r="D174" s="166"/>
      <c r="E174" s="156"/>
      <c r="F174" s="156"/>
      <c r="G174" s="135"/>
      <c r="H174" s="135"/>
      <c r="I174" s="135"/>
      <c r="J174" s="135"/>
      <c r="K174" s="130"/>
      <c r="L174" s="16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</row>
    <row r="175">
      <c r="A175" s="130"/>
      <c r="B175" s="130"/>
      <c r="C175" s="155">
        <v>45489.0</v>
      </c>
      <c r="D175" s="166"/>
      <c r="E175" s="156"/>
      <c r="F175" s="166"/>
      <c r="G175" s="135"/>
      <c r="H175" s="135"/>
      <c r="I175" s="135"/>
      <c r="J175" s="135"/>
      <c r="K175" s="130"/>
      <c r="L175" s="16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</row>
    <row r="176">
      <c r="A176" s="130"/>
      <c r="B176" s="130"/>
      <c r="C176" s="167" t="s">
        <v>128</v>
      </c>
      <c r="D176" s="168" t="str">
        <f t="shared" ref="D176:F176" si="23">AVERAGE(D169:D175)</f>
        <v>#DIV/0!</v>
      </c>
      <c r="E176" s="168" t="str">
        <f t="shared" si="23"/>
        <v>#DIV/0!</v>
      </c>
      <c r="F176" s="168" t="str">
        <f t="shared" si="23"/>
        <v>#DIV/0!</v>
      </c>
      <c r="G176" s="135"/>
      <c r="H176" s="135"/>
      <c r="I176" s="135"/>
      <c r="J176" s="135"/>
      <c r="K176" s="130"/>
      <c r="L176" s="16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</row>
    <row r="177">
      <c r="A177" s="130"/>
      <c r="B177" s="130"/>
      <c r="C177" s="136"/>
      <c r="D177" s="136"/>
      <c r="E177" s="136"/>
      <c r="F177" s="136"/>
      <c r="G177" s="135"/>
      <c r="H177" s="135"/>
      <c r="I177" s="135"/>
      <c r="J177" s="135"/>
      <c r="K177" s="130"/>
      <c r="L177" s="16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</row>
    <row r="178">
      <c r="A178" s="130"/>
      <c r="B178" s="130"/>
      <c r="C178" s="170" t="s">
        <v>129</v>
      </c>
      <c r="D178" s="39"/>
      <c r="E178" s="39"/>
      <c r="F178" s="39"/>
      <c r="G178" s="23"/>
      <c r="H178" s="171"/>
      <c r="I178" s="171"/>
      <c r="J178" s="171"/>
      <c r="K178" s="130"/>
      <c r="L178" s="16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</row>
    <row r="179">
      <c r="A179" s="130"/>
      <c r="B179" s="130"/>
      <c r="C179" s="172" t="s">
        <v>113</v>
      </c>
      <c r="D179" s="172" t="s">
        <v>130</v>
      </c>
      <c r="E179" s="172" t="s">
        <v>131</v>
      </c>
      <c r="F179" s="172" t="s">
        <v>116</v>
      </c>
      <c r="G179" s="172" t="s">
        <v>117</v>
      </c>
      <c r="H179" s="171"/>
      <c r="I179" s="171"/>
      <c r="J179" s="171"/>
      <c r="K179" s="130"/>
      <c r="L179" s="16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</row>
    <row r="180">
      <c r="A180" s="130"/>
      <c r="B180" s="130"/>
      <c r="C180" s="173"/>
      <c r="D180" s="173"/>
      <c r="E180" s="173"/>
      <c r="F180" s="173"/>
      <c r="G180" s="173"/>
      <c r="H180" s="171"/>
      <c r="I180" s="171"/>
      <c r="J180" s="171"/>
      <c r="K180" s="130"/>
      <c r="L180" s="16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</row>
    <row r="181">
      <c r="A181" s="130"/>
      <c r="B181" s="130"/>
      <c r="C181" s="130"/>
      <c r="D181" s="130"/>
      <c r="E181" s="130"/>
      <c r="F181" s="130"/>
      <c r="G181" s="130"/>
      <c r="H181" s="171"/>
      <c r="I181" s="171"/>
      <c r="J181" s="171"/>
      <c r="K181" s="130"/>
      <c r="L181" s="16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</row>
    <row r="182">
      <c r="A182" s="130"/>
      <c r="B182" s="130"/>
      <c r="C182" s="130"/>
      <c r="D182" s="130"/>
      <c r="E182" s="130"/>
      <c r="F182" s="130"/>
      <c r="G182" s="130"/>
      <c r="H182" s="171"/>
      <c r="I182" s="171"/>
      <c r="J182" s="171"/>
      <c r="K182" s="130"/>
      <c r="L182" s="16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</row>
    <row r="183" ht="30.0" customHeight="1">
      <c r="A183" s="130"/>
      <c r="B183" s="130"/>
      <c r="C183" s="136"/>
      <c r="D183" s="177" t="s">
        <v>142</v>
      </c>
      <c r="E183" s="23"/>
      <c r="F183" s="136"/>
      <c r="G183" s="135"/>
      <c r="H183" s="135"/>
      <c r="I183" s="135"/>
      <c r="J183" s="135"/>
      <c r="K183" s="130"/>
      <c r="L183" s="16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</row>
    <row r="184">
      <c r="A184" s="130"/>
      <c r="B184" s="130"/>
      <c r="C184" s="147" t="s">
        <v>118</v>
      </c>
      <c r="D184" s="147" t="s">
        <v>119</v>
      </c>
      <c r="E184" s="147" t="s">
        <v>120</v>
      </c>
      <c r="F184" s="147" t="s">
        <v>121</v>
      </c>
      <c r="G184" s="135"/>
      <c r="H184" s="150"/>
      <c r="I184" s="151" t="s">
        <v>122</v>
      </c>
      <c r="J184" s="23"/>
      <c r="K184" s="130"/>
      <c r="L184" s="16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</row>
    <row r="185">
      <c r="A185" s="130"/>
      <c r="B185" s="130"/>
      <c r="C185" s="155">
        <v>45483.0</v>
      </c>
      <c r="D185" s="156"/>
      <c r="E185" s="156"/>
      <c r="F185" s="156"/>
      <c r="G185" s="135"/>
      <c r="H185" s="157"/>
      <c r="I185" s="155" t="s">
        <v>124</v>
      </c>
      <c r="J185" s="158">
        <v>1530.0</v>
      </c>
      <c r="K185" s="130"/>
      <c r="L185" s="16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</row>
    <row r="186">
      <c r="A186" s="130"/>
      <c r="B186" s="130"/>
      <c r="C186" s="155">
        <v>45484.0</v>
      </c>
      <c r="D186" s="156"/>
      <c r="E186" s="156"/>
      <c r="F186" s="156"/>
      <c r="G186" s="135"/>
      <c r="H186" s="157"/>
      <c r="I186" s="155" t="s">
        <v>125</v>
      </c>
      <c r="J186" s="158">
        <v>120.0</v>
      </c>
      <c r="K186" s="130"/>
      <c r="L186" s="16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</row>
    <row r="187">
      <c r="A187" s="130"/>
      <c r="B187" s="130"/>
      <c r="C187" s="155">
        <v>45485.0</v>
      </c>
      <c r="D187" s="156"/>
      <c r="E187" s="156"/>
      <c r="F187" s="156"/>
      <c r="G187" s="135"/>
      <c r="H187" s="157"/>
      <c r="I187" s="155" t="s">
        <v>126</v>
      </c>
      <c r="J187" s="158">
        <v>150.0</v>
      </c>
      <c r="K187" s="130"/>
      <c r="L187" s="16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</row>
    <row r="188">
      <c r="A188" s="130"/>
      <c r="B188" s="130"/>
      <c r="C188" s="155">
        <v>45486.0</v>
      </c>
      <c r="D188" s="156"/>
      <c r="E188" s="156"/>
      <c r="F188" s="156"/>
      <c r="G188" s="135"/>
      <c r="H188" s="157"/>
      <c r="I188" s="155" t="s">
        <v>127</v>
      </c>
      <c r="J188" s="158">
        <v>50.0</v>
      </c>
      <c r="K188" s="130"/>
      <c r="L188" s="16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</row>
    <row r="189">
      <c r="A189" s="130"/>
      <c r="B189" s="130"/>
      <c r="C189" s="155">
        <v>45487.0</v>
      </c>
      <c r="D189" s="156"/>
      <c r="E189" s="156"/>
      <c r="F189" s="156"/>
      <c r="G189" s="135"/>
      <c r="H189" s="135"/>
      <c r="I189" s="135"/>
      <c r="J189" s="135"/>
      <c r="K189" s="130"/>
      <c r="L189" s="16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</row>
    <row r="190">
      <c r="A190" s="130"/>
      <c r="B190" s="130"/>
      <c r="C190" s="155">
        <v>45488.0</v>
      </c>
      <c r="D190" s="166"/>
      <c r="E190" s="156"/>
      <c r="F190" s="156"/>
      <c r="G190" s="135"/>
      <c r="H190" s="135"/>
      <c r="I190" s="135"/>
      <c r="J190" s="135"/>
      <c r="K190" s="130"/>
      <c r="L190" s="16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</row>
    <row r="191">
      <c r="A191" s="130"/>
      <c r="B191" s="130"/>
      <c r="C191" s="155">
        <v>45489.0</v>
      </c>
      <c r="D191" s="166"/>
      <c r="E191" s="156"/>
      <c r="F191" s="166"/>
      <c r="G191" s="135"/>
      <c r="H191" s="135"/>
      <c r="I191" s="135"/>
      <c r="J191" s="135"/>
      <c r="K191" s="130"/>
      <c r="L191" s="16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</row>
    <row r="192">
      <c r="A192" s="130"/>
      <c r="B192" s="130"/>
      <c r="C192" s="167" t="s">
        <v>128</v>
      </c>
      <c r="D192" s="168" t="str">
        <f t="shared" ref="D192:F192" si="24">AVERAGE(D185:D191)</f>
        <v>#DIV/0!</v>
      </c>
      <c r="E192" s="168" t="str">
        <f t="shared" si="24"/>
        <v>#DIV/0!</v>
      </c>
      <c r="F192" s="168" t="str">
        <f t="shared" si="24"/>
        <v>#DIV/0!</v>
      </c>
      <c r="G192" s="135"/>
      <c r="H192" s="135"/>
      <c r="I192" s="135"/>
      <c r="J192" s="135"/>
      <c r="K192" s="130"/>
      <c r="L192" s="16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</row>
    <row r="193">
      <c r="A193" s="130"/>
      <c r="B193" s="130"/>
      <c r="C193" s="136"/>
      <c r="D193" s="136"/>
      <c r="E193" s="136"/>
      <c r="F193" s="136"/>
      <c r="G193" s="135"/>
      <c r="H193" s="135"/>
      <c r="I193" s="135"/>
      <c r="J193" s="135"/>
      <c r="K193" s="130"/>
      <c r="L193" s="16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</row>
    <row r="194">
      <c r="A194" s="130"/>
      <c r="B194" s="130"/>
      <c r="C194" s="170" t="s">
        <v>129</v>
      </c>
      <c r="D194" s="39"/>
      <c r="E194" s="39"/>
      <c r="F194" s="39"/>
      <c r="G194" s="23"/>
      <c r="H194" s="171"/>
      <c r="I194" s="171"/>
      <c r="J194" s="171"/>
      <c r="K194" s="130"/>
      <c r="L194" s="16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</row>
    <row r="195">
      <c r="A195" s="130"/>
      <c r="B195" s="130"/>
      <c r="C195" s="172" t="s">
        <v>113</v>
      </c>
      <c r="D195" s="172" t="s">
        <v>130</v>
      </c>
      <c r="E195" s="172" t="s">
        <v>131</v>
      </c>
      <c r="F195" s="172" t="s">
        <v>116</v>
      </c>
      <c r="G195" s="172" t="s">
        <v>117</v>
      </c>
      <c r="H195" s="171"/>
      <c r="I195" s="171"/>
      <c r="J195" s="171"/>
      <c r="K195" s="130"/>
      <c r="L195" s="16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</row>
    <row r="196">
      <c r="A196" s="130"/>
      <c r="B196" s="130"/>
      <c r="C196" s="173"/>
      <c r="D196" s="173"/>
      <c r="E196" s="173"/>
      <c r="F196" s="173"/>
      <c r="G196" s="173"/>
      <c r="H196" s="171"/>
      <c r="I196" s="171"/>
      <c r="J196" s="171"/>
      <c r="K196" s="130"/>
      <c r="L196" s="16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</row>
    <row r="197">
      <c r="A197" s="130"/>
      <c r="B197" s="130"/>
      <c r="C197" s="130"/>
      <c r="D197" s="130"/>
      <c r="E197" s="130"/>
      <c r="F197" s="130"/>
      <c r="G197" s="130"/>
      <c r="H197" s="171"/>
      <c r="I197" s="171"/>
      <c r="J197" s="171"/>
      <c r="K197" s="130"/>
      <c r="L197" s="16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</row>
    <row r="198">
      <c r="A198" s="130"/>
      <c r="B198" s="130"/>
      <c r="C198" s="130"/>
      <c r="D198" s="130"/>
      <c r="E198" s="130"/>
      <c r="F198" s="130"/>
      <c r="G198" s="130"/>
      <c r="H198" s="171"/>
      <c r="I198" s="171"/>
      <c r="J198" s="171"/>
      <c r="K198" s="130"/>
      <c r="L198" s="16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</row>
    <row r="199" ht="25.5" customHeight="1">
      <c r="A199" s="130"/>
      <c r="B199" s="130"/>
      <c r="C199" s="136"/>
      <c r="D199" s="177" t="s">
        <v>143</v>
      </c>
      <c r="E199" s="23"/>
      <c r="F199" s="136"/>
      <c r="G199" s="135"/>
      <c r="H199" s="135"/>
      <c r="I199" s="135"/>
      <c r="J199" s="135"/>
      <c r="K199" s="130"/>
      <c r="L199" s="16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</row>
    <row r="200">
      <c r="A200" s="130"/>
      <c r="B200" s="130"/>
      <c r="C200" s="147" t="s">
        <v>118</v>
      </c>
      <c r="D200" s="147" t="s">
        <v>119</v>
      </c>
      <c r="E200" s="147" t="s">
        <v>120</v>
      </c>
      <c r="F200" s="147" t="s">
        <v>121</v>
      </c>
      <c r="G200" s="135"/>
      <c r="H200" s="150"/>
      <c r="I200" s="151" t="s">
        <v>122</v>
      </c>
      <c r="J200" s="23"/>
      <c r="K200" s="130"/>
      <c r="L200" s="16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</row>
    <row r="201">
      <c r="A201" s="130"/>
      <c r="B201" s="130"/>
      <c r="C201" s="155">
        <v>45483.0</v>
      </c>
      <c r="D201" s="156"/>
      <c r="E201" s="156"/>
      <c r="F201" s="156"/>
      <c r="G201" s="135"/>
      <c r="H201" s="157"/>
      <c r="I201" s="155" t="s">
        <v>124</v>
      </c>
      <c r="J201" s="158">
        <v>1530.0</v>
      </c>
      <c r="K201" s="130"/>
      <c r="L201" s="16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</row>
    <row r="202">
      <c r="A202" s="130"/>
      <c r="B202" s="130"/>
      <c r="C202" s="155">
        <v>45484.0</v>
      </c>
      <c r="D202" s="156"/>
      <c r="E202" s="156"/>
      <c r="F202" s="156"/>
      <c r="G202" s="135"/>
      <c r="H202" s="157"/>
      <c r="I202" s="155" t="s">
        <v>125</v>
      </c>
      <c r="J202" s="158">
        <v>120.0</v>
      </c>
      <c r="K202" s="130"/>
      <c r="L202" s="16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</row>
    <row r="203">
      <c r="A203" s="130"/>
      <c r="B203" s="130"/>
      <c r="C203" s="155">
        <v>45485.0</v>
      </c>
      <c r="D203" s="156"/>
      <c r="E203" s="156"/>
      <c r="F203" s="156"/>
      <c r="G203" s="135"/>
      <c r="H203" s="157"/>
      <c r="I203" s="155" t="s">
        <v>126</v>
      </c>
      <c r="J203" s="158">
        <v>150.0</v>
      </c>
      <c r="K203" s="130"/>
      <c r="L203" s="16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</row>
    <row r="204">
      <c r="A204" s="130"/>
      <c r="B204" s="130"/>
      <c r="C204" s="155">
        <v>45486.0</v>
      </c>
      <c r="D204" s="156"/>
      <c r="E204" s="156"/>
      <c r="F204" s="156"/>
      <c r="G204" s="135"/>
      <c r="H204" s="157"/>
      <c r="I204" s="155" t="s">
        <v>127</v>
      </c>
      <c r="J204" s="158">
        <v>50.0</v>
      </c>
      <c r="K204" s="130"/>
      <c r="L204" s="16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</row>
    <row r="205">
      <c r="A205" s="130"/>
      <c r="B205" s="130"/>
      <c r="C205" s="155">
        <v>45487.0</v>
      </c>
      <c r="D205" s="156"/>
      <c r="E205" s="156"/>
      <c r="F205" s="156"/>
      <c r="G205" s="135"/>
      <c r="H205" s="135"/>
      <c r="I205" s="135"/>
      <c r="J205" s="135"/>
      <c r="K205" s="130"/>
      <c r="L205" s="16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</row>
    <row r="206">
      <c r="A206" s="130"/>
      <c r="B206" s="130"/>
      <c r="C206" s="155">
        <v>45488.0</v>
      </c>
      <c r="D206" s="166"/>
      <c r="E206" s="156"/>
      <c r="F206" s="156"/>
      <c r="G206" s="135"/>
      <c r="H206" s="135"/>
      <c r="I206" s="135"/>
      <c r="J206" s="135"/>
      <c r="K206" s="130"/>
      <c r="L206" s="16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</row>
    <row r="207">
      <c r="A207" s="130"/>
      <c r="B207" s="130"/>
      <c r="C207" s="155">
        <v>45489.0</v>
      </c>
      <c r="D207" s="166"/>
      <c r="E207" s="156"/>
      <c r="F207" s="166"/>
      <c r="G207" s="135"/>
      <c r="H207" s="135"/>
      <c r="I207" s="135"/>
      <c r="J207" s="135"/>
      <c r="K207" s="130"/>
      <c r="L207" s="16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</row>
    <row r="208">
      <c r="A208" s="130"/>
      <c r="B208" s="130"/>
      <c r="C208" s="167" t="s">
        <v>128</v>
      </c>
      <c r="D208" s="168" t="str">
        <f t="shared" ref="D208:F208" si="25">AVERAGE(D201:D207)</f>
        <v>#DIV/0!</v>
      </c>
      <c r="E208" s="168" t="str">
        <f t="shared" si="25"/>
        <v>#DIV/0!</v>
      </c>
      <c r="F208" s="168" t="str">
        <f t="shared" si="25"/>
        <v>#DIV/0!</v>
      </c>
      <c r="G208" s="135"/>
      <c r="H208" s="135"/>
      <c r="I208" s="135"/>
      <c r="J208" s="135"/>
      <c r="K208" s="130"/>
      <c r="L208" s="16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</row>
    <row r="209">
      <c r="A209" s="130"/>
      <c r="B209" s="130"/>
      <c r="C209" s="136"/>
      <c r="D209" s="136"/>
      <c r="E209" s="136"/>
      <c r="F209" s="136"/>
      <c r="G209" s="135"/>
      <c r="H209" s="135"/>
      <c r="I209" s="135"/>
      <c r="J209" s="135"/>
      <c r="K209" s="130"/>
      <c r="L209" s="16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</row>
    <row r="210">
      <c r="A210" s="130"/>
      <c r="B210" s="130"/>
      <c r="C210" s="170" t="s">
        <v>129</v>
      </c>
      <c r="D210" s="39"/>
      <c r="E210" s="39"/>
      <c r="F210" s="39"/>
      <c r="G210" s="23"/>
      <c r="H210" s="171"/>
      <c r="I210" s="171"/>
      <c r="J210" s="171"/>
      <c r="K210" s="130"/>
      <c r="L210" s="16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</row>
    <row r="211">
      <c r="A211" s="130"/>
      <c r="B211" s="130"/>
      <c r="C211" s="172" t="s">
        <v>113</v>
      </c>
      <c r="D211" s="172" t="s">
        <v>130</v>
      </c>
      <c r="E211" s="172" t="s">
        <v>131</v>
      </c>
      <c r="F211" s="172" t="s">
        <v>116</v>
      </c>
      <c r="G211" s="172" t="s">
        <v>117</v>
      </c>
      <c r="H211" s="171"/>
      <c r="I211" s="171"/>
      <c r="J211" s="171"/>
      <c r="K211" s="130"/>
      <c r="L211" s="16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</row>
    <row r="212">
      <c r="A212" s="130"/>
      <c r="B212" s="130"/>
      <c r="C212" s="173"/>
      <c r="D212" s="173"/>
      <c r="E212" s="173"/>
      <c r="F212" s="173"/>
      <c r="G212" s="173"/>
      <c r="H212" s="171"/>
      <c r="I212" s="171"/>
      <c r="J212" s="171"/>
      <c r="K212" s="130"/>
      <c r="L212" s="16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6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6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6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6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6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6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6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6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6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6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6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6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6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6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6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6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6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6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6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6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6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6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6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6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6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6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6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6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6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6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6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6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6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6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6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6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6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6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6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6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6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6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6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6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6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6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6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6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6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6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6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6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6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6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6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6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6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6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6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6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6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6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6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6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6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6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6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6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6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6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6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6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6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6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6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6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6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6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6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6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6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6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6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6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6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6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6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6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6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6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6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6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6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6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6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6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6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6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6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6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6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6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6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6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6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6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6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6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6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6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6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6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6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6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6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6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6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6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6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6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6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6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6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6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6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6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6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6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6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6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6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6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6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6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6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6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6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6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6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6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6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6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6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6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6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6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6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6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6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6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6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6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6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6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6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6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6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6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6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6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6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6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6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6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6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6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6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6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6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6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6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6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6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6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6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6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6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6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6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6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6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6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6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6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6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6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6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6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6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6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6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6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6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6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6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6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6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6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6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6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6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6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6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6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6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6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6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6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6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6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6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6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6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6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6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6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6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6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6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6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6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6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6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6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6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6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6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6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6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6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6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6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6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6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6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6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6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6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6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6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6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6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6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6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6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6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6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6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6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6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6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6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6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6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6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6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6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6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6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6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6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6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6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6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6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6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6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6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6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6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6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6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6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6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6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6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6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6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6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6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6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6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6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6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6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6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6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6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6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6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6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6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6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6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6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6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6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6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6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6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6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6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6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6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6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6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6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6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6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6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6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6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6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6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6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6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6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6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6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6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6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6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6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6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6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6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6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6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6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6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6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6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6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6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6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6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6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6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6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6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6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6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6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6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6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6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6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6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6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6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6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6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6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6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6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6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6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6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6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6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6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6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6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6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6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6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6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6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6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6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6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6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6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6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6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6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6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6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6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6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6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6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6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6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6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6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6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6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6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6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6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6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6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6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6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6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6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6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6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6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6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6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6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6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6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6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6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6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6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6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6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6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6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6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6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6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6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6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6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6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6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6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6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6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6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6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6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6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6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6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6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6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6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6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6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6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6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6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6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6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6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6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6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6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6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6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6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6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6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6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6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6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6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6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6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6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6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6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6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6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6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6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6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6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6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6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6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6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6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6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6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6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6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6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6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6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6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6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6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6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6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6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6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6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6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6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6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6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6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6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6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6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6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6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6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6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6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6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6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6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6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6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6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6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6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6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6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6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6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6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6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6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6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6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6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6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6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6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6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6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6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6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6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6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6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6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6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6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6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6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6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6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6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6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6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6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6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6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6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6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6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6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6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6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6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6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6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6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6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6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6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6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6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6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6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6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6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6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6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6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6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6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6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6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6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6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6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6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6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6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6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6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6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6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6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6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6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6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6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6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6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6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6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6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6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6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6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6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6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6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6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6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6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6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6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6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6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6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6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6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6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6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6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6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6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6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6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6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6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6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6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6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6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6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6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6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6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6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6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6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6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6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6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6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6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6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6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6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6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6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6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6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6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6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6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6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6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6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6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6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6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6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6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6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6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6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6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6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6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6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6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6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6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6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6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6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6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6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6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6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6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6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6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6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6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6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6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6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6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6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6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6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6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6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6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6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6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6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6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6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6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6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6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6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6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6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6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6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6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6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6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6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6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6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6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6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6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6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6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6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6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6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6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6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6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6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6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6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6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6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6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6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6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6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6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6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6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6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6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6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6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6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6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6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</row>
    <row r="937">
      <c r="A937" s="130"/>
      <c r="B937" s="130"/>
      <c r="C937" s="179"/>
      <c r="D937" s="179"/>
      <c r="E937" s="179"/>
      <c r="F937" s="179"/>
      <c r="G937" s="179"/>
      <c r="H937" s="179"/>
      <c r="I937" s="179"/>
      <c r="J937" s="179"/>
      <c r="K937" s="179"/>
      <c r="L937" s="16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</row>
  </sheetData>
  <mergeCells count="45">
    <mergeCell ref="D15:E15"/>
    <mergeCell ref="D16:E16"/>
    <mergeCell ref="D19:E19"/>
    <mergeCell ref="U34:V34"/>
    <mergeCell ref="D36:E36"/>
    <mergeCell ref="C30:G30"/>
    <mergeCell ref="I37:J37"/>
    <mergeCell ref="I20:J20"/>
    <mergeCell ref="C5:E5"/>
    <mergeCell ref="C6:E6"/>
    <mergeCell ref="C7:E7"/>
    <mergeCell ref="C12:E12"/>
    <mergeCell ref="D13:E13"/>
    <mergeCell ref="D14:E14"/>
    <mergeCell ref="D53:E53"/>
    <mergeCell ref="D69:E69"/>
    <mergeCell ref="C47:G47"/>
    <mergeCell ref="C64:G64"/>
    <mergeCell ref="C80:G80"/>
    <mergeCell ref="I70:J70"/>
    <mergeCell ref="I54:J54"/>
    <mergeCell ref="D85:E85"/>
    <mergeCell ref="D101:E101"/>
    <mergeCell ref="C96:G96"/>
    <mergeCell ref="C112:G112"/>
    <mergeCell ref="I119:J119"/>
    <mergeCell ref="I102:J102"/>
    <mergeCell ref="I86:J86"/>
    <mergeCell ref="D118:E118"/>
    <mergeCell ref="D135:E135"/>
    <mergeCell ref="D151:E151"/>
    <mergeCell ref="C129:G129"/>
    <mergeCell ref="C146:G146"/>
    <mergeCell ref="I152:J152"/>
    <mergeCell ref="I136:J136"/>
    <mergeCell ref="D199:E199"/>
    <mergeCell ref="I200:J200"/>
    <mergeCell ref="C210:G210"/>
    <mergeCell ref="D167:E167"/>
    <mergeCell ref="D183:E183"/>
    <mergeCell ref="C162:G162"/>
    <mergeCell ref="C178:G178"/>
    <mergeCell ref="C194:G194"/>
    <mergeCell ref="I184:J184"/>
    <mergeCell ref="I168:J1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30"/>
      <c r="B1" s="130"/>
      <c r="C1" s="130"/>
      <c r="D1" s="130"/>
      <c r="E1" s="130"/>
      <c r="F1" s="131"/>
      <c r="G1" s="131"/>
      <c r="H1" s="131"/>
      <c r="I1" s="131"/>
      <c r="J1" s="131"/>
      <c r="K1" s="131"/>
      <c r="L1" s="16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</row>
    <row r="2">
      <c r="A2" s="130"/>
      <c r="B2" s="130"/>
      <c r="C2" s="130"/>
      <c r="D2" s="130"/>
      <c r="E2" s="130"/>
      <c r="F2" s="131"/>
      <c r="G2" s="131"/>
      <c r="H2" s="131"/>
      <c r="I2" s="131"/>
      <c r="J2" s="131"/>
      <c r="K2" s="131"/>
      <c r="L2" s="16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</row>
    <row r="3" ht="217.5" customHeight="1">
      <c r="A3" s="132"/>
      <c r="B3" s="132"/>
      <c r="C3" s="16"/>
      <c r="D3" s="16"/>
      <c r="E3" s="16"/>
      <c r="F3" s="16"/>
      <c r="G3" s="16"/>
      <c r="H3" s="132"/>
      <c r="I3" s="16"/>
      <c r="J3" s="16"/>
      <c r="K3" s="16"/>
      <c r="L3" s="16"/>
      <c r="M3" s="131"/>
      <c r="N3" s="133"/>
      <c r="O3" s="131"/>
      <c r="P3" s="132"/>
      <c r="Q3" s="132"/>
      <c r="R3" s="132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</row>
    <row r="4" ht="75.0" customHeight="1">
      <c r="A4" s="132"/>
      <c r="B4" s="132"/>
      <c r="C4" s="16"/>
      <c r="D4" s="16"/>
      <c r="E4" s="16"/>
      <c r="F4" s="16"/>
      <c r="G4" s="16"/>
      <c r="H4" s="132"/>
      <c r="I4" s="16"/>
      <c r="J4" s="16"/>
      <c r="K4" s="16"/>
      <c r="L4" s="16"/>
      <c r="M4" s="131"/>
      <c r="N4" s="131"/>
      <c r="O4" s="131"/>
      <c r="P4" s="132"/>
      <c r="Q4" s="16"/>
      <c r="R4" s="16"/>
      <c r="S4" s="16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</row>
    <row r="5">
      <c r="A5" s="81"/>
      <c r="B5" s="81"/>
      <c r="C5" s="134" t="s">
        <v>105</v>
      </c>
      <c r="D5" s="39"/>
      <c r="E5" s="23"/>
      <c r="F5" s="16"/>
      <c r="G5" s="81"/>
      <c r="H5" s="81"/>
      <c r="I5" s="81"/>
      <c r="J5" s="81"/>
      <c r="K5" s="81"/>
      <c r="L5" s="16"/>
      <c r="M5" s="135"/>
      <c r="N5" s="135"/>
      <c r="O5" s="135"/>
      <c r="P5" s="82"/>
      <c r="Q5" s="136"/>
      <c r="R5" s="136"/>
      <c r="S5" s="136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</row>
    <row r="6">
      <c r="A6" s="81"/>
      <c r="B6" s="81"/>
      <c r="C6" s="134" t="s">
        <v>106</v>
      </c>
      <c r="D6" s="39"/>
      <c r="E6" s="23"/>
      <c r="F6" s="16"/>
      <c r="G6" s="81"/>
      <c r="H6" s="81"/>
      <c r="I6" s="81"/>
      <c r="J6" s="81"/>
      <c r="K6" s="16"/>
      <c r="L6" s="16"/>
      <c r="M6" s="135"/>
      <c r="N6" s="135"/>
      <c r="O6" s="135"/>
      <c r="P6" s="82"/>
      <c r="Q6" s="136"/>
      <c r="R6" s="136"/>
      <c r="S6" s="136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</row>
    <row r="7">
      <c r="A7" s="81"/>
      <c r="B7" s="81"/>
      <c r="C7" s="134" t="s">
        <v>144</v>
      </c>
      <c r="D7" s="39"/>
      <c r="E7" s="23"/>
      <c r="F7" s="16"/>
      <c r="G7" s="81"/>
      <c r="H7" s="81"/>
      <c r="I7" s="81"/>
      <c r="J7" s="81"/>
      <c r="K7" s="16"/>
      <c r="L7" s="16"/>
      <c r="M7" s="16"/>
      <c r="N7" s="16"/>
      <c r="O7" s="16"/>
      <c r="P7" s="16"/>
      <c r="Q7" s="16"/>
      <c r="R7" s="16"/>
      <c r="S7" s="16"/>
      <c r="T7" s="137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</row>
    <row r="8">
      <c r="A8" s="81"/>
      <c r="B8" s="81"/>
      <c r="C8" s="134" t="s">
        <v>107</v>
      </c>
      <c r="D8" s="39"/>
      <c r="E8" s="23"/>
      <c r="F8" s="16"/>
      <c r="G8" s="81"/>
      <c r="H8" s="81"/>
      <c r="I8" s="81"/>
      <c r="J8" s="81"/>
      <c r="K8" s="16"/>
      <c r="L8" s="16"/>
      <c r="M8" s="16"/>
      <c r="N8" s="16"/>
      <c r="O8" s="16"/>
      <c r="P8" s="16"/>
      <c r="Q8" s="16"/>
      <c r="R8" s="16"/>
      <c r="S8" s="16"/>
      <c r="T8" s="137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</row>
    <row r="9">
      <c r="A9" s="132"/>
      <c r="B9" s="132"/>
      <c r="C9" s="16"/>
      <c r="D9" s="16"/>
      <c r="E9" s="16"/>
      <c r="F9" s="16"/>
      <c r="G9" s="81"/>
      <c r="H9" s="81"/>
      <c r="I9" s="81"/>
      <c r="J9" s="81"/>
      <c r="K9" s="16"/>
      <c r="L9" s="16"/>
      <c r="M9" s="16"/>
      <c r="N9" s="16"/>
      <c r="O9" s="16"/>
      <c r="P9" s="16"/>
      <c r="Q9" s="16"/>
      <c r="R9" s="16"/>
      <c r="S9" s="16"/>
      <c r="T9" s="137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</row>
    <row r="10">
      <c r="A10" s="132"/>
      <c r="B10" s="132"/>
      <c r="C10" s="16"/>
      <c r="D10" s="16"/>
      <c r="E10" s="16"/>
      <c r="F10" s="16"/>
      <c r="G10" s="138"/>
      <c r="H10" s="138"/>
      <c r="I10" s="138"/>
      <c r="J10" s="138"/>
      <c r="K10" s="138"/>
      <c r="L10" s="16"/>
      <c r="M10" s="16"/>
      <c r="N10" s="16"/>
      <c r="O10" s="16"/>
      <c r="P10" s="16"/>
      <c r="Q10" s="16"/>
      <c r="R10" s="16"/>
      <c r="S10" s="16"/>
      <c r="T10" s="137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</row>
    <row r="11" ht="18.0" customHeight="1">
      <c r="A11" s="132"/>
      <c r="B11" s="132"/>
      <c r="C11" s="16"/>
      <c r="D11" s="16"/>
      <c r="E11" s="16"/>
      <c r="F11" s="16"/>
      <c r="G11" s="138"/>
      <c r="H11" s="138"/>
      <c r="I11" s="138"/>
      <c r="J11" s="138"/>
      <c r="K11" s="138"/>
      <c r="L11" s="16"/>
      <c r="M11" s="16"/>
      <c r="N11" s="16"/>
      <c r="O11" s="16"/>
      <c r="P11" s="16"/>
      <c r="Q11" s="16"/>
      <c r="R11" s="16"/>
      <c r="S11" s="16"/>
      <c r="T11" s="139"/>
      <c r="U11" s="16"/>
      <c r="V11" s="16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</row>
    <row r="12" ht="25.5" customHeight="1">
      <c r="A12" s="132"/>
      <c r="B12" s="132"/>
      <c r="C12" s="140" t="s">
        <v>108</v>
      </c>
      <c r="D12" s="39"/>
      <c r="E12" s="23"/>
      <c r="F12" s="16"/>
      <c r="G12" s="138"/>
      <c r="H12" s="132"/>
      <c r="I12" s="16"/>
      <c r="J12" s="16"/>
      <c r="K12" s="138"/>
      <c r="L12" s="16"/>
      <c r="M12" s="16"/>
      <c r="N12" s="16"/>
      <c r="O12" s="16"/>
      <c r="P12" s="16"/>
      <c r="Q12" s="16"/>
      <c r="R12" s="16"/>
      <c r="S12" s="16"/>
      <c r="T12" s="139"/>
      <c r="U12" s="16"/>
      <c r="V12" s="16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</row>
    <row r="13">
      <c r="A13" s="132"/>
      <c r="B13" s="132"/>
      <c r="C13" s="141" t="s">
        <v>109</v>
      </c>
      <c r="D13" s="142"/>
      <c r="E13" s="23"/>
      <c r="F13" s="16"/>
      <c r="G13" s="138"/>
      <c r="H13" s="132"/>
      <c r="I13" s="16"/>
      <c r="J13" s="16"/>
      <c r="K13" s="138"/>
      <c r="L13" s="16"/>
      <c r="M13" s="16"/>
      <c r="N13" s="16"/>
      <c r="O13" s="16"/>
      <c r="P13" s="16"/>
      <c r="Q13" s="16"/>
      <c r="R13" s="16"/>
      <c r="S13" s="16"/>
      <c r="T13" s="139"/>
      <c r="U13" s="16"/>
      <c r="V13" s="16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</row>
    <row r="14">
      <c r="A14" s="132"/>
      <c r="B14" s="132"/>
      <c r="C14" s="141" t="s">
        <v>55</v>
      </c>
      <c r="D14" s="142"/>
      <c r="E14" s="23"/>
      <c r="F14" s="16"/>
      <c r="G14" s="138"/>
      <c r="H14" s="132"/>
      <c r="I14" s="16"/>
      <c r="J14" s="16"/>
      <c r="K14" s="138"/>
      <c r="L14" s="16"/>
      <c r="M14" s="16"/>
      <c r="N14" s="16"/>
      <c r="O14" s="16"/>
      <c r="P14" s="16"/>
      <c r="Q14" s="16"/>
      <c r="R14" s="16"/>
      <c r="S14" s="16"/>
      <c r="T14" s="139"/>
      <c r="U14" s="16"/>
      <c r="V14" s="16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</row>
    <row r="15">
      <c r="A15" s="143"/>
      <c r="B15" s="143"/>
      <c r="C15" s="141" t="s">
        <v>56</v>
      </c>
      <c r="D15" s="142"/>
      <c r="E15" s="23"/>
      <c r="F15" s="136"/>
      <c r="G15" s="138"/>
      <c r="H15" s="132"/>
      <c r="I15" s="16"/>
      <c r="J15" s="16"/>
      <c r="K15" s="138"/>
      <c r="L15" s="16"/>
      <c r="M15" s="16"/>
      <c r="N15" s="16"/>
      <c r="O15" s="16"/>
      <c r="P15" s="16"/>
      <c r="Q15" s="16"/>
      <c r="R15" s="16"/>
      <c r="S15" s="16"/>
      <c r="T15" s="139"/>
      <c r="U15" s="16"/>
      <c r="V15" s="16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</row>
    <row r="16">
      <c r="A16" s="144"/>
      <c r="B16" s="144"/>
      <c r="C16" s="141" t="s">
        <v>110</v>
      </c>
      <c r="D16" s="145"/>
      <c r="E16" s="23"/>
      <c r="F16" s="136"/>
      <c r="G16" s="138"/>
      <c r="H16" s="132"/>
      <c r="I16" s="16"/>
      <c r="J16" s="16"/>
      <c r="K16" s="138"/>
      <c r="L16" s="16"/>
      <c r="M16" s="16"/>
      <c r="N16" s="16"/>
      <c r="O16" s="16"/>
      <c r="P16" s="16"/>
      <c r="Q16" s="16"/>
      <c r="R16" s="16"/>
      <c r="S16" s="16"/>
      <c r="T16" s="139"/>
      <c r="U16" s="16"/>
      <c r="V16" s="16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</row>
    <row r="17">
      <c r="A17" s="144"/>
      <c r="B17" s="144"/>
      <c r="C17" s="16"/>
      <c r="D17" s="16"/>
      <c r="E17" s="16"/>
      <c r="F17" s="136"/>
      <c r="G17" s="135"/>
      <c r="H17" s="135"/>
      <c r="I17" s="135"/>
      <c r="J17" s="135"/>
      <c r="K17" s="135"/>
      <c r="L17" s="16"/>
      <c r="M17" s="16"/>
      <c r="N17" s="16"/>
      <c r="O17" s="16"/>
      <c r="P17" s="16"/>
      <c r="Q17" s="16"/>
      <c r="R17" s="16"/>
      <c r="S17" s="16"/>
      <c r="T17" s="139"/>
      <c r="U17" s="16"/>
      <c r="V17" s="16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</row>
    <row r="18" ht="22.5" customHeight="1">
      <c r="A18" s="144"/>
      <c r="B18" s="144"/>
      <c r="C18" s="16"/>
      <c r="D18" s="16"/>
      <c r="E18" s="16"/>
      <c r="F18" s="135"/>
      <c r="G18" s="135"/>
      <c r="H18" s="135"/>
      <c r="I18" s="135"/>
      <c r="J18" s="135"/>
      <c r="K18" s="135"/>
      <c r="L18" s="16"/>
      <c r="M18" s="16"/>
      <c r="N18" s="16"/>
      <c r="O18" s="16"/>
      <c r="P18" s="16"/>
      <c r="Q18" s="16"/>
      <c r="R18" s="16"/>
      <c r="S18" s="16"/>
      <c r="T18" s="139"/>
      <c r="U18" s="16"/>
      <c r="V18" s="16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</row>
    <row r="19" ht="30.0" customHeight="1">
      <c r="A19" s="144"/>
      <c r="B19" s="144"/>
      <c r="C19" s="136"/>
      <c r="D19" s="146" t="s">
        <v>0</v>
      </c>
      <c r="E19" s="23"/>
      <c r="F19" s="136"/>
      <c r="G19" s="135"/>
      <c r="H19" s="135"/>
      <c r="I19" s="135"/>
      <c r="J19" s="135"/>
      <c r="K19" s="135"/>
      <c r="L19" s="147" t="s">
        <v>111</v>
      </c>
      <c r="M19" s="147" t="s">
        <v>112</v>
      </c>
      <c r="N19" s="147" t="s">
        <v>57</v>
      </c>
      <c r="O19" s="147" t="s">
        <v>113</v>
      </c>
      <c r="P19" s="148" t="s">
        <v>114</v>
      </c>
      <c r="Q19" s="147" t="s">
        <v>115</v>
      </c>
      <c r="R19" s="147" t="s">
        <v>116</v>
      </c>
      <c r="S19" s="147" t="s">
        <v>117</v>
      </c>
      <c r="T19" s="139"/>
      <c r="U19" s="16"/>
      <c r="V19" s="16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</row>
    <row r="20">
      <c r="A20" s="149"/>
      <c r="B20" s="149"/>
      <c r="C20" s="147" t="s">
        <v>118</v>
      </c>
      <c r="D20" s="147" t="s">
        <v>119</v>
      </c>
      <c r="E20" s="147" t="s">
        <v>120</v>
      </c>
      <c r="F20" s="147" t="s">
        <v>121</v>
      </c>
      <c r="G20" s="135"/>
      <c r="H20" s="150"/>
      <c r="I20" s="151" t="s">
        <v>122</v>
      </c>
      <c r="J20" s="23"/>
      <c r="K20" s="135"/>
      <c r="L20" s="152" t="s">
        <v>123</v>
      </c>
      <c r="M20" s="153">
        <v>45479.0</v>
      </c>
      <c r="N20" s="154"/>
      <c r="O20" s="154"/>
      <c r="P20" s="154"/>
      <c r="Q20" s="154"/>
      <c r="R20" s="154"/>
      <c r="S20" s="154"/>
      <c r="T20" s="139"/>
      <c r="U20" s="16"/>
      <c r="V20" s="16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</row>
    <row r="21">
      <c r="A21" s="82"/>
      <c r="B21" s="82"/>
      <c r="C21" s="155">
        <v>45483.0</v>
      </c>
      <c r="D21" s="156"/>
      <c r="E21" s="156"/>
      <c r="F21" s="156"/>
      <c r="G21" s="135"/>
      <c r="H21" s="157"/>
      <c r="I21" s="155" t="s">
        <v>124</v>
      </c>
      <c r="J21" s="158">
        <v>2700.0</v>
      </c>
      <c r="K21" s="135"/>
      <c r="L21" s="152">
        <v>1.0</v>
      </c>
      <c r="M21" s="159">
        <f t="shared" ref="M21:M32" si="2">M20+7</f>
        <v>45486</v>
      </c>
      <c r="N21" s="160" t="str">
        <f>D28</f>
        <v>#DIV/0!</v>
      </c>
      <c r="O21" s="161" t="str">
        <f t="shared" ref="O21:S21" si="1">C32</f>
        <v/>
      </c>
      <c r="P21" s="161" t="str">
        <f t="shared" si="1"/>
        <v/>
      </c>
      <c r="Q21" s="161" t="str">
        <f t="shared" si="1"/>
        <v/>
      </c>
      <c r="R21" s="161" t="str">
        <f t="shared" si="1"/>
        <v/>
      </c>
      <c r="S21" s="161" t="str">
        <f t="shared" si="1"/>
        <v/>
      </c>
      <c r="T21" s="139"/>
      <c r="U21" s="16"/>
      <c r="V21" s="16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</row>
    <row r="22">
      <c r="A22" s="150"/>
      <c r="B22" s="150"/>
      <c r="C22" s="155">
        <v>45484.0</v>
      </c>
      <c r="D22" s="156"/>
      <c r="E22" s="156"/>
      <c r="F22" s="156"/>
      <c r="G22" s="135"/>
      <c r="H22" s="157"/>
      <c r="I22" s="155" t="s">
        <v>125</v>
      </c>
      <c r="J22" s="158">
        <v>160.0</v>
      </c>
      <c r="K22" s="135"/>
      <c r="L22" s="152">
        <v>2.0</v>
      </c>
      <c r="M22" s="159">
        <f t="shared" si="2"/>
        <v>45493</v>
      </c>
      <c r="N22" s="162" t="str">
        <f>AVERAGE(D55:D61)</f>
        <v>#DIV/0!</v>
      </c>
      <c r="O22" s="163" t="str">
        <f t="shared" ref="O22:S22" si="3">C49</f>
        <v/>
      </c>
      <c r="P22" s="163" t="str">
        <f t="shared" si="3"/>
        <v/>
      </c>
      <c r="Q22" s="163" t="str">
        <f t="shared" si="3"/>
        <v/>
      </c>
      <c r="R22" s="163" t="str">
        <f t="shared" si="3"/>
        <v/>
      </c>
      <c r="S22" s="163" t="str">
        <f t="shared" si="3"/>
        <v/>
      </c>
      <c r="T22" s="139"/>
      <c r="U22" s="16"/>
      <c r="V22" s="16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</row>
    <row r="23">
      <c r="A23" s="164"/>
      <c r="B23" s="164"/>
      <c r="C23" s="155">
        <v>45485.0</v>
      </c>
      <c r="D23" s="156"/>
      <c r="E23" s="156"/>
      <c r="F23" s="156"/>
      <c r="G23" s="135"/>
      <c r="H23" s="157"/>
      <c r="I23" s="155" t="s">
        <v>126</v>
      </c>
      <c r="J23" s="158">
        <v>380.0</v>
      </c>
      <c r="K23" s="135"/>
      <c r="L23" s="152">
        <v>3.0</v>
      </c>
      <c r="M23" s="159">
        <f t="shared" si="2"/>
        <v>45500</v>
      </c>
      <c r="N23" s="156" t="str">
        <f>AVERAGE(D55:D61)</f>
        <v>#DIV/0!</v>
      </c>
      <c r="O23" s="165" t="str">
        <f t="shared" ref="O23:S23" si="4">C66</f>
        <v/>
      </c>
      <c r="P23" s="165" t="str">
        <f t="shared" si="4"/>
        <v/>
      </c>
      <c r="Q23" s="165" t="str">
        <f t="shared" si="4"/>
        <v/>
      </c>
      <c r="R23" s="165" t="str">
        <f t="shared" si="4"/>
        <v/>
      </c>
      <c r="S23" s="165" t="str">
        <f t="shared" si="4"/>
        <v/>
      </c>
      <c r="T23" s="139"/>
      <c r="U23" s="16"/>
      <c r="V23" s="16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</row>
    <row r="24">
      <c r="A24" s="135"/>
      <c r="B24" s="135"/>
      <c r="C24" s="155">
        <v>45486.0</v>
      </c>
      <c r="D24" s="156"/>
      <c r="E24" s="156"/>
      <c r="F24" s="156"/>
      <c r="G24" s="135"/>
      <c r="H24" s="157"/>
      <c r="I24" s="155" t="s">
        <v>127</v>
      </c>
      <c r="J24" s="158">
        <v>60.0</v>
      </c>
      <c r="K24" s="135"/>
      <c r="L24" s="152">
        <v>4.0</v>
      </c>
      <c r="M24" s="159">
        <f t="shared" si="2"/>
        <v>45507</v>
      </c>
      <c r="N24" s="162" t="str">
        <f>AVERAGE(D71:D77)</f>
        <v>#DIV/0!</v>
      </c>
      <c r="O24" s="163" t="str">
        <f t="shared" ref="O24:S24" si="5">C82</f>
        <v/>
      </c>
      <c r="P24" s="163" t="str">
        <f t="shared" si="5"/>
        <v/>
      </c>
      <c r="Q24" s="163" t="str">
        <f t="shared" si="5"/>
        <v/>
      </c>
      <c r="R24" s="163" t="str">
        <f t="shared" si="5"/>
        <v/>
      </c>
      <c r="S24" s="163" t="str">
        <f t="shared" si="5"/>
        <v/>
      </c>
      <c r="T24" s="139"/>
      <c r="U24" s="16"/>
      <c r="V24" s="16"/>
      <c r="W24" s="16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</row>
    <row r="25">
      <c r="A25" s="164"/>
      <c r="B25" s="164"/>
      <c r="C25" s="155">
        <v>45487.0</v>
      </c>
      <c r="D25" s="156"/>
      <c r="E25" s="156"/>
      <c r="F25" s="156"/>
      <c r="G25" s="135"/>
      <c r="H25" s="135"/>
      <c r="I25" s="135"/>
      <c r="J25" s="135"/>
      <c r="K25" s="135"/>
      <c r="L25" s="152">
        <v>5.0</v>
      </c>
      <c r="M25" s="159">
        <f t="shared" si="2"/>
        <v>45514</v>
      </c>
      <c r="N25" s="156" t="str">
        <f>AVERAGE(D87:D93)</f>
        <v>#DIV/0!</v>
      </c>
      <c r="O25" s="165" t="str">
        <f t="shared" ref="O25:S25" si="6">C98</f>
        <v/>
      </c>
      <c r="P25" s="165" t="str">
        <f t="shared" si="6"/>
        <v/>
      </c>
      <c r="Q25" s="165" t="str">
        <f t="shared" si="6"/>
        <v/>
      </c>
      <c r="R25" s="165" t="str">
        <f t="shared" si="6"/>
        <v/>
      </c>
      <c r="S25" s="165" t="str">
        <f t="shared" si="6"/>
        <v/>
      </c>
      <c r="T25" s="139"/>
      <c r="U25" s="16"/>
      <c r="V25" s="16"/>
      <c r="W25" s="16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</row>
    <row r="26">
      <c r="A26" s="164"/>
      <c r="B26" s="164"/>
      <c r="C26" s="155">
        <v>45488.0</v>
      </c>
      <c r="D26" s="166"/>
      <c r="E26" s="156"/>
      <c r="F26" s="156"/>
      <c r="G26" s="135"/>
      <c r="H26" s="135"/>
      <c r="I26" s="135"/>
      <c r="J26" s="135"/>
      <c r="K26" s="135"/>
      <c r="L26" s="152">
        <v>6.0</v>
      </c>
      <c r="M26" s="159">
        <f t="shared" si="2"/>
        <v>45521</v>
      </c>
      <c r="N26" s="162" t="str">
        <f>AVERAGE(D103:D109)</f>
        <v>#DIV/0!</v>
      </c>
      <c r="O26" s="163" t="str">
        <f t="shared" ref="O26:S26" si="7">C114</f>
        <v/>
      </c>
      <c r="P26" s="163" t="str">
        <f t="shared" si="7"/>
        <v/>
      </c>
      <c r="Q26" s="163" t="str">
        <f t="shared" si="7"/>
        <v/>
      </c>
      <c r="R26" s="163" t="str">
        <f t="shared" si="7"/>
        <v/>
      </c>
      <c r="S26" s="163" t="str">
        <f t="shared" si="7"/>
        <v/>
      </c>
      <c r="T26" s="139"/>
      <c r="U26" s="16"/>
      <c r="V26" s="16"/>
      <c r="W26" s="16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</row>
    <row r="27">
      <c r="A27" s="135"/>
      <c r="B27" s="135"/>
      <c r="C27" s="155">
        <v>45489.0</v>
      </c>
      <c r="D27" s="166"/>
      <c r="E27" s="156"/>
      <c r="F27" s="166"/>
      <c r="G27" s="135"/>
      <c r="H27" s="135"/>
      <c r="I27" s="135"/>
      <c r="J27" s="135"/>
      <c r="K27" s="135"/>
      <c r="L27" s="152">
        <v>7.0</v>
      </c>
      <c r="M27" s="159">
        <f t="shared" si="2"/>
        <v>45528</v>
      </c>
      <c r="N27" s="156" t="str">
        <f>AVERAGE(D120:D126)</f>
        <v>#DIV/0!</v>
      </c>
      <c r="O27" s="165" t="str">
        <f t="shared" ref="O27:S27" si="8">C131</f>
        <v/>
      </c>
      <c r="P27" s="165" t="str">
        <f t="shared" si="8"/>
        <v/>
      </c>
      <c r="Q27" s="165" t="str">
        <f t="shared" si="8"/>
        <v/>
      </c>
      <c r="R27" s="165" t="str">
        <f t="shared" si="8"/>
        <v/>
      </c>
      <c r="S27" s="165" t="str">
        <f t="shared" si="8"/>
        <v/>
      </c>
      <c r="T27" s="139"/>
      <c r="U27" s="16"/>
      <c r="V27" s="16"/>
      <c r="W27" s="16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</row>
    <row r="28">
      <c r="A28" s="164"/>
      <c r="B28" s="164"/>
      <c r="C28" s="167" t="s">
        <v>128</v>
      </c>
      <c r="D28" s="168" t="str">
        <f t="shared" ref="D28:F28" si="9">AVERAGE(D21:D27)</f>
        <v>#DIV/0!</v>
      </c>
      <c r="E28" s="168" t="str">
        <f t="shared" si="9"/>
        <v>#DIV/0!</v>
      </c>
      <c r="F28" s="168" t="str">
        <f t="shared" si="9"/>
        <v>#DIV/0!</v>
      </c>
      <c r="G28" s="135"/>
      <c r="H28" s="135"/>
      <c r="I28" s="135"/>
      <c r="J28" s="135"/>
      <c r="K28" s="135"/>
      <c r="L28" s="152">
        <v>8.0</v>
      </c>
      <c r="M28" s="159">
        <f t="shared" si="2"/>
        <v>45535</v>
      </c>
      <c r="N28" s="162" t="str">
        <f>AVERAGE(D137:D143)</f>
        <v>#DIV/0!</v>
      </c>
      <c r="O28" s="163" t="str">
        <f t="shared" ref="O28:S28" si="10">C148</f>
        <v/>
      </c>
      <c r="P28" s="163" t="str">
        <f t="shared" si="10"/>
        <v/>
      </c>
      <c r="Q28" s="163" t="str">
        <f t="shared" si="10"/>
        <v/>
      </c>
      <c r="R28" s="163" t="str">
        <f t="shared" si="10"/>
        <v/>
      </c>
      <c r="S28" s="163" t="str">
        <f t="shared" si="10"/>
        <v/>
      </c>
      <c r="T28" s="139"/>
      <c r="U28" s="16"/>
      <c r="V28" s="16"/>
      <c r="W28" s="16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</row>
    <row r="29">
      <c r="A29" s="164"/>
      <c r="B29" s="164"/>
      <c r="C29" s="136"/>
      <c r="D29" s="136"/>
      <c r="E29" s="136"/>
      <c r="F29" s="136"/>
      <c r="G29" s="135"/>
      <c r="H29" s="135"/>
      <c r="I29" s="135"/>
      <c r="J29" s="135"/>
      <c r="K29" s="135"/>
      <c r="L29" s="152">
        <v>9.0</v>
      </c>
      <c r="M29" s="159">
        <f t="shared" si="2"/>
        <v>45542</v>
      </c>
      <c r="N29" s="156" t="str">
        <f>AVERAGE(D153:D159)</f>
        <v>#DIV/0!</v>
      </c>
      <c r="O29" s="165" t="str">
        <f t="shared" ref="O29:S29" si="11">C164</f>
        <v/>
      </c>
      <c r="P29" s="165" t="str">
        <f t="shared" si="11"/>
        <v/>
      </c>
      <c r="Q29" s="165" t="str">
        <f t="shared" si="11"/>
        <v/>
      </c>
      <c r="R29" s="165" t="str">
        <f t="shared" si="11"/>
        <v/>
      </c>
      <c r="S29" s="165" t="str">
        <f t="shared" si="11"/>
        <v/>
      </c>
      <c r="T29" s="139"/>
      <c r="U29" s="16"/>
      <c r="V29" s="16"/>
      <c r="W29" s="16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</row>
    <row r="30">
      <c r="A30" s="169"/>
      <c r="B30" s="169"/>
      <c r="C30" s="151" t="s">
        <v>129</v>
      </c>
      <c r="D30" s="39"/>
      <c r="E30" s="39"/>
      <c r="F30" s="39"/>
      <c r="G30" s="23"/>
      <c r="H30" s="171"/>
      <c r="I30" s="171"/>
      <c r="J30" s="171"/>
      <c r="K30" s="171"/>
      <c r="L30" s="152">
        <v>10.0</v>
      </c>
      <c r="M30" s="159">
        <f t="shared" si="2"/>
        <v>45549</v>
      </c>
      <c r="N30" s="162" t="str">
        <f>AVERAGE(D169:D175)</f>
        <v>#DIV/0!</v>
      </c>
      <c r="O30" s="163" t="str">
        <f>C164</f>
        <v/>
      </c>
      <c r="P30" s="163" t="str">
        <f t="shared" ref="P30:S30" si="12">D180</f>
        <v/>
      </c>
      <c r="Q30" s="163" t="str">
        <f t="shared" si="12"/>
        <v/>
      </c>
      <c r="R30" s="163" t="str">
        <f t="shared" si="12"/>
        <v/>
      </c>
      <c r="S30" s="163" t="str">
        <f t="shared" si="12"/>
        <v/>
      </c>
      <c r="T30" s="139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</row>
    <row r="31">
      <c r="A31" s="82"/>
      <c r="B31" s="82"/>
      <c r="C31" s="155" t="s">
        <v>113</v>
      </c>
      <c r="D31" s="180" t="s">
        <v>145</v>
      </c>
      <c r="E31" s="155" t="s">
        <v>146</v>
      </c>
      <c r="F31" s="155" t="s">
        <v>116</v>
      </c>
      <c r="G31" s="155" t="s">
        <v>117</v>
      </c>
      <c r="H31" s="171"/>
      <c r="I31" s="171"/>
      <c r="J31" s="171"/>
      <c r="K31" s="171"/>
      <c r="L31" s="152">
        <v>11.0</v>
      </c>
      <c r="M31" s="159">
        <f t="shared" si="2"/>
        <v>45556</v>
      </c>
      <c r="N31" s="156" t="str">
        <f>AVERAGE(D185:D191)</f>
        <v>#DIV/0!</v>
      </c>
      <c r="O31" s="165" t="str">
        <f t="shared" ref="O31:S31" si="13">C196</f>
        <v/>
      </c>
      <c r="P31" s="165" t="str">
        <f t="shared" si="13"/>
        <v/>
      </c>
      <c r="Q31" s="165" t="str">
        <f t="shared" si="13"/>
        <v/>
      </c>
      <c r="R31" s="165" t="str">
        <f t="shared" si="13"/>
        <v/>
      </c>
      <c r="S31" s="165" t="str">
        <f t="shared" si="13"/>
        <v/>
      </c>
      <c r="T31" s="139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</row>
    <row r="32">
      <c r="A32" s="150"/>
      <c r="B32" s="150"/>
      <c r="C32" s="181"/>
      <c r="D32" s="181"/>
      <c r="E32" s="181"/>
      <c r="F32" s="181"/>
      <c r="G32" s="181"/>
      <c r="H32" s="171"/>
      <c r="I32" s="171"/>
      <c r="J32" s="171"/>
      <c r="K32" s="171"/>
      <c r="L32" s="152">
        <v>12.0</v>
      </c>
      <c r="M32" s="159">
        <f t="shared" si="2"/>
        <v>45563</v>
      </c>
      <c r="N32" s="162" t="str">
        <f>AVERAGE(D201:D207)</f>
        <v>#DIV/0!</v>
      </c>
      <c r="O32" s="163" t="str">
        <f t="shared" ref="O32:S32" si="14">C212</f>
        <v/>
      </c>
      <c r="P32" s="163" t="str">
        <f t="shared" si="14"/>
        <v/>
      </c>
      <c r="Q32" s="163" t="str">
        <f t="shared" si="14"/>
        <v/>
      </c>
      <c r="R32" s="163" t="str">
        <f t="shared" si="14"/>
        <v/>
      </c>
      <c r="S32" s="163" t="str">
        <f t="shared" si="14"/>
        <v/>
      </c>
      <c r="T32" s="139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</row>
    <row r="33">
      <c r="A33" s="157"/>
      <c r="B33" s="157"/>
      <c r="C33" s="135"/>
      <c r="D33" s="135"/>
      <c r="E33" s="135"/>
      <c r="F33" s="135"/>
      <c r="G33" s="171"/>
      <c r="H33" s="171"/>
      <c r="I33" s="171"/>
      <c r="J33" s="171"/>
      <c r="K33" s="171"/>
      <c r="L33" s="135"/>
      <c r="M33" s="135"/>
      <c r="N33" s="135"/>
      <c r="O33" s="135"/>
      <c r="P33" s="135"/>
      <c r="Q33" s="135"/>
      <c r="R33" s="135"/>
      <c r="S33" s="135"/>
      <c r="T33" s="139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</row>
    <row r="34">
      <c r="A34" s="135"/>
      <c r="B34" s="135"/>
      <c r="C34" s="16"/>
      <c r="D34" s="16"/>
      <c r="E34" s="16"/>
      <c r="F34" s="16"/>
      <c r="G34" s="171"/>
      <c r="H34" s="171"/>
      <c r="I34" s="171"/>
      <c r="J34" s="171"/>
      <c r="K34" s="171"/>
      <c r="L34" s="16"/>
      <c r="M34" s="135"/>
      <c r="N34" s="81" t="s">
        <v>132</v>
      </c>
      <c r="O34" s="135"/>
      <c r="P34" s="135"/>
      <c r="Q34" s="135"/>
      <c r="R34" s="135"/>
      <c r="S34" s="135"/>
      <c r="T34" s="139"/>
      <c r="U34" s="174" t="s">
        <v>133</v>
      </c>
      <c r="V34" s="23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</row>
    <row r="35">
      <c r="A35" s="135"/>
      <c r="B35" s="135"/>
      <c r="C35" s="16"/>
      <c r="D35" s="16"/>
      <c r="E35" s="16"/>
      <c r="F35" s="16"/>
      <c r="G35" s="171"/>
      <c r="H35" s="171"/>
      <c r="I35" s="171"/>
      <c r="J35" s="171"/>
      <c r="K35" s="171"/>
      <c r="L35" s="135"/>
      <c r="M35" s="135"/>
      <c r="N35" s="135"/>
      <c r="O35" s="135"/>
      <c r="P35" s="135"/>
      <c r="Q35" s="135"/>
      <c r="R35" s="135"/>
      <c r="S35" s="135"/>
      <c r="T35" s="139"/>
      <c r="U35" s="175" t="s">
        <v>134</v>
      </c>
      <c r="V35" s="176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</row>
    <row r="36" ht="31.5" customHeight="1">
      <c r="A36" s="135"/>
      <c r="B36" s="135"/>
      <c r="C36" s="136"/>
      <c r="D36" s="177" t="s">
        <v>1</v>
      </c>
      <c r="E36" s="23"/>
      <c r="F36" s="136"/>
      <c r="G36" s="135"/>
      <c r="H36" s="135"/>
      <c r="I36" s="135"/>
      <c r="J36" s="135"/>
      <c r="K36" s="171"/>
      <c r="L36" s="135"/>
      <c r="M36" s="135"/>
      <c r="N36" s="135"/>
      <c r="O36" s="135"/>
      <c r="P36" s="135"/>
      <c r="Q36" s="135"/>
      <c r="R36" s="135"/>
      <c r="S36" s="135"/>
      <c r="T36" s="139"/>
      <c r="U36" s="175" t="s">
        <v>135</v>
      </c>
      <c r="V36" s="178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</row>
    <row r="37">
      <c r="A37" s="164"/>
      <c r="B37" s="164"/>
      <c r="C37" s="147" t="s">
        <v>118</v>
      </c>
      <c r="D37" s="147" t="s">
        <v>119</v>
      </c>
      <c r="E37" s="147" t="s">
        <v>120</v>
      </c>
      <c r="F37" s="147" t="s">
        <v>121</v>
      </c>
      <c r="G37" s="135"/>
      <c r="H37" s="150"/>
      <c r="I37" s="151" t="s">
        <v>122</v>
      </c>
      <c r="J37" s="23"/>
      <c r="K37" s="171"/>
      <c r="L37" s="135"/>
      <c r="M37" s="135"/>
      <c r="N37" s="135"/>
      <c r="O37" s="135"/>
      <c r="P37" s="135"/>
      <c r="Q37" s="135"/>
      <c r="R37" s="135"/>
      <c r="S37" s="135"/>
      <c r="T37" s="139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</row>
    <row r="38">
      <c r="A38" s="132"/>
      <c r="B38" s="132"/>
      <c r="C38" s="155">
        <v>45483.0</v>
      </c>
      <c r="D38" s="156"/>
      <c r="E38" s="156"/>
      <c r="F38" s="156"/>
      <c r="G38" s="135"/>
      <c r="H38" s="157"/>
      <c r="I38" s="155" t="s">
        <v>124</v>
      </c>
      <c r="J38" s="158">
        <v>2700.0</v>
      </c>
      <c r="K38" s="171"/>
      <c r="L38" s="135"/>
      <c r="M38" s="135"/>
      <c r="N38" s="135"/>
      <c r="O38" s="135"/>
      <c r="P38" s="135"/>
      <c r="Q38" s="135"/>
      <c r="R38" s="135"/>
      <c r="S38" s="135"/>
      <c r="T38" s="139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</row>
    <row r="39">
      <c r="A39" s="171"/>
      <c r="B39" s="171"/>
      <c r="C39" s="155">
        <v>45484.0</v>
      </c>
      <c r="D39" s="156"/>
      <c r="E39" s="156"/>
      <c r="F39" s="156"/>
      <c r="G39" s="135"/>
      <c r="H39" s="157"/>
      <c r="I39" s="155" t="s">
        <v>125</v>
      </c>
      <c r="J39" s="158">
        <v>160.0</v>
      </c>
      <c r="K39" s="171"/>
      <c r="L39" s="135"/>
      <c r="M39" s="135"/>
      <c r="N39" s="135"/>
      <c r="O39" s="135"/>
      <c r="P39" s="135"/>
      <c r="Q39" s="135"/>
      <c r="R39" s="135"/>
      <c r="S39" s="135"/>
      <c r="T39" s="139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</row>
    <row r="40">
      <c r="A40" s="171"/>
      <c r="B40" s="171"/>
      <c r="C40" s="155">
        <v>45485.0</v>
      </c>
      <c r="D40" s="156"/>
      <c r="E40" s="156"/>
      <c r="F40" s="156"/>
      <c r="G40" s="135"/>
      <c r="H40" s="157"/>
      <c r="I40" s="155" t="s">
        <v>126</v>
      </c>
      <c r="J40" s="158">
        <v>380.0</v>
      </c>
      <c r="K40" s="171"/>
      <c r="L40" s="135"/>
      <c r="M40" s="135"/>
      <c r="N40" s="135"/>
      <c r="O40" s="135"/>
      <c r="P40" s="135"/>
      <c r="Q40" s="135"/>
      <c r="R40" s="135"/>
      <c r="S40" s="135"/>
      <c r="T40" s="139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</row>
    <row r="41">
      <c r="A41" s="171"/>
      <c r="B41" s="171"/>
      <c r="C41" s="155">
        <v>45486.0</v>
      </c>
      <c r="D41" s="156"/>
      <c r="E41" s="156"/>
      <c r="F41" s="156"/>
      <c r="G41" s="135"/>
      <c r="H41" s="157"/>
      <c r="I41" s="155" t="s">
        <v>127</v>
      </c>
      <c r="J41" s="158">
        <v>60.0</v>
      </c>
      <c r="K41" s="171"/>
      <c r="L41" s="135"/>
      <c r="M41" s="135"/>
      <c r="N41" s="135"/>
      <c r="O41" s="135"/>
      <c r="P41" s="135"/>
      <c r="Q41" s="135"/>
      <c r="R41" s="135"/>
      <c r="S41" s="135"/>
      <c r="T41" s="139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>
      <c r="A42" s="171"/>
      <c r="B42" s="171"/>
      <c r="C42" s="155">
        <v>45487.0</v>
      </c>
      <c r="D42" s="156"/>
      <c r="E42" s="156"/>
      <c r="F42" s="156"/>
      <c r="G42" s="135"/>
      <c r="H42" s="135"/>
      <c r="I42" s="135"/>
      <c r="J42" s="135"/>
      <c r="K42" s="171"/>
      <c r="L42" s="135"/>
      <c r="M42" s="135"/>
      <c r="N42" s="135"/>
      <c r="O42" s="135"/>
      <c r="P42" s="135"/>
      <c r="Q42" s="135"/>
      <c r="R42" s="135"/>
      <c r="S42" s="135"/>
      <c r="T42" s="139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</row>
    <row r="43">
      <c r="A43" s="130"/>
      <c r="B43" s="130"/>
      <c r="C43" s="155">
        <v>45488.0</v>
      </c>
      <c r="D43" s="166"/>
      <c r="E43" s="156"/>
      <c r="F43" s="156"/>
      <c r="G43" s="135"/>
      <c r="H43" s="135"/>
      <c r="I43" s="135"/>
      <c r="J43" s="135"/>
      <c r="K43" s="130"/>
      <c r="L43" s="135"/>
      <c r="M43" s="135"/>
      <c r="N43" s="135"/>
      <c r="O43" s="135"/>
      <c r="P43" s="135"/>
      <c r="Q43" s="135"/>
      <c r="R43" s="135"/>
      <c r="S43" s="135"/>
      <c r="T43" s="139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</row>
    <row r="44">
      <c r="A44" s="130"/>
      <c r="B44" s="130"/>
      <c r="C44" s="155">
        <v>45489.0</v>
      </c>
      <c r="D44" s="166"/>
      <c r="E44" s="156"/>
      <c r="F44" s="166"/>
      <c r="G44" s="135"/>
      <c r="H44" s="135"/>
      <c r="I44" s="135"/>
      <c r="J44" s="135"/>
      <c r="K44" s="130"/>
      <c r="L44" s="135"/>
      <c r="M44" s="135"/>
      <c r="N44" s="135"/>
      <c r="O44" s="135"/>
      <c r="P44" s="135"/>
      <c r="Q44" s="135"/>
      <c r="R44" s="135"/>
      <c r="S44" s="135"/>
      <c r="T44" s="139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</row>
    <row r="45">
      <c r="A45" s="130"/>
      <c r="B45" s="130"/>
      <c r="C45" s="167" t="s">
        <v>128</v>
      </c>
      <c r="D45" s="168" t="str">
        <f t="shared" ref="D45:F45" si="15">AVERAGE(D38:D44)</f>
        <v>#DIV/0!</v>
      </c>
      <c r="E45" s="168" t="str">
        <f t="shared" si="15"/>
        <v>#DIV/0!</v>
      </c>
      <c r="F45" s="168" t="str">
        <f t="shared" si="15"/>
        <v>#DIV/0!</v>
      </c>
      <c r="G45" s="135"/>
      <c r="H45" s="135"/>
      <c r="I45" s="135"/>
      <c r="J45" s="135"/>
      <c r="K45" s="130"/>
      <c r="L45" s="135"/>
      <c r="M45" s="135"/>
      <c r="N45" s="135"/>
      <c r="O45" s="135"/>
      <c r="P45" s="135"/>
      <c r="Q45" s="135"/>
      <c r="R45" s="135"/>
      <c r="S45" s="135"/>
      <c r="T45" s="139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</row>
    <row r="46">
      <c r="A46" s="130"/>
      <c r="B46" s="130"/>
      <c r="C46" s="136"/>
      <c r="D46" s="136"/>
      <c r="E46" s="136"/>
      <c r="F46" s="136"/>
      <c r="G46" s="135"/>
      <c r="H46" s="135"/>
      <c r="I46" s="135"/>
      <c r="J46" s="135"/>
      <c r="K46" s="130"/>
      <c r="L46" s="135"/>
      <c r="M46" s="135"/>
      <c r="N46" s="135"/>
      <c r="O46" s="135"/>
      <c r="P46" s="135"/>
      <c r="Q46" s="135"/>
      <c r="R46" s="135"/>
      <c r="S46" s="135"/>
      <c r="T46" s="139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</row>
    <row r="47">
      <c r="A47" s="130"/>
      <c r="B47" s="130"/>
      <c r="C47" s="151" t="s">
        <v>129</v>
      </c>
      <c r="D47" s="39"/>
      <c r="E47" s="39"/>
      <c r="F47" s="39"/>
      <c r="G47" s="23"/>
      <c r="H47" s="171"/>
      <c r="I47" s="171"/>
      <c r="J47" s="171"/>
      <c r="K47" s="130"/>
      <c r="L47" s="135"/>
      <c r="M47" s="135"/>
      <c r="N47" s="135"/>
      <c r="O47" s="135"/>
      <c r="P47" s="135"/>
      <c r="Q47" s="135"/>
      <c r="R47" s="135"/>
      <c r="S47" s="135"/>
      <c r="T47" s="139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</row>
    <row r="48">
      <c r="A48" s="130"/>
      <c r="B48" s="130"/>
      <c r="C48" s="155" t="s">
        <v>113</v>
      </c>
      <c r="D48" s="180" t="s">
        <v>145</v>
      </c>
      <c r="E48" s="155" t="s">
        <v>146</v>
      </c>
      <c r="F48" s="155" t="s">
        <v>116</v>
      </c>
      <c r="G48" s="155" t="s">
        <v>117</v>
      </c>
      <c r="H48" s="171"/>
      <c r="I48" s="171"/>
      <c r="J48" s="171"/>
      <c r="K48" s="130"/>
      <c r="L48" s="139"/>
      <c r="M48" s="139"/>
      <c r="N48" s="139"/>
      <c r="O48" s="139"/>
      <c r="P48" s="139"/>
      <c r="Q48" s="139"/>
      <c r="R48" s="139"/>
      <c r="S48" s="139"/>
      <c r="T48" s="139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</row>
    <row r="49">
      <c r="A49" s="130"/>
      <c r="B49" s="130"/>
      <c r="C49" s="181"/>
      <c r="D49" s="181"/>
      <c r="E49" s="181"/>
      <c r="F49" s="181"/>
      <c r="G49" s="181"/>
      <c r="H49" s="171"/>
      <c r="I49" s="171"/>
      <c r="J49" s="171"/>
      <c r="K49" s="130"/>
      <c r="L49" s="139"/>
      <c r="M49" s="139"/>
      <c r="N49" s="139"/>
      <c r="O49" s="139"/>
      <c r="P49" s="139"/>
      <c r="Q49" s="139"/>
      <c r="R49" s="139"/>
      <c r="S49" s="139"/>
      <c r="T49" s="139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</row>
    <row r="50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6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</row>
    <row r="5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6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</row>
    <row r="5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6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</row>
    <row r="53" ht="30.0" customHeight="1">
      <c r="A53" s="130"/>
      <c r="B53" s="130"/>
      <c r="C53" s="136"/>
      <c r="D53" s="177" t="s">
        <v>2</v>
      </c>
      <c r="E53" s="23"/>
      <c r="F53" s="136"/>
      <c r="G53" s="135"/>
      <c r="H53" s="135"/>
      <c r="I53" s="135"/>
      <c r="J53" s="135"/>
      <c r="K53" s="130"/>
      <c r="L53" s="16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</row>
    <row r="54">
      <c r="A54" s="130"/>
      <c r="B54" s="130"/>
      <c r="C54" s="147" t="s">
        <v>118</v>
      </c>
      <c r="D54" s="147" t="s">
        <v>119</v>
      </c>
      <c r="E54" s="147" t="s">
        <v>120</v>
      </c>
      <c r="F54" s="147" t="s">
        <v>121</v>
      </c>
      <c r="G54" s="135"/>
      <c r="H54" s="150"/>
      <c r="I54" s="151" t="s">
        <v>122</v>
      </c>
      <c r="J54" s="23"/>
      <c r="K54" s="130"/>
      <c r="L54" s="16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</row>
    <row r="55">
      <c r="A55" s="130"/>
      <c r="B55" s="130"/>
      <c r="C55" s="155">
        <v>45483.0</v>
      </c>
      <c r="D55" s="156"/>
      <c r="E55" s="156"/>
      <c r="F55" s="156"/>
      <c r="G55" s="135"/>
      <c r="H55" s="157"/>
      <c r="I55" s="155" t="s">
        <v>124</v>
      </c>
      <c r="J55" s="158">
        <v>2700.0</v>
      </c>
      <c r="K55" s="130"/>
      <c r="L55" s="16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</row>
    <row r="56">
      <c r="A56" s="130"/>
      <c r="B56" s="130"/>
      <c r="C56" s="155">
        <v>45484.0</v>
      </c>
      <c r="D56" s="156"/>
      <c r="E56" s="156"/>
      <c r="F56" s="156"/>
      <c r="G56" s="135"/>
      <c r="H56" s="157"/>
      <c r="I56" s="155" t="s">
        <v>125</v>
      </c>
      <c r="J56" s="158">
        <v>160.0</v>
      </c>
      <c r="K56" s="130"/>
      <c r="L56" s="16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</row>
    <row r="57">
      <c r="A57" s="130"/>
      <c r="B57" s="130"/>
      <c r="C57" s="155">
        <v>45485.0</v>
      </c>
      <c r="D57" s="156"/>
      <c r="E57" s="156"/>
      <c r="F57" s="156"/>
      <c r="G57" s="135"/>
      <c r="H57" s="157"/>
      <c r="I57" s="155" t="s">
        <v>126</v>
      </c>
      <c r="J57" s="158">
        <v>380.0</v>
      </c>
      <c r="K57" s="130"/>
      <c r="L57" s="16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</row>
    <row r="58">
      <c r="A58" s="130"/>
      <c r="B58" s="130"/>
      <c r="C58" s="155">
        <v>45486.0</v>
      </c>
      <c r="D58" s="156"/>
      <c r="E58" s="156"/>
      <c r="F58" s="156"/>
      <c r="G58" s="135"/>
      <c r="H58" s="157"/>
      <c r="I58" s="155" t="s">
        <v>127</v>
      </c>
      <c r="J58" s="158">
        <v>60.0</v>
      </c>
      <c r="K58" s="130"/>
      <c r="L58" s="16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</row>
    <row r="59">
      <c r="A59" s="130"/>
      <c r="B59" s="130"/>
      <c r="C59" s="155">
        <v>45487.0</v>
      </c>
      <c r="D59" s="156"/>
      <c r="E59" s="156"/>
      <c r="F59" s="156"/>
      <c r="G59" s="135"/>
      <c r="H59" s="135"/>
      <c r="I59" s="135"/>
      <c r="J59" s="135"/>
      <c r="K59" s="130"/>
      <c r="L59" s="16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</row>
    <row r="60">
      <c r="A60" s="130"/>
      <c r="B60" s="130"/>
      <c r="C60" s="155">
        <v>45488.0</v>
      </c>
      <c r="D60" s="166"/>
      <c r="E60" s="156"/>
      <c r="F60" s="156"/>
      <c r="G60" s="135"/>
      <c r="H60" s="135"/>
      <c r="I60" s="135"/>
      <c r="J60" s="135"/>
      <c r="K60" s="130"/>
      <c r="L60" s="16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</row>
    <row r="61">
      <c r="A61" s="130"/>
      <c r="B61" s="130"/>
      <c r="C61" s="155">
        <v>45489.0</v>
      </c>
      <c r="D61" s="166"/>
      <c r="E61" s="156"/>
      <c r="F61" s="166"/>
      <c r="G61" s="135"/>
      <c r="H61" s="135"/>
      <c r="I61" s="135"/>
      <c r="J61" s="135"/>
      <c r="K61" s="130"/>
      <c r="L61" s="16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</row>
    <row r="62">
      <c r="A62" s="130"/>
      <c r="B62" s="130"/>
      <c r="C62" s="167" t="s">
        <v>128</v>
      </c>
      <c r="D62" s="168" t="str">
        <f t="shared" ref="D62:F62" si="16">AVERAGE(D55:D61)</f>
        <v>#DIV/0!</v>
      </c>
      <c r="E62" s="168" t="str">
        <f t="shared" si="16"/>
        <v>#DIV/0!</v>
      </c>
      <c r="F62" s="168" t="str">
        <f t="shared" si="16"/>
        <v>#DIV/0!</v>
      </c>
      <c r="G62" s="135"/>
      <c r="H62" s="135"/>
      <c r="I62" s="135"/>
      <c r="J62" s="135"/>
      <c r="K62" s="130"/>
      <c r="L62" s="16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</row>
    <row r="63">
      <c r="A63" s="130"/>
      <c r="B63" s="130"/>
      <c r="C63" s="136"/>
      <c r="D63" s="136"/>
      <c r="E63" s="136"/>
      <c r="F63" s="136"/>
      <c r="G63" s="135"/>
      <c r="H63" s="135"/>
      <c r="I63" s="135"/>
      <c r="J63" s="135"/>
      <c r="K63" s="130"/>
      <c r="L63" s="16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</row>
    <row r="64">
      <c r="A64" s="130"/>
      <c r="B64" s="130"/>
      <c r="C64" s="151" t="s">
        <v>129</v>
      </c>
      <c r="D64" s="39"/>
      <c r="E64" s="39"/>
      <c r="F64" s="39"/>
      <c r="G64" s="23"/>
      <c r="H64" s="171"/>
      <c r="I64" s="171"/>
      <c r="J64" s="171"/>
      <c r="K64" s="130"/>
      <c r="L64" s="16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</row>
    <row r="65">
      <c r="A65" s="130"/>
      <c r="B65" s="130"/>
      <c r="C65" s="155" t="s">
        <v>113</v>
      </c>
      <c r="D65" s="180" t="s">
        <v>145</v>
      </c>
      <c r="E65" s="155" t="s">
        <v>146</v>
      </c>
      <c r="F65" s="155" t="s">
        <v>116</v>
      </c>
      <c r="G65" s="155" t="s">
        <v>117</v>
      </c>
      <c r="H65" s="171"/>
      <c r="I65" s="171"/>
      <c r="J65" s="171"/>
      <c r="K65" s="130"/>
      <c r="L65" s="16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</row>
    <row r="66">
      <c r="A66" s="130"/>
      <c r="B66" s="130"/>
      <c r="C66" s="181"/>
      <c r="D66" s="181"/>
      <c r="E66" s="181"/>
      <c r="F66" s="181"/>
      <c r="G66" s="181"/>
      <c r="H66" s="171"/>
      <c r="I66" s="171"/>
      <c r="J66" s="171"/>
      <c r="K66" s="130"/>
      <c r="L66" s="16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</row>
    <row r="67" ht="21.0" customHeight="1">
      <c r="A67" s="130"/>
      <c r="B67" s="130"/>
      <c r="C67" s="130"/>
      <c r="D67" s="130"/>
      <c r="E67" s="130"/>
      <c r="F67" s="130"/>
      <c r="G67" s="130"/>
      <c r="H67" s="171"/>
      <c r="I67" s="171"/>
      <c r="J67" s="171"/>
      <c r="K67" s="130"/>
      <c r="L67" s="16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</row>
    <row r="68" ht="31.5" customHeight="1">
      <c r="A68" s="130"/>
      <c r="B68" s="130"/>
      <c r="C68" s="130"/>
      <c r="D68" s="130"/>
      <c r="E68" s="130"/>
      <c r="F68" s="130"/>
      <c r="G68" s="130"/>
      <c r="H68" s="171"/>
      <c r="I68" s="171"/>
      <c r="J68" s="171"/>
      <c r="K68" s="130"/>
      <c r="L68" s="16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</row>
    <row r="69" ht="30.0" customHeight="1">
      <c r="A69" s="130"/>
      <c r="B69" s="130"/>
      <c r="C69" s="136"/>
      <c r="D69" s="177" t="s">
        <v>3</v>
      </c>
      <c r="E69" s="23"/>
      <c r="F69" s="136"/>
      <c r="G69" s="135"/>
      <c r="H69" s="135"/>
      <c r="I69" s="135"/>
      <c r="J69" s="135"/>
      <c r="K69" s="130"/>
      <c r="L69" s="16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</row>
    <row r="70">
      <c r="A70" s="130"/>
      <c r="B70" s="130"/>
      <c r="C70" s="147" t="s">
        <v>118</v>
      </c>
      <c r="D70" s="147" t="s">
        <v>119</v>
      </c>
      <c r="E70" s="147" t="s">
        <v>120</v>
      </c>
      <c r="F70" s="147" t="s">
        <v>121</v>
      </c>
      <c r="G70" s="135"/>
      <c r="H70" s="150"/>
      <c r="I70" s="151" t="s">
        <v>122</v>
      </c>
      <c r="J70" s="23"/>
      <c r="K70" s="130"/>
      <c r="L70" s="16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</row>
    <row r="71">
      <c r="A71" s="130"/>
      <c r="B71" s="130"/>
      <c r="C71" s="155">
        <v>45483.0</v>
      </c>
      <c r="D71" s="156"/>
      <c r="E71" s="156"/>
      <c r="F71" s="156"/>
      <c r="G71" s="135"/>
      <c r="H71" s="157"/>
      <c r="I71" s="155" t="s">
        <v>124</v>
      </c>
      <c r="J71" s="158">
        <v>2700.0</v>
      </c>
      <c r="K71" s="130"/>
      <c r="L71" s="16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</row>
    <row r="72">
      <c r="A72" s="130"/>
      <c r="B72" s="130"/>
      <c r="C72" s="155">
        <v>45484.0</v>
      </c>
      <c r="D72" s="156"/>
      <c r="E72" s="156"/>
      <c r="F72" s="156"/>
      <c r="G72" s="135"/>
      <c r="H72" s="157"/>
      <c r="I72" s="155" t="s">
        <v>125</v>
      </c>
      <c r="J72" s="158">
        <v>160.0</v>
      </c>
      <c r="K72" s="130"/>
      <c r="L72" s="16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</row>
    <row r="73">
      <c r="A73" s="130"/>
      <c r="B73" s="130"/>
      <c r="C73" s="155">
        <v>45485.0</v>
      </c>
      <c r="D73" s="156"/>
      <c r="E73" s="156"/>
      <c r="F73" s="156"/>
      <c r="G73" s="135"/>
      <c r="H73" s="157"/>
      <c r="I73" s="155" t="s">
        <v>126</v>
      </c>
      <c r="J73" s="158">
        <v>380.0</v>
      </c>
      <c r="K73" s="130"/>
      <c r="L73" s="16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</row>
    <row r="74">
      <c r="A74" s="130"/>
      <c r="B74" s="130"/>
      <c r="C74" s="155">
        <v>45486.0</v>
      </c>
      <c r="D74" s="156"/>
      <c r="E74" s="156"/>
      <c r="F74" s="156"/>
      <c r="G74" s="135"/>
      <c r="H74" s="157"/>
      <c r="I74" s="155" t="s">
        <v>127</v>
      </c>
      <c r="J74" s="158">
        <v>60.0</v>
      </c>
      <c r="K74" s="130"/>
      <c r="L74" s="16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</row>
    <row r="75">
      <c r="A75" s="130"/>
      <c r="B75" s="130"/>
      <c r="C75" s="155">
        <v>45487.0</v>
      </c>
      <c r="D75" s="156"/>
      <c r="E75" s="156"/>
      <c r="F75" s="156"/>
      <c r="G75" s="135"/>
      <c r="H75" s="135"/>
      <c r="I75" s="135"/>
      <c r="J75" s="135"/>
      <c r="K75" s="130"/>
      <c r="L75" s="16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</row>
    <row r="76">
      <c r="A76" s="130"/>
      <c r="B76" s="130"/>
      <c r="C76" s="155">
        <v>45488.0</v>
      </c>
      <c r="D76" s="166"/>
      <c r="E76" s="156"/>
      <c r="F76" s="156"/>
      <c r="G76" s="135"/>
      <c r="H76" s="135"/>
      <c r="I76" s="135"/>
      <c r="J76" s="135"/>
      <c r="K76" s="130"/>
      <c r="L76" s="16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</row>
    <row r="77">
      <c r="A77" s="130"/>
      <c r="B77" s="130"/>
      <c r="C77" s="155">
        <v>45489.0</v>
      </c>
      <c r="D77" s="166"/>
      <c r="E77" s="156"/>
      <c r="F77" s="166"/>
      <c r="G77" s="135"/>
      <c r="H77" s="135"/>
      <c r="I77" s="135"/>
      <c r="J77" s="135"/>
      <c r="K77" s="130"/>
      <c r="L77" s="16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</row>
    <row r="78">
      <c r="A78" s="130"/>
      <c r="B78" s="130"/>
      <c r="C78" s="167" t="s">
        <v>128</v>
      </c>
      <c r="D78" s="168" t="str">
        <f t="shared" ref="D78:F78" si="17">AVERAGE(D71:D77)</f>
        <v>#DIV/0!</v>
      </c>
      <c r="E78" s="168" t="str">
        <f t="shared" si="17"/>
        <v>#DIV/0!</v>
      </c>
      <c r="F78" s="168" t="str">
        <f t="shared" si="17"/>
        <v>#DIV/0!</v>
      </c>
      <c r="G78" s="135"/>
      <c r="H78" s="135"/>
      <c r="I78" s="135"/>
      <c r="J78" s="135"/>
      <c r="K78" s="130"/>
      <c r="L78" s="16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</row>
    <row r="79">
      <c r="A79" s="130"/>
      <c r="B79" s="130"/>
      <c r="C79" s="136"/>
      <c r="D79" s="136"/>
      <c r="E79" s="136"/>
      <c r="F79" s="136"/>
      <c r="G79" s="135"/>
      <c r="H79" s="135"/>
      <c r="I79" s="135"/>
      <c r="J79" s="135"/>
      <c r="K79" s="130"/>
      <c r="L79" s="16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</row>
    <row r="80">
      <c r="A80" s="130"/>
      <c r="B80" s="130"/>
      <c r="C80" s="151" t="s">
        <v>129</v>
      </c>
      <c r="D80" s="39"/>
      <c r="E80" s="39"/>
      <c r="F80" s="39"/>
      <c r="G80" s="23"/>
      <c r="H80" s="171"/>
      <c r="I80" s="171"/>
      <c r="J80" s="171"/>
      <c r="K80" s="130"/>
      <c r="L80" s="16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</row>
    <row r="81">
      <c r="A81" s="130"/>
      <c r="B81" s="130"/>
      <c r="C81" s="155" t="s">
        <v>113</v>
      </c>
      <c r="D81" s="180" t="s">
        <v>145</v>
      </c>
      <c r="E81" s="155" t="s">
        <v>146</v>
      </c>
      <c r="F81" s="155" t="s">
        <v>116</v>
      </c>
      <c r="G81" s="155" t="s">
        <v>117</v>
      </c>
      <c r="H81" s="171"/>
      <c r="I81" s="171"/>
      <c r="J81" s="171"/>
      <c r="K81" s="130"/>
      <c r="L81" s="16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</row>
    <row r="82">
      <c r="A82" s="130"/>
      <c r="B82" s="130"/>
      <c r="C82" s="181"/>
      <c r="D82" s="181"/>
      <c r="E82" s="181"/>
      <c r="F82" s="181"/>
      <c r="G82" s="181"/>
      <c r="H82" s="171"/>
      <c r="I82" s="171"/>
      <c r="J82" s="171"/>
      <c r="K82" s="130"/>
      <c r="L82" s="16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</row>
    <row r="83">
      <c r="A83" s="130"/>
      <c r="B83" s="130"/>
      <c r="C83" s="130"/>
      <c r="D83" s="130"/>
      <c r="E83" s="130"/>
      <c r="F83" s="130"/>
      <c r="G83" s="130"/>
      <c r="H83" s="171"/>
      <c r="I83" s="171"/>
      <c r="J83" s="171"/>
      <c r="K83" s="130"/>
      <c r="L83" s="16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</row>
    <row r="84">
      <c r="A84" s="130"/>
      <c r="B84" s="130"/>
      <c r="C84" s="130"/>
      <c r="D84" s="130"/>
      <c r="E84" s="130"/>
      <c r="F84" s="130"/>
      <c r="G84" s="130"/>
      <c r="H84" s="171"/>
      <c r="I84" s="171"/>
      <c r="J84" s="171"/>
      <c r="K84" s="130"/>
      <c r="L84" s="16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</row>
    <row r="85" ht="30.0" customHeight="1">
      <c r="A85" s="130"/>
      <c r="B85" s="130"/>
      <c r="C85" s="136"/>
      <c r="D85" s="177" t="s">
        <v>136</v>
      </c>
      <c r="E85" s="23"/>
      <c r="F85" s="136"/>
      <c r="G85" s="135"/>
      <c r="H85" s="135"/>
      <c r="I85" s="135"/>
      <c r="J85" s="135"/>
      <c r="K85" s="130"/>
      <c r="L85" s="16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</row>
    <row r="86">
      <c r="A86" s="130"/>
      <c r="B86" s="130"/>
      <c r="C86" s="147" t="s">
        <v>118</v>
      </c>
      <c r="D86" s="147" t="s">
        <v>119</v>
      </c>
      <c r="E86" s="147" t="s">
        <v>120</v>
      </c>
      <c r="F86" s="147" t="s">
        <v>121</v>
      </c>
      <c r="G86" s="135"/>
      <c r="H86" s="150"/>
      <c r="I86" s="151" t="s">
        <v>122</v>
      </c>
      <c r="J86" s="23"/>
      <c r="K86" s="130"/>
      <c r="L86" s="16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</row>
    <row r="87">
      <c r="A87" s="130"/>
      <c r="B87" s="130"/>
      <c r="C87" s="155">
        <v>45483.0</v>
      </c>
      <c r="D87" s="156"/>
      <c r="E87" s="156"/>
      <c r="F87" s="156"/>
      <c r="G87" s="135"/>
      <c r="H87" s="157"/>
      <c r="I87" s="155" t="s">
        <v>124</v>
      </c>
      <c r="J87" s="158">
        <v>2700.0</v>
      </c>
      <c r="K87" s="130"/>
      <c r="L87" s="16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</row>
    <row r="88">
      <c r="A88" s="130"/>
      <c r="B88" s="130"/>
      <c r="C88" s="155">
        <v>45484.0</v>
      </c>
      <c r="D88" s="156"/>
      <c r="E88" s="156"/>
      <c r="F88" s="156"/>
      <c r="G88" s="135"/>
      <c r="H88" s="157"/>
      <c r="I88" s="155" t="s">
        <v>125</v>
      </c>
      <c r="J88" s="158">
        <v>160.0</v>
      </c>
      <c r="K88" s="130"/>
      <c r="L88" s="16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</row>
    <row r="89">
      <c r="A89" s="130"/>
      <c r="B89" s="130"/>
      <c r="C89" s="155">
        <v>45485.0</v>
      </c>
      <c r="D89" s="156"/>
      <c r="E89" s="156"/>
      <c r="F89" s="156"/>
      <c r="G89" s="135"/>
      <c r="H89" s="157"/>
      <c r="I89" s="155" t="s">
        <v>126</v>
      </c>
      <c r="J89" s="158">
        <v>380.0</v>
      </c>
      <c r="K89" s="130"/>
      <c r="L89" s="16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</row>
    <row r="90">
      <c r="A90" s="130"/>
      <c r="B90" s="130"/>
      <c r="C90" s="155">
        <v>45486.0</v>
      </c>
      <c r="D90" s="156"/>
      <c r="E90" s="156"/>
      <c r="F90" s="156"/>
      <c r="G90" s="135"/>
      <c r="H90" s="157"/>
      <c r="I90" s="155" t="s">
        <v>127</v>
      </c>
      <c r="J90" s="158">
        <v>60.0</v>
      </c>
      <c r="K90" s="130"/>
      <c r="L90" s="16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</row>
    <row r="91">
      <c r="A91" s="130"/>
      <c r="B91" s="130"/>
      <c r="C91" s="155">
        <v>45487.0</v>
      </c>
      <c r="D91" s="156"/>
      <c r="E91" s="156"/>
      <c r="F91" s="156"/>
      <c r="G91" s="135"/>
      <c r="H91" s="135"/>
      <c r="I91" s="135"/>
      <c r="J91" s="135"/>
      <c r="K91" s="130"/>
      <c r="L91" s="16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</row>
    <row r="92">
      <c r="A92" s="130"/>
      <c r="B92" s="130"/>
      <c r="C92" s="155">
        <v>45488.0</v>
      </c>
      <c r="D92" s="166"/>
      <c r="E92" s="156"/>
      <c r="F92" s="156"/>
      <c r="G92" s="135"/>
      <c r="H92" s="135"/>
      <c r="I92" s="135"/>
      <c r="J92" s="135"/>
      <c r="K92" s="130"/>
      <c r="L92" s="16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</row>
    <row r="93">
      <c r="A93" s="130"/>
      <c r="B93" s="130"/>
      <c r="C93" s="155">
        <v>45489.0</v>
      </c>
      <c r="D93" s="166"/>
      <c r="E93" s="156"/>
      <c r="F93" s="166"/>
      <c r="G93" s="135"/>
      <c r="H93" s="135"/>
      <c r="I93" s="135"/>
      <c r="J93" s="135"/>
      <c r="K93" s="130"/>
      <c r="L93" s="16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</row>
    <row r="94">
      <c r="A94" s="130"/>
      <c r="B94" s="130"/>
      <c r="C94" s="167" t="s">
        <v>128</v>
      </c>
      <c r="D94" s="168" t="str">
        <f t="shared" ref="D94:F94" si="18">AVERAGE(D87:D93)</f>
        <v>#DIV/0!</v>
      </c>
      <c r="E94" s="168" t="str">
        <f t="shared" si="18"/>
        <v>#DIV/0!</v>
      </c>
      <c r="F94" s="168" t="str">
        <f t="shared" si="18"/>
        <v>#DIV/0!</v>
      </c>
      <c r="G94" s="135"/>
      <c r="H94" s="135"/>
      <c r="I94" s="135"/>
      <c r="J94" s="135"/>
      <c r="K94" s="130"/>
      <c r="L94" s="16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</row>
    <row r="95">
      <c r="A95" s="130"/>
      <c r="B95" s="130"/>
      <c r="C95" s="136"/>
      <c r="D95" s="136"/>
      <c r="E95" s="136"/>
      <c r="F95" s="136"/>
      <c r="G95" s="135"/>
      <c r="H95" s="135"/>
      <c r="I95" s="135"/>
      <c r="J95" s="135"/>
      <c r="K95" s="130"/>
      <c r="L95" s="16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</row>
    <row r="96">
      <c r="A96" s="130"/>
      <c r="B96" s="130"/>
      <c r="C96" s="151" t="s">
        <v>129</v>
      </c>
      <c r="D96" s="39"/>
      <c r="E96" s="39"/>
      <c r="F96" s="39"/>
      <c r="G96" s="23"/>
      <c r="H96" s="171"/>
      <c r="I96" s="171"/>
      <c r="J96" s="171"/>
      <c r="K96" s="130"/>
      <c r="L96" s="16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</row>
    <row r="97">
      <c r="A97" s="130"/>
      <c r="B97" s="130"/>
      <c r="C97" s="155" t="s">
        <v>113</v>
      </c>
      <c r="D97" s="180" t="s">
        <v>145</v>
      </c>
      <c r="E97" s="155" t="s">
        <v>146</v>
      </c>
      <c r="F97" s="155" t="s">
        <v>116</v>
      </c>
      <c r="G97" s="155" t="s">
        <v>117</v>
      </c>
      <c r="H97" s="171"/>
      <c r="I97" s="171"/>
      <c r="J97" s="171"/>
      <c r="K97" s="130"/>
      <c r="L97" s="16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</row>
    <row r="98">
      <c r="A98" s="130"/>
      <c r="B98" s="130"/>
      <c r="C98" s="181"/>
      <c r="D98" s="181"/>
      <c r="E98" s="181"/>
      <c r="F98" s="181"/>
      <c r="G98" s="181"/>
      <c r="H98" s="171"/>
      <c r="I98" s="171"/>
      <c r="J98" s="171"/>
      <c r="K98" s="130"/>
      <c r="L98" s="16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</row>
    <row r="99">
      <c r="A99" s="130"/>
      <c r="B99" s="130"/>
      <c r="C99" s="130"/>
      <c r="D99" s="130"/>
      <c r="E99" s="130"/>
      <c r="F99" s="130"/>
      <c r="G99" s="130"/>
      <c r="H99" s="171"/>
      <c r="I99" s="171"/>
      <c r="J99" s="171"/>
      <c r="K99" s="130"/>
      <c r="L99" s="16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</row>
    <row r="100">
      <c r="A100" s="130"/>
      <c r="B100" s="130"/>
      <c r="C100" s="130"/>
      <c r="D100" s="130"/>
      <c r="E100" s="130"/>
      <c r="F100" s="130"/>
      <c r="G100" s="130"/>
      <c r="H100" s="171"/>
      <c r="I100" s="171"/>
      <c r="J100" s="171"/>
      <c r="K100" s="130"/>
      <c r="L100" s="16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</row>
    <row r="101" ht="27.0" customHeight="1">
      <c r="A101" s="130"/>
      <c r="B101" s="130"/>
      <c r="C101" s="136"/>
      <c r="D101" s="177" t="s">
        <v>137</v>
      </c>
      <c r="E101" s="23"/>
      <c r="F101" s="136"/>
      <c r="G101" s="135"/>
      <c r="H101" s="135"/>
      <c r="I101" s="135"/>
      <c r="J101" s="135"/>
      <c r="K101" s="130"/>
      <c r="L101" s="16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</row>
    <row r="102">
      <c r="A102" s="130"/>
      <c r="B102" s="130"/>
      <c r="C102" s="147" t="s">
        <v>118</v>
      </c>
      <c r="D102" s="147" t="s">
        <v>119</v>
      </c>
      <c r="E102" s="147" t="s">
        <v>120</v>
      </c>
      <c r="F102" s="147" t="s">
        <v>121</v>
      </c>
      <c r="G102" s="135"/>
      <c r="H102" s="150"/>
      <c r="I102" s="151" t="s">
        <v>122</v>
      </c>
      <c r="J102" s="23"/>
      <c r="K102" s="130"/>
      <c r="L102" s="16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</row>
    <row r="103">
      <c r="A103" s="130"/>
      <c r="B103" s="130"/>
      <c r="C103" s="155">
        <v>45483.0</v>
      </c>
      <c r="D103" s="156"/>
      <c r="E103" s="156"/>
      <c r="F103" s="156"/>
      <c r="G103" s="135"/>
      <c r="H103" s="157"/>
      <c r="I103" s="155" t="s">
        <v>124</v>
      </c>
      <c r="J103" s="158">
        <v>2700.0</v>
      </c>
      <c r="K103" s="130"/>
      <c r="L103" s="16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</row>
    <row r="104">
      <c r="A104" s="130"/>
      <c r="B104" s="130"/>
      <c r="C104" s="155">
        <v>45484.0</v>
      </c>
      <c r="D104" s="156"/>
      <c r="E104" s="156"/>
      <c r="F104" s="156"/>
      <c r="G104" s="135"/>
      <c r="H104" s="157"/>
      <c r="I104" s="155" t="s">
        <v>125</v>
      </c>
      <c r="J104" s="158">
        <v>160.0</v>
      </c>
      <c r="K104" s="130"/>
      <c r="L104" s="16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</row>
    <row r="105">
      <c r="A105" s="130"/>
      <c r="B105" s="130"/>
      <c r="C105" s="155">
        <v>45485.0</v>
      </c>
      <c r="D105" s="156"/>
      <c r="E105" s="156"/>
      <c r="F105" s="156"/>
      <c r="G105" s="135"/>
      <c r="H105" s="157"/>
      <c r="I105" s="155" t="s">
        <v>126</v>
      </c>
      <c r="J105" s="158">
        <v>380.0</v>
      </c>
      <c r="K105" s="130"/>
      <c r="L105" s="16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</row>
    <row r="106">
      <c r="A106" s="130"/>
      <c r="B106" s="130"/>
      <c r="C106" s="155">
        <v>45486.0</v>
      </c>
      <c r="D106" s="156"/>
      <c r="E106" s="156"/>
      <c r="F106" s="156"/>
      <c r="G106" s="135"/>
      <c r="H106" s="157"/>
      <c r="I106" s="155" t="s">
        <v>127</v>
      </c>
      <c r="J106" s="158">
        <v>60.0</v>
      </c>
      <c r="K106" s="130"/>
      <c r="L106" s="16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</row>
    <row r="107">
      <c r="A107" s="130"/>
      <c r="B107" s="130"/>
      <c r="C107" s="155">
        <v>45487.0</v>
      </c>
      <c r="D107" s="156"/>
      <c r="E107" s="156"/>
      <c r="F107" s="156"/>
      <c r="G107" s="135"/>
      <c r="H107" s="135"/>
      <c r="I107" s="135"/>
      <c r="J107" s="135"/>
      <c r="K107" s="130"/>
      <c r="L107" s="16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</row>
    <row r="108">
      <c r="A108" s="130"/>
      <c r="B108" s="130"/>
      <c r="C108" s="155">
        <v>45488.0</v>
      </c>
      <c r="D108" s="166"/>
      <c r="E108" s="156"/>
      <c r="F108" s="156"/>
      <c r="G108" s="135"/>
      <c r="H108" s="135"/>
      <c r="I108" s="135"/>
      <c r="J108" s="135"/>
      <c r="K108" s="130"/>
      <c r="L108" s="16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</row>
    <row r="109">
      <c r="A109" s="130"/>
      <c r="B109" s="130"/>
      <c r="C109" s="155">
        <v>45489.0</v>
      </c>
      <c r="D109" s="166"/>
      <c r="E109" s="156"/>
      <c r="F109" s="166"/>
      <c r="G109" s="135"/>
      <c r="H109" s="135"/>
      <c r="I109" s="135"/>
      <c r="J109" s="135"/>
      <c r="K109" s="130"/>
      <c r="L109" s="16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</row>
    <row r="110">
      <c r="A110" s="130"/>
      <c r="B110" s="130"/>
      <c r="C110" s="167" t="s">
        <v>128</v>
      </c>
      <c r="D110" s="168" t="str">
        <f t="shared" ref="D110:F110" si="19">AVERAGE(D103:D109)</f>
        <v>#DIV/0!</v>
      </c>
      <c r="E110" s="168" t="str">
        <f t="shared" si="19"/>
        <v>#DIV/0!</v>
      </c>
      <c r="F110" s="168" t="str">
        <f t="shared" si="19"/>
        <v>#DIV/0!</v>
      </c>
      <c r="G110" s="135"/>
      <c r="H110" s="135"/>
      <c r="I110" s="135"/>
      <c r="J110" s="135"/>
      <c r="K110" s="130"/>
      <c r="L110" s="16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</row>
    <row r="111">
      <c r="A111" s="130"/>
      <c r="B111" s="130"/>
      <c r="C111" s="136"/>
      <c r="D111" s="136"/>
      <c r="E111" s="136"/>
      <c r="F111" s="136"/>
      <c r="G111" s="135"/>
      <c r="H111" s="135"/>
      <c r="I111" s="135"/>
      <c r="J111" s="135"/>
      <c r="K111" s="130"/>
      <c r="L111" s="16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</row>
    <row r="112">
      <c r="A112" s="130"/>
      <c r="B112" s="130"/>
      <c r="C112" s="151" t="s">
        <v>129</v>
      </c>
      <c r="D112" s="39"/>
      <c r="E112" s="39"/>
      <c r="F112" s="39"/>
      <c r="G112" s="23"/>
      <c r="H112" s="171"/>
      <c r="I112" s="171"/>
      <c r="J112" s="171"/>
      <c r="K112" s="130"/>
      <c r="L112" s="16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</row>
    <row r="113">
      <c r="A113" s="130"/>
      <c r="B113" s="130"/>
      <c r="C113" s="155" t="s">
        <v>113</v>
      </c>
      <c r="D113" s="180" t="s">
        <v>145</v>
      </c>
      <c r="E113" s="155" t="s">
        <v>146</v>
      </c>
      <c r="F113" s="155" t="s">
        <v>116</v>
      </c>
      <c r="G113" s="155" t="s">
        <v>117</v>
      </c>
      <c r="H113" s="171"/>
      <c r="I113" s="171"/>
      <c r="J113" s="171"/>
      <c r="K113" s="130"/>
      <c r="L113" s="16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</row>
    <row r="114">
      <c r="A114" s="130"/>
      <c r="B114" s="130"/>
      <c r="C114" s="181"/>
      <c r="D114" s="181"/>
      <c r="E114" s="181"/>
      <c r="F114" s="181"/>
      <c r="G114" s="181"/>
      <c r="H114" s="171"/>
      <c r="I114" s="171"/>
      <c r="J114" s="171"/>
      <c r="K114" s="130"/>
      <c r="L114" s="16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</row>
    <row r="115">
      <c r="A115" s="130"/>
      <c r="B115" s="130"/>
      <c r="C115" s="135"/>
      <c r="D115" s="135"/>
      <c r="E115" s="135"/>
      <c r="F115" s="135"/>
      <c r="G115" s="130"/>
      <c r="H115" s="130"/>
      <c r="I115" s="130"/>
      <c r="J115" s="130"/>
      <c r="K115" s="130"/>
      <c r="L115" s="16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</row>
    <row r="116">
      <c r="A116" s="130"/>
      <c r="B116" s="130"/>
      <c r="C116" s="16"/>
      <c r="D116" s="16"/>
      <c r="E116" s="16"/>
      <c r="F116" s="16"/>
      <c r="G116" s="130"/>
      <c r="H116" s="130"/>
      <c r="I116" s="130"/>
      <c r="J116" s="130"/>
      <c r="K116" s="130"/>
      <c r="L116" s="16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</row>
    <row r="117">
      <c r="A117" s="130"/>
      <c r="B117" s="130"/>
      <c r="C117" s="16"/>
      <c r="D117" s="16"/>
      <c r="E117" s="16"/>
      <c r="F117" s="16"/>
      <c r="G117" s="130"/>
      <c r="H117" s="130"/>
      <c r="I117" s="130"/>
      <c r="J117" s="130"/>
      <c r="K117" s="130"/>
      <c r="L117" s="16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</row>
    <row r="118" ht="30.0" customHeight="1">
      <c r="A118" s="130"/>
      <c r="B118" s="130"/>
      <c r="C118" s="136"/>
      <c r="D118" s="177" t="s">
        <v>138</v>
      </c>
      <c r="E118" s="23"/>
      <c r="F118" s="136"/>
      <c r="G118" s="135"/>
      <c r="H118" s="135"/>
      <c r="I118" s="135"/>
      <c r="J118" s="135"/>
      <c r="K118" s="130"/>
      <c r="L118" s="16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</row>
    <row r="119">
      <c r="A119" s="130"/>
      <c r="B119" s="130"/>
      <c r="C119" s="147" t="s">
        <v>118</v>
      </c>
      <c r="D119" s="147" t="s">
        <v>119</v>
      </c>
      <c r="E119" s="147" t="s">
        <v>120</v>
      </c>
      <c r="F119" s="147" t="s">
        <v>121</v>
      </c>
      <c r="G119" s="135"/>
      <c r="H119" s="150"/>
      <c r="I119" s="151" t="s">
        <v>122</v>
      </c>
      <c r="J119" s="23"/>
      <c r="K119" s="130"/>
      <c r="L119" s="16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</row>
    <row r="120">
      <c r="A120" s="130"/>
      <c r="B120" s="130"/>
      <c r="C120" s="155">
        <v>45483.0</v>
      </c>
      <c r="D120" s="156"/>
      <c r="E120" s="156"/>
      <c r="F120" s="156"/>
      <c r="G120" s="135"/>
      <c r="H120" s="157"/>
      <c r="I120" s="155" t="s">
        <v>124</v>
      </c>
      <c r="J120" s="158">
        <v>2700.0</v>
      </c>
      <c r="K120" s="130"/>
      <c r="L120" s="16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</row>
    <row r="121">
      <c r="A121" s="130"/>
      <c r="B121" s="130"/>
      <c r="C121" s="155">
        <v>45484.0</v>
      </c>
      <c r="D121" s="156"/>
      <c r="E121" s="156"/>
      <c r="F121" s="156"/>
      <c r="G121" s="135"/>
      <c r="H121" s="157"/>
      <c r="I121" s="155" t="s">
        <v>125</v>
      </c>
      <c r="J121" s="158">
        <v>160.0</v>
      </c>
      <c r="K121" s="130"/>
      <c r="L121" s="16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</row>
    <row r="122">
      <c r="A122" s="130"/>
      <c r="B122" s="130"/>
      <c r="C122" s="155">
        <v>45485.0</v>
      </c>
      <c r="D122" s="156"/>
      <c r="E122" s="156"/>
      <c r="F122" s="156"/>
      <c r="G122" s="135"/>
      <c r="H122" s="157"/>
      <c r="I122" s="155" t="s">
        <v>126</v>
      </c>
      <c r="J122" s="158">
        <v>380.0</v>
      </c>
      <c r="K122" s="130"/>
      <c r="L122" s="16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</row>
    <row r="123">
      <c r="A123" s="130"/>
      <c r="B123" s="130"/>
      <c r="C123" s="155">
        <v>45486.0</v>
      </c>
      <c r="D123" s="156"/>
      <c r="E123" s="156"/>
      <c r="F123" s="156"/>
      <c r="G123" s="135"/>
      <c r="H123" s="157"/>
      <c r="I123" s="155" t="s">
        <v>127</v>
      </c>
      <c r="J123" s="158">
        <v>60.0</v>
      </c>
      <c r="K123" s="130"/>
      <c r="L123" s="16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</row>
    <row r="124">
      <c r="A124" s="130"/>
      <c r="B124" s="130"/>
      <c r="C124" s="155">
        <v>45487.0</v>
      </c>
      <c r="D124" s="156"/>
      <c r="E124" s="156"/>
      <c r="F124" s="156"/>
      <c r="G124" s="135"/>
      <c r="H124" s="135"/>
      <c r="I124" s="135"/>
      <c r="J124" s="135"/>
      <c r="K124" s="130"/>
      <c r="L124" s="16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</row>
    <row r="125">
      <c r="A125" s="130"/>
      <c r="B125" s="130"/>
      <c r="C125" s="155">
        <v>45488.0</v>
      </c>
      <c r="D125" s="166"/>
      <c r="E125" s="156"/>
      <c r="F125" s="156"/>
      <c r="G125" s="135"/>
      <c r="H125" s="135"/>
      <c r="I125" s="135"/>
      <c r="J125" s="135"/>
      <c r="K125" s="130"/>
      <c r="L125" s="16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</row>
    <row r="126">
      <c r="A126" s="130"/>
      <c r="B126" s="130"/>
      <c r="C126" s="155">
        <v>45489.0</v>
      </c>
      <c r="D126" s="166"/>
      <c r="E126" s="156"/>
      <c r="F126" s="166"/>
      <c r="G126" s="135"/>
      <c r="H126" s="135"/>
      <c r="I126" s="135"/>
      <c r="J126" s="135"/>
      <c r="K126" s="130"/>
      <c r="L126" s="16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</row>
    <row r="127">
      <c r="A127" s="130"/>
      <c r="B127" s="130"/>
      <c r="C127" s="167" t="s">
        <v>128</v>
      </c>
      <c r="D127" s="168" t="str">
        <f t="shared" ref="D127:F127" si="20">AVERAGE(D120:D126)</f>
        <v>#DIV/0!</v>
      </c>
      <c r="E127" s="168" t="str">
        <f t="shared" si="20"/>
        <v>#DIV/0!</v>
      </c>
      <c r="F127" s="168" t="str">
        <f t="shared" si="20"/>
        <v>#DIV/0!</v>
      </c>
      <c r="G127" s="135"/>
      <c r="H127" s="135"/>
      <c r="I127" s="135"/>
      <c r="J127" s="135"/>
      <c r="K127" s="130"/>
      <c r="L127" s="16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</row>
    <row r="128">
      <c r="A128" s="130"/>
      <c r="B128" s="130"/>
      <c r="C128" s="136"/>
      <c r="D128" s="136"/>
      <c r="E128" s="136"/>
      <c r="F128" s="136"/>
      <c r="G128" s="135"/>
      <c r="H128" s="135"/>
      <c r="I128" s="135"/>
      <c r="J128" s="135"/>
      <c r="K128" s="130"/>
      <c r="L128" s="16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</row>
    <row r="129">
      <c r="A129" s="130"/>
      <c r="B129" s="130"/>
      <c r="C129" s="151" t="s">
        <v>129</v>
      </c>
      <c r="D129" s="39"/>
      <c r="E129" s="39"/>
      <c r="F129" s="39"/>
      <c r="G129" s="23"/>
      <c r="H129" s="171"/>
      <c r="I129" s="171"/>
      <c r="J129" s="171"/>
      <c r="K129" s="130"/>
      <c r="L129" s="16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</row>
    <row r="130">
      <c r="A130" s="130"/>
      <c r="B130" s="130"/>
      <c r="C130" s="155" t="s">
        <v>113</v>
      </c>
      <c r="D130" s="180" t="s">
        <v>145</v>
      </c>
      <c r="E130" s="155" t="s">
        <v>146</v>
      </c>
      <c r="F130" s="155" t="s">
        <v>116</v>
      </c>
      <c r="G130" s="155" t="s">
        <v>117</v>
      </c>
      <c r="H130" s="171"/>
      <c r="I130" s="171"/>
      <c r="J130" s="171"/>
      <c r="K130" s="130"/>
      <c r="L130" s="16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</row>
    <row r="131">
      <c r="A131" s="130"/>
      <c r="B131" s="130"/>
      <c r="C131" s="181"/>
      <c r="D131" s="181"/>
      <c r="E131" s="181"/>
      <c r="F131" s="181"/>
      <c r="G131" s="181"/>
      <c r="H131" s="171"/>
      <c r="I131" s="171"/>
      <c r="J131" s="171"/>
      <c r="K131" s="130"/>
      <c r="L131" s="16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</row>
    <row r="132">
      <c r="A132" s="130"/>
      <c r="B132" s="130"/>
      <c r="C132" s="130"/>
      <c r="D132" s="130"/>
      <c r="E132" s="130"/>
      <c r="F132" s="130"/>
      <c r="G132" s="130"/>
      <c r="H132" s="171"/>
      <c r="I132" s="171"/>
      <c r="J132" s="171"/>
      <c r="K132" s="130"/>
      <c r="L132" s="16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</row>
    <row r="133">
      <c r="A133" s="130"/>
      <c r="B133" s="130"/>
      <c r="C133" s="130"/>
      <c r="D133" s="130"/>
      <c r="E133" s="130"/>
      <c r="F133" s="130"/>
      <c r="G133" s="130"/>
      <c r="H133" s="171"/>
      <c r="I133" s="171"/>
      <c r="J133" s="171"/>
      <c r="K133" s="130"/>
      <c r="L133" s="16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</row>
    <row r="134">
      <c r="A134" s="130"/>
      <c r="B134" s="130"/>
      <c r="C134" s="130"/>
      <c r="D134" s="130"/>
      <c r="E134" s="130"/>
      <c r="F134" s="130"/>
      <c r="G134" s="130"/>
      <c r="H134" s="171"/>
      <c r="I134" s="171"/>
      <c r="J134" s="171"/>
      <c r="K134" s="130"/>
      <c r="L134" s="16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</row>
    <row r="135" ht="31.5" customHeight="1">
      <c r="A135" s="130"/>
      <c r="B135" s="130"/>
      <c r="C135" s="136"/>
      <c r="D135" s="177" t="s">
        <v>139</v>
      </c>
      <c r="E135" s="23"/>
      <c r="F135" s="136"/>
      <c r="G135" s="135"/>
      <c r="H135" s="135"/>
      <c r="I135" s="135"/>
      <c r="J135" s="135"/>
      <c r="K135" s="130"/>
      <c r="L135" s="16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</row>
    <row r="136">
      <c r="A136" s="130"/>
      <c r="B136" s="130"/>
      <c r="C136" s="147" t="s">
        <v>118</v>
      </c>
      <c r="D136" s="147" t="s">
        <v>119</v>
      </c>
      <c r="E136" s="147" t="s">
        <v>120</v>
      </c>
      <c r="F136" s="147" t="s">
        <v>121</v>
      </c>
      <c r="G136" s="135"/>
      <c r="H136" s="150"/>
      <c r="I136" s="151" t="s">
        <v>122</v>
      </c>
      <c r="J136" s="23"/>
      <c r="K136" s="130"/>
      <c r="L136" s="16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</row>
    <row r="137">
      <c r="A137" s="130"/>
      <c r="B137" s="130"/>
      <c r="C137" s="155">
        <v>45483.0</v>
      </c>
      <c r="D137" s="156"/>
      <c r="E137" s="156"/>
      <c r="F137" s="156"/>
      <c r="G137" s="135"/>
      <c r="H137" s="157"/>
      <c r="I137" s="155" t="s">
        <v>124</v>
      </c>
      <c r="J137" s="158">
        <v>2700.0</v>
      </c>
      <c r="K137" s="130"/>
      <c r="L137" s="16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</row>
    <row r="138">
      <c r="A138" s="130"/>
      <c r="B138" s="130"/>
      <c r="C138" s="155">
        <v>45484.0</v>
      </c>
      <c r="D138" s="156"/>
      <c r="E138" s="156"/>
      <c r="F138" s="156"/>
      <c r="G138" s="135"/>
      <c r="H138" s="157"/>
      <c r="I138" s="155" t="s">
        <v>125</v>
      </c>
      <c r="J138" s="158">
        <v>160.0</v>
      </c>
      <c r="K138" s="130"/>
      <c r="L138" s="16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</row>
    <row r="139">
      <c r="A139" s="130"/>
      <c r="B139" s="130"/>
      <c r="C139" s="155">
        <v>45485.0</v>
      </c>
      <c r="D139" s="156"/>
      <c r="E139" s="156"/>
      <c r="F139" s="156"/>
      <c r="G139" s="135"/>
      <c r="H139" s="157"/>
      <c r="I139" s="155" t="s">
        <v>126</v>
      </c>
      <c r="J139" s="158">
        <v>380.0</v>
      </c>
      <c r="K139" s="130"/>
      <c r="L139" s="16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</row>
    <row r="140">
      <c r="A140" s="130"/>
      <c r="B140" s="130"/>
      <c r="C140" s="155">
        <v>45486.0</v>
      </c>
      <c r="D140" s="156"/>
      <c r="E140" s="156"/>
      <c r="F140" s="156"/>
      <c r="G140" s="135"/>
      <c r="H140" s="157"/>
      <c r="I140" s="155" t="s">
        <v>127</v>
      </c>
      <c r="J140" s="158">
        <v>60.0</v>
      </c>
      <c r="K140" s="130"/>
      <c r="L140" s="16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</row>
    <row r="141">
      <c r="A141" s="130"/>
      <c r="B141" s="130"/>
      <c r="C141" s="155">
        <v>45487.0</v>
      </c>
      <c r="D141" s="156"/>
      <c r="E141" s="156"/>
      <c r="F141" s="156"/>
      <c r="G141" s="135"/>
      <c r="H141" s="135"/>
      <c r="I141" s="135"/>
      <c r="J141" s="135"/>
      <c r="K141" s="130"/>
      <c r="L141" s="16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</row>
    <row r="142">
      <c r="A142" s="130"/>
      <c r="B142" s="130"/>
      <c r="C142" s="155">
        <v>45488.0</v>
      </c>
      <c r="D142" s="166"/>
      <c r="E142" s="156"/>
      <c r="F142" s="156"/>
      <c r="G142" s="135"/>
      <c r="H142" s="135"/>
      <c r="I142" s="135"/>
      <c r="J142" s="135"/>
      <c r="K142" s="130"/>
      <c r="L142" s="16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</row>
    <row r="143">
      <c r="A143" s="130"/>
      <c r="B143" s="130"/>
      <c r="C143" s="155">
        <v>45489.0</v>
      </c>
      <c r="D143" s="166"/>
      <c r="E143" s="156"/>
      <c r="F143" s="166"/>
      <c r="G143" s="135"/>
      <c r="H143" s="135"/>
      <c r="I143" s="135"/>
      <c r="J143" s="135"/>
      <c r="K143" s="130"/>
      <c r="L143" s="16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</row>
    <row r="144">
      <c r="A144" s="130"/>
      <c r="B144" s="130"/>
      <c r="C144" s="167" t="s">
        <v>128</v>
      </c>
      <c r="D144" s="168" t="str">
        <f t="shared" ref="D144:F144" si="21">AVERAGE(D137:D143)</f>
        <v>#DIV/0!</v>
      </c>
      <c r="E144" s="168" t="str">
        <f t="shared" si="21"/>
        <v>#DIV/0!</v>
      </c>
      <c r="F144" s="168" t="str">
        <f t="shared" si="21"/>
        <v>#DIV/0!</v>
      </c>
      <c r="G144" s="135"/>
      <c r="H144" s="135"/>
      <c r="I144" s="135"/>
      <c r="J144" s="135"/>
      <c r="K144" s="130"/>
      <c r="L144" s="16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</row>
    <row r="145">
      <c r="A145" s="130"/>
      <c r="B145" s="130"/>
      <c r="C145" s="136"/>
      <c r="D145" s="136"/>
      <c r="E145" s="136"/>
      <c r="F145" s="136"/>
      <c r="G145" s="135"/>
      <c r="H145" s="135"/>
      <c r="I145" s="135"/>
      <c r="J145" s="135"/>
      <c r="K145" s="130"/>
      <c r="L145" s="16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</row>
    <row r="146">
      <c r="A146" s="130"/>
      <c r="B146" s="130"/>
      <c r="C146" s="151" t="s">
        <v>129</v>
      </c>
      <c r="D146" s="39"/>
      <c r="E146" s="39"/>
      <c r="F146" s="39"/>
      <c r="G146" s="23"/>
      <c r="H146" s="171"/>
      <c r="I146" s="171"/>
      <c r="J146" s="171"/>
      <c r="K146" s="130"/>
      <c r="L146" s="16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</row>
    <row r="147">
      <c r="A147" s="130"/>
      <c r="B147" s="130"/>
      <c r="C147" s="155" t="s">
        <v>113</v>
      </c>
      <c r="D147" s="180" t="s">
        <v>145</v>
      </c>
      <c r="E147" s="155" t="s">
        <v>146</v>
      </c>
      <c r="F147" s="155" t="s">
        <v>116</v>
      </c>
      <c r="G147" s="155" t="s">
        <v>117</v>
      </c>
      <c r="H147" s="171"/>
      <c r="I147" s="171"/>
      <c r="J147" s="171"/>
      <c r="K147" s="130"/>
      <c r="L147" s="16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</row>
    <row r="148">
      <c r="A148" s="130"/>
      <c r="B148" s="130"/>
      <c r="C148" s="181"/>
      <c r="D148" s="181"/>
      <c r="E148" s="181"/>
      <c r="F148" s="181"/>
      <c r="G148" s="181"/>
      <c r="H148" s="171"/>
      <c r="I148" s="171"/>
      <c r="J148" s="171"/>
      <c r="K148" s="130"/>
      <c r="L148" s="16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</row>
    <row r="149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6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</row>
    <row r="150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6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</row>
    <row r="151" ht="28.5" customHeight="1">
      <c r="A151" s="130"/>
      <c r="B151" s="130"/>
      <c r="C151" s="136"/>
      <c r="D151" s="177" t="s">
        <v>140</v>
      </c>
      <c r="E151" s="23"/>
      <c r="F151" s="136"/>
      <c r="G151" s="135"/>
      <c r="H151" s="135"/>
      <c r="I151" s="135"/>
      <c r="J151" s="135"/>
      <c r="K151" s="130"/>
      <c r="L151" s="16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</row>
    <row r="152">
      <c r="A152" s="130"/>
      <c r="B152" s="130"/>
      <c r="C152" s="147" t="s">
        <v>118</v>
      </c>
      <c r="D152" s="147" t="s">
        <v>119</v>
      </c>
      <c r="E152" s="147" t="s">
        <v>120</v>
      </c>
      <c r="F152" s="147" t="s">
        <v>121</v>
      </c>
      <c r="G152" s="135"/>
      <c r="H152" s="150"/>
      <c r="I152" s="151" t="s">
        <v>122</v>
      </c>
      <c r="J152" s="23"/>
      <c r="K152" s="130"/>
      <c r="L152" s="16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</row>
    <row r="153">
      <c r="A153" s="130"/>
      <c r="B153" s="130"/>
      <c r="C153" s="155">
        <v>45483.0</v>
      </c>
      <c r="D153" s="156"/>
      <c r="E153" s="156"/>
      <c r="F153" s="156"/>
      <c r="G153" s="135"/>
      <c r="H153" s="157"/>
      <c r="I153" s="155" t="s">
        <v>124</v>
      </c>
      <c r="J153" s="158">
        <v>2700.0</v>
      </c>
      <c r="K153" s="130"/>
      <c r="L153" s="16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</row>
    <row r="154">
      <c r="A154" s="130"/>
      <c r="B154" s="130"/>
      <c r="C154" s="155">
        <v>45484.0</v>
      </c>
      <c r="D154" s="156"/>
      <c r="E154" s="156"/>
      <c r="F154" s="156"/>
      <c r="G154" s="135"/>
      <c r="H154" s="157"/>
      <c r="I154" s="155" t="s">
        <v>125</v>
      </c>
      <c r="J154" s="158">
        <v>160.0</v>
      </c>
      <c r="K154" s="130"/>
      <c r="L154" s="16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</row>
    <row r="155">
      <c r="A155" s="130"/>
      <c r="B155" s="130"/>
      <c r="C155" s="155">
        <v>45485.0</v>
      </c>
      <c r="D155" s="156"/>
      <c r="E155" s="156"/>
      <c r="F155" s="156"/>
      <c r="G155" s="135"/>
      <c r="H155" s="157"/>
      <c r="I155" s="155" t="s">
        <v>126</v>
      </c>
      <c r="J155" s="158">
        <v>380.0</v>
      </c>
      <c r="K155" s="130"/>
      <c r="L155" s="16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</row>
    <row r="156">
      <c r="A156" s="130"/>
      <c r="B156" s="130"/>
      <c r="C156" s="155">
        <v>45486.0</v>
      </c>
      <c r="D156" s="156"/>
      <c r="E156" s="156"/>
      <c r="F156" s="156"/>
      <c r="G156" s="135"/>
      <c r="H156" s="157"/>
      <c r="I156" s="155" t="s">
        <v>127</v>
      </c>
      <c r="J156" s="158">
        <v>60.0</v>
      </c>
      <c r="K156" s="130"/>
      <c r="L156" s="16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</row>
    <row r="157">
      <c r="A157" s="130"/>
      <c r="B157" s="130"/>
      <c r="C157" s="155">
        <v>45487.0</v>
      </c>
      <c r="D157" s="156"/>
      <c r="E157" s="156"/>
      <c r="F157" s="156"/>
      <c r="G157" s="135"/>
      <c r="H157" s="135"/>
      <c r="I157" s="135"/>
      <c r="J157" s="135"/>
      <c r="K157" s="130"/>
      <c r="L157" s="16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</row>
    <row r="158">
      <c r="A158" s="130"/>
      <c r="B158" s="130"/>
      <c r="C158" s="155">
        <v>45488.0</v>
      </c>
      <c r="D158" s="166"/>
      <c r="E158" s="156"/>
      <c r="F158" s="156"/>
      <c r="G158" s="135"/>
      <c r="H158" s="135"/>
      <c r="I158" s="135"/>
      <c r="J158" s="135"/>
      <c r="K158" s="130"/>
      <c r="L158" s="16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</row>
    <row r="159">
      <c r="A159" s="130"/>
      <c r="B159" s="130"/>
      <c r="C159" s="155">
        <v>45489.0</v>
      </c>
      <c r="D159" s="166"/>
      <c r="E159" s="156"/>
      <c r="F159" s="166"/>
      <c r="G159" s="135"/>
      <c r="H159" s="135"/>
      <c r="I159" s="135"/>
      <c r="J159" s="135"/>
      <c r="K159" s="130"/>
      <c r="L159" s="16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</row>
    <row r="160">
      <c r="A160" s="130"/>
      <c r="B160" s="130"/>
      <c r="C160" s="167" t="s">
        <v>128</v>
      </c>
      <c r="D160" s="168" t="str">
        <f t="shared" ref="D160:F160" si="22">AVERAGE(D153:D159)</f>
        <v>#DIV/0!</v>
      </c>
      <c r="E160" s="168" t="str">
        <f t="shared" si="22"/>
        <v>#DIV/0!</v>
      </c>
      <c r="F160" s="168" t="str">
        <f t="shared" si="22"/>
        <v>#DIV/0!</v>
      </c>
      <c r="G160" s="135"/>
      <c r="H160" s="135"/>
      <c r="I160" s="135"/>
      <c r="J160" s="135"/>
      <c r="K160" s="130"/>
      <c r="L160" s="16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</row>
    <row r="161">
      <c r="A161" s="130"/>
      <c r="B161" s="130"/>
      <c r="C161" s="136"/>
      <c r="D161" s="136"/>
      <c r="E161" s="136"/>
      <c r="F161" s="136"/>
      <c r="G161" s="135"/>
      <c r="H161" s="135"/>
      <c r="I161" s="135"/>
      <c r="J161" s="135"/>
      <c r="K161" s="130"/>
      <c r="L161" s="16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</row>
    <row r="162">
      <c r="A162" s="130"/>
      <c r="B162" s="130"/>
      <c r="C162" s="151" t="s">
        <v>129</v>
      </c>
      <c r="D162" s="39"/>
      <c r="E162" s="39"/>
      <c r="F162" s="39"/>
      <c r="G162" s="23"/>
      <c r="H162" s="171"/>
      <c r="I162" s="171"/>
      <c r="J162" s="171"/>
      <c r="K162" s="130"/>
      <c r="L162" s="16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</row>
    <row r="163">
      <c r="A163" s="130"/>
      <c r="B163" s="130"/>
      <c r="C163" s="155" t="s">
        <v>113</v>
      </c>
      <c r="D163" s="180" t="s">
        <v>145</v>
      </c>
      <c r="E163" s="155" t="s">
        <v>146</v>
      </c>
      <c r="F163" s="155" t="s">
        <v>116</v>
      </c>
      <c r="G163" s="155" t="s">
        <v>117</v>
      </c>
      <c r="H163" s="171"/>
      <c r="I163" s="171"/>
      <c r="J163" s="171"/>
      <c r="K163" s="130"/>
      <c r="L163" s="16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</row>
    <row r="164">
      <c r="A164" s="130"/>
      <c r="B164" s="130"/>
      <c r="C164" s="181"/>
      <c r="D164" s="181"/>
      <c r="E164" s="181"/>
      <c r="F164" s="181"/>
      <c r="G164" s="181"/>
      <c r="H164" s="171"/>
      <c r="I164" s="171"/>
      <c r="J164" s="171"/>
      <c r="K164" s="130"/>
      <c r="L164" s="16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</row>
    <row r="165">
      <c r="A165" s="130"/>
      <c r="B165" s="130"/>
      <c r="C165" s="130"/>
      <c r="D165" s="130"/>
      <c r="E165" s="130"/>
      <c r="F165" s="130"/>
      <c r="G165" s="130"/>
      <c r="H165" s="171"/>
      <c r="I165" s="171"/>
      <c r="J165" s="171"/>
      <c r="K165" s="130"/>
      <c r="L165" s="16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</row>
    <row r="166">
      <c r="A166" s="130"/>
      <c r="B166" s="130"/>
      <c r="C166" s="130"/>
      <c r="D166" s="130"/>
      <c r="E166" s="130"/>
      <c r="F166" s="130"/>
      <c r="G166" s="130"/>
      <c r="H166" s="171"/>
      <c r="I166" s="171"/>
      <c r="J166" s="171"/>
      <c r="K166" s="130"/>
      <c r="L166" s="16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</row>
    <row r="167" ht="31.5" customHeight="1">
      <c r="A167" s="130"/>
      <c r="B167" s="130"/>
      <c r="C167" s="136"/>
      <c r="D167" s="177" t="s">
        <v>141</v>
      </c>
      <c r="E167" s="23"/>
      <c r="F167" s="136"/>
      <c r="G167" s="135"/>
      <c r="H167" s="135"/>
      <c r="I167" s="135"/>
      <c r="J167" s="135"/>
      <c r="K167" s="130"/>
      <c r="L167" s="16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</row>
    <row r="168">
      <c r="A168" s="130"/>
      <c r="B168" s="130"/>
      <c r="C168" s="147" t="s">
        <v>118</v>
      </c>
      <c r="D168" s="147" t="s">
        <v>119</v>
      </c>
      <c r="E168" s="147" t="s">
        <v>120</v>
      </c>
      <c r="F168" s="147" t="s">
        <v>121</v>
      </c>
      <c r="G168" s="135"/>
      <c r="H168" s="150"/>
      <c r="I168" s="151" t="s">
        <v>122</v>
      </c>
      <c r="J168" s="23"/>
      <c r="K168" s="130"/>
      <c r="L168" s="16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</row>
    <row r="169">
      <c r="A169" s="130"/>
      <c r="B169" s="130"/>
      <c r="C169" s="155">
        <v>45483.0</v>
      </c>
      <c r="D169" s="156"/>
      <c r="E169" s="156"/>
      <c r="F169" s="156"/>
      <c r="G169" s="135"/>
      <c r="H169" s="157"/>
      <c r="I169" s="155" t="s">
        <v>124</v>
      </c>
      <c r="J169" s="158">
        <v>2700.0</v>
      </c>
      <c r="K169" s="130"/>
      <c r="L169" s="16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</row>
    <row r="170">
      <c r="A170" s="130"/>
      <c r="B170" s="130"/>
      <c r="C170" s="155">
        <v>45484.0</v>
      </c>
      <c r="D170" s="156"/>
      <c r="E170" s="156"/>
      <c r="F170" s="156"/>
      <c r="G170" s="135"/>
      <c r="H170" s="157"/>
      <c r="I170" s="155" t="s">
        <v>125</v>
      </c>
      <c r="J170" s="158">
        <v>160.0</v>
      </c>
      <c r="K170" s="130"/>
      <c r="L170" s="16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</row>
    <row r="171">
      <c r="A171" s="130"/>
      <c r="B171" s="130"/>
      <c r="C171" s="155">
        <v>45485.0</v>
      </c>
      <c r="D171" s="156"/>
      <c r="E171" s="156"/>
      <c r="F171" s="156"/>
      <c r="G171" s="135"/>
      <c r="H171" s="157"/>
      <c r="I171" s="155" t="s">
        <v>126</v>
      </c>
      <c r="J171" s="158">
        <v>380.0</v>
      </c>
      <c r="K171" s="130"/>
      <c r="L171" s="16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</row>
    <row r="172">
      <c r="A172" s="130"/>
      <c r="B172" s="130"/>
      <c r="C172" s="155">
        <v>45486.0</v>
      </c>
      <c r="D172" s="156"/>
      <c r="E172" s="156"/>
      <c r="F172" s="156"/>
      <c r="G172" s="135"/>
      <c r="H172" s="157"/>
      <c r="I172" s="155" t="s">
        <v>127</v>
      </c>
      <c r="J172" s="158">
        <v>60.0</v>
      </c>
      <c r="K172" s="130"/>
      <c r="L172" s="16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</row>
    <row r="173">
      <c r="A173" s="130"/>
      <c r="B173" s="130"/>
      <c r="C173" s="155">
        <v>45487.0</v>
      </c>
      <c r="D173" s="156"/>
      <c r="E173" s="156"/>
      <c r="F173" s="156"/>
      <c r="G173" s="135"/>
      <c r="H173" s="135"/>
      <c r="I173" s="135"/>
      <c r="J173" s="135"/>
      <c r="K173" s="130"/>
      <c r="L173" s="16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</row>
    <row r="174">
      <c r="A174" s="130"/>
      <c r="B174" s="130"/>
      <c r="C174" s="155">
        <v>45488.0</v>
      </c>
      <c r="D174" s="166"/>
      <c r="E174" s="156"/>
      <c r="F174" s="156"/>
      <c r="G174" s="135"/>
      <c r="H174" s="135"/>
      <c r="I174" s="135"/>
      <c r="J174" s="135"/>
      <c r="K174" s="130"/>
      <c r="L174" s="16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</row>
    <row r="175">
      <c r="A175" s="130"/>
      <c r="B175" s="130"/>
      <c r="C175" s="155">
        <v>45489.0</v>
      </c>
      <c r="D175" s="166"/>
      <c r="E175" s="156"/>
      <c r="F175" s="166"/>
      <c r="G175" s="135"/>
      <c r="H175" s="135"/>
      <c r="I175" s="135"/>
      <c r="J175" s="135"/>
      <c r="K175" s="130"/>
      <c r="L175" s="16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</row>
    <row r="176">
      <c r="A176" s="130"/>
      <c r="B176" s="130"/>
      <c r="C176" s="167" t="s">
        <v>128</v>
      </c>
      <c r="D176" s="168" t="str">
        <f t="shared" ref="D176:F176" si="23">AVERAGE(D169:D175)</f>
        <v>#DIV/0!</v>
      </c>
      <c r="E176" s="168" t="str">
        <f t="shared" si="23"/>
        <v>#DIV/0!</v>
      </c>
      <c r="F176" s="168" t="str">
        <f t="shared" si="23"/>
        <v>#DIV/0!</v>
      </c>
      <c r="G176" s="135"/>
      <c r="H176" s="135"/>
      <c r="I176" s="135"/>
      <c r="J176" s="135"/>
      <c r="K176" s="130"/>
      <c r="L176" s="16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</row>
    <row r="177">
      <c r="A177" s="130"/>
      <c r="B177" s="130"/>
      <c r="C177" s="136"/>
      <c r="D177" s="136"/>
      <c r="E177" s="136"/>
      <c r="F177" s="136"/>
      <c r="G177" s="135"/>
      <c r="H177" s="135"/>
      <c r="I177" s="135"/>
      <c r="J177" s="135"/>
      <c r="K177" s="130"/>
      <c r="L177" s="16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</row>
    <row r="178">
      <c r="A178" s="130"/>
      <c r="B178" s="130"/>
      <c r="C178" s="151" t="s">
        <v>129</v>
      </c>
      <c r="D178" s="39"/>
      <c r="E178" s="39"/>
      <c r="F178" s="39"/>
      <c r="G178" s="23"/>
      <c r="H178" s="171"/>
      <c r="I178" s="171"/>
      <c r="J178" s="171"/>
      <c r="K178" s="130"/>
      <c r="L178" s="16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</row>
    <row r="179">
      <c r="A179" s="130"/>
      <c r="B179" s="130"/>
      <c r="C179" s="155" t="s">
        <v>113</v>
      </c>
      <c r="D179" s="180" t="s">
        <v>145</v>
      </c>
      <c r="E179" s="155" t="s">
        <v>146</v>
      </c>
      <c r="F179" s="155" t="s">
        <v>116</v>
      </c>
      <c r="G179" s="155" t="s">
        <v>117</v>
      </c>
      <c r="H179" s="171"/>
      <c r="I179" s="171"/>
      <c r="J179" s="171"/>
      <c r="K179" s="130"/>
      <c r="L179" s="16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</row>
    <row r="180">
      <c r="A180" s="130"/>
      <c r="B180" s="130"/>
      <c r="C180" s="181"/>
      <c r="D180" s="181"/>
      <c r="E180" s="181"/>
      <c r="F180" s="181"/>
      <c r="G180" s="181"/>
      <c r="H180" s="171"/>
      <c r="I180" s="171"/>
      <c r="J180" s="171"/>
      <c r="K180" s="130"/>
      <c r="L180" s="16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</row>
    <row r="181">
      <c r="A181" s="130"/>
      <c r="B181" s="130"/>
      <c r="C181" s="130"/>
      <c r="D181" s="130"/>
      <c r="E181" s="130"/>
      <c r="F181" s="130"/>
      <c r="G181" s="130"/>
      <c r="H181" s="171"/>
      <c r="I181" s="171"/>
      <c r="J181" s="171"/>
      <c r="K181" s="130"/>
      <c r="L181" s="16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</row>
    <row r="182">
      <c r="A182" s="130"/>
      <c r="B182" s="130"/>
      <c r="C182" s="130"/>
      <c r="D182" s="130"/>
      <c r="E182" s="130"/>
      <c r="F182" s="130"/>
      <c r="G182" s="130"/>
      <c r="H182" s="171"/>
      <c r="I182" s="171"/>
      <c r="J182" s="171"/>
      <c r="K182" s="130"/>
      <c r="L182" s="16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</row>
    <row r="183" ht="30.0" customHeight="1">
      <c r="A183" s="130"/>
      <c r="B183" s="130"/>
      <c r="C183" s="136"/>
      <c r="D183" s="177" t="s">
        <v>142</v>
      </c>
      <c r="E183" s="23"/>
      <c r="F183" s="136"/>
      <c r="G183" s="135"/>
      <c r="H183" s="135"/>
      <c r="I183" s="135"/>
      <c r="J183" s="135"/>
      <c r="K183" s="130"/>
      <c r="L183" s="16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</row>
    <row r="184">
      <c r="A184" s="130"/>
      <c r="B184" s="130"/>
      <c r="C184" s="147" t="s">
        <v>118</v>
      </c>
      <c r="D184" s="147" t="s">
        <v>119</v>
      </c>
      <c r="E184" s="147" t="s">
        <v>120</v>
      </c>
      <c r="F184" s="147" t="s">
        <v>121</v>
      </c>
      <c r="G184" s="135"/>
      <c r="H184" s="150"/>
      <c r="I184" s="151" t="s">
        <v>122</v>
      </c>
      <c r="J184" s="23"/>
      <c r="K184" s="130"/>
      <c r="L184" s="16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</row>
    <row r="185">
      <c r="A185" s="130"/>
      <c r="B185" s="130"/>
      <c r="C185" s="155">
        <v>45483.0</v>
      </c>
      <c r="D185" s="156"/>
      <c r="E185" s="156"/>
      <c r="F185" s="156"/>
      <c r="G185" s="135"/>
      <c r="H185" s="157"/>
      <c r="I185" s="155" t="s">
        <v>124</v>
      </c>
      <c r="J185" s="158">
        <v>2700.0</v>
      </c>
      <c r="K185" s="130"/>
      <c r="L185" s="16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</row>
    <row r="186">
      <c r="A186" s="130"/>
      <c r="B186" s="130"/>
      <c r="C186" s="155">
        <v>45484.0</v>
      </c>
      <c r="D186" s="156"/>
      <c r="E186" s="156"/>
      <c r="F186" s="156"/>
      <c r="G186" s="135"/>
      <c r="H186" s="157"/>
      <c r="I186" s="155" t="s">
        <v>125</v>
      </c>
      <c r="J186" s="158">
        <v>160.0</v>
      </c>
      <c r="K186" s="130"/>
      <c r="L186" s="16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</row>
    <row r="187">
      <c r="A187" s="130"/>
      <c r="B187" s="130"/>
      <c r="C187" s="155">
        <v>45485.0</v>
      </c>
      <c r="D187" s="156"/>
      <c r="E187" s="156"/>
      <c r="F187" s="156"/>
      <c r="G187" s="135"/>
      <c r="H187" s="157"/>
      <c r="I187" s="155" t="s">
        <v>126</v>
      </c>
      <c r="J187" s="158">
        <v>380.0</v>
      </c>
      <c r="K187" s="130"/>
      <c r="L187" s="16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</row>
    <row r="188">
      <c r="A188" s="130"/>
      <c r="B188" s="130"/>
      <c r="C188" s="155">
        <v>45486.0</v>
      </c>
      <c r="D188" s="156"/>
      <c r="E188" s="156"/>
      <c r="F188" s="156"/>
      <c r="G188" s="135"/>
      <c r="H188" s="157"/>
      <c r="I188" s="155" t="s">
        <v>127</v>
      </c>
      <c r="J188" s="158">
        <v>60.0</v>
      </c>
      <c r="K188" s="130"/>
      <c r="L188" s="16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</row>
    <row r="189">
      <c r="A189" s="130"/>
      <c r="B189" s="130"/>
      <c r="C189" s="155">
        <v>45487.0</v>
      </c>
      <c r="D189" s="156"/>
      <c r="E189" s="156"/>
      <c r="F189" s="156"/>
      <c r="G189" s="135"/>
      <c r="H189" s="135"/>
      <c r="I189" s="135"/>
      <c r="J189" s="135"/>
      <c r="K189" s="130"/>
      <c r="L189" s="16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</row>
    <row r="190">
      <c r="A190" s="130"/>
      <c r="B190" s="130"/>
      <c r="C190" s="155">
        <v>45488.0</v>
      </c>
      <c r="D190" s="166"/>
      <c r="E190" s="156"/>
      <c r="F190" s="156"/>
      <c r="G190" s="135"/>
      <c r="H190" s="135"/>
      <c r="I190" s="135"/>
      <c r="J190" s="135"/>
      <c r="K190" s="130"/>
      <c r="L190" s="16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</row>
    <row r="191">
      <c r="A191" s="130"/>
      <c r="B191" s="130"/>
      <c r="C191" s="155">
        <v>45489.0</v>
      </c>
      <c r="D191" s="166"/>
      <c r="E191" s="156"/>
      <c r="F191" s="166"/>
      <c r="G191" s="135"/>
      <c r="H191" s="135"/>
      <c r="I191" s="135"/>
      <c r="J191" s="135"/>
      <c r="K191" s="130"/>
      <c r="L191" s="16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</row>
    <row r="192">
      <c r="A192" s="130"/>
      <c r="B192" s="130"/>
      <c r="C192" s="167" t="s">
        <v>128</v>
      </c>
      <c r="D192" s="168" t="str">
        <f t="shared" ref="D192:F192" si="24">AVERAGE(D185:D191)</f>
        <v>#DIV/0!</v>
      </c>
      <c r="E192" s="168" t="str">
        <f t="shared" si="24"/>
        <v>#DIV/0!</v>
      </c>
      <c r="F192" s="168" t="str">
        <f t="shared" si="24"/>
        <v>#DIV/0!</v>
      </c>
      <c r="G192" s="135"/>
      <c r="H192" s="135"/>
      <c r="I192" s="135"/>
      <c r="J192" s="135"/>
      <c r="K192" s="130"/>
      <c r="L192" s="16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</row>
    <row r="193">
      <c r="A193" s="130"/>
      <c r="B193" s="130"/>
      <c r="C193" s="136"/>
      <c r="D193" s="136"/>
      <c r="E193" s="136"/>
      <c r="F193" s="136"/>
      <c r="G193" s="135"/>
      <c r="H193" s="135"/>
      <c r="I193" s="135"/>
      <c r="J193" s="135"/>
      <c r="K193" s="130"/>
      <c r="L193" s="16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</row>
    <row r="194">
      <c r="A194" s="130"/>
      <c r="B194" s="130"/>
      <c r="C194" s="151" t="s">
        <v>129</v>
      </c>
      <c r="D194" s="39"/>
      <c r="E194" s="39"/>
      <c r="F194" s="39"/>
      <c r="G194" s="23"/>
      <c r="H194" s="171"/>
      <c r="I194" s="171"/>
      <c r="J194" s="171"/>
      <c r="K194" s="130"/>
      <c r="L194" s="16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</row>
    <row r="195">
      <c r="A195" s="130"/>
      <c r="B195" s="130"/>
      <c r="C195" s="155" t="s">
        <v>113</v>
      </c>
      <c r="D195" s="180" t="s">
        <v>145</v>
      </c>
      <c r="E195" s="155" t="s">
        <v>146</v>
      </c>
      <c r="F195" s="155" t="s">
        <v>116</v>
      </c>
      <c r="G195" s="155" t="s">
        <v>117</v>
      </c>
      <c r="H195" s="171"/>
      <c r="I195" s="171"/>
      <c r="J195" s="171"/>
      <c r="K195" s="130"/>
      <c r="L195" s="16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</row>
    <row r="196">
      <c r="A196" s="130"/>
      <c r="B196" s="130"/>
      <c r="C196" s="181"/>
      <c r="D196" s="181"/>
      <c r="E196" s="181"/>
      <c r="F196" s="181"/>
      <c r="G196" s="181"/>
      <c r="H196" s="171"/>
      <c r="I196" s="171"/>
      <c r="J196" s="171"/>
      <c r="K196" s="130"/>
      <c r="L196" s="16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</row>
    <row r="197">
      <c r="A197" s="130"/>
      <c r="B197" s="130"/>
      <c r="C197" s="130"/>
      <c r="D197" s="130"/>
      <c r="E197" s="130"/>
      <c r="F197" s="130"/>
      <c r="G197" s="130"/>
      <c r="H197" s="171"/>
      <c r="I197" s="171"/>
      <c r="J197" s="171"/>
      <c r="K197" s="130"/>
      <c r="L197" s="16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</row>
    <row r="198">
      <c r="A198" s="130"/>
      <c r="B198" s="130"/>
      <c r="C198" s="130"/>
      <c r="D198" s="130"/>
      <c r="E198" s="130"/>
      <c r="F198" s="130"/>
      <c r="G198" s="130"/>
      <c r="H198" s="171"/>
      <c r="I198" s="171"/>
      <c r="J198" s="171"/>
      <c r="K198" s="130"/>
      <c r="L198" s="16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</row>
    <row r="199" ht="25.5" customHeight="1">
      <c r="A199" s="130"/>
      <c r="B199" s="130"/>
      <c r="C199" s="136"/>
      <c r="D199" s="177" t="s">
        <v>143</v>
      </c>
      <c r="E199" s="23"/>
      <c r="F199" s="136"/>
      <c r="G199" s="135"/>
      <c r="H199" s="135"/>
      <c r="I199" s="135"/>
      <c r="J199" s="135"/>
      <c r="K199" s="130"/>
      <c r="L199" s="16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</row>
    <row r="200">
      <c r="A200" s="130"/>
      <c r="B200" s="130"/>
      <c r="C200" s="147" t="s">
        <v>118</v>
      </c>
      <c r="D200" s="147" t="s">
        <v>119</v>
      </c>
      <c r="E200" s="147" t="s">
        <v>120</v>
      </c>
      <c r="F200" s="147" t="s">
        <v>121</v>
      </c>
      <c r="G200" s="135"/>
      <c r="H200" s="150"/>
      <c r="I200" s="151" t="s">
        <v>122</v>
      </c>
      <c r="J200" s="23"/>
      <c r="K200" s="130"/>
      <c r="L200" s="16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</row>
    <row r="201">
      <c r="A201" s="130"/>
      <c r="B201" s="130"/>
      <c r="C201" s="155">
        <v>45483.0</v>
      </c>
      <c r="D201" s="156"/>
      <c r="E201" s="156"/>
      <c r="F201" s="156"/>
      <c r="G201" s="135"/>
      <c r="H201" s="157"/>
      <c r="I201" s="155" t="s">
        <v>124</v>
      </c>
      <c r="J201" s="158">
        <v>2700.0</v>
      </c>
      <c r="K201" s="130"/>
      <c r="L201" s="16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</row>
    <row r="202">
      <c r="A202" s="130"/>
      <c r="B202" s="130"/>
      <c r="C202" s="155">
        <v>45484.0</v>
      </c>
      <c r="D202" s="156"/>
      <c r="E202" s="156"/>
      <c r="F202" s="156"/>
      <c r="G202" s="135"/>
      <c r="H202" s="157"/>
      <c r="I202" s="155" t="s">
        <v>125</v>
      </c>
      <c r="J202" s="158">
        <v>160.0</v>
      </c>
      <c r="K202" s="130"/>
      <c r="L202" s="16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</row>
    <row r="203">
      <c r="A203" s="130"/>
      <c r="B203" s="130"/>
      <c r="C203" s="155">
        <v>45485.0</v>
      </c>
      <c r="D203" s="156"/>
      <c r="E203" s="156"/>
      <c r="F203" s="156"/>
      <c r="G203" s="135"/>
      <c r="H203" s="157"/>
      <c r="I203" s="155" t="s">
        <v>126</v>
      </c>
      <c r="J203" s="158">
        <v>380.0</v>
      </c>
      <c r="K203" s="130"/>
      <c r="L203" s="16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</row>
    <row r="204">
      <c r="A204" s="130"/>
      <c r="B204" s="130"/>
      <c r="C204" s="155">
        <v>45486.0</v>
      </c>
      <c r="D204" s="156"/>
      <c r="E204" s="156"/>
      <c r="F204" s="156"/>
      <c r="G204" s="135"/>
      <c r="H204" s="157"/>
      <c r="I204" s="155" t="s">
        <v>127</v>
      </c>
      <c r="J204" s="158">
        <v>60.0</v>
      </c>
      <c r="K204" s="130"/>
      <c r="L204" s="16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</row>
    <row r="205">
      <c r="A205" s="130"/>
      <c r="B205" s="130"/>
      <c r="C205" s="155">
        <v>45487.0</v>
      </c>
      <c r="D205" s="156"/>
      <c r="E205" s="156"/>
      <c r="F205" s="156"/>
      <c r="G205" s="135"/>
      <c r="H205" s="135"/>
      <c r="I205" s="135"/>
      <c r="J205" s="135"/>
      <c r="K205" s="130"/>
      <c r="L205" s="16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</row>
    <row r="206">
      <c r="A206" s="130"/>
      <c r="B206" s="130"/>
      <c r="C206" s="155">
        <v>45488.0</v>
      </c>
      <c r="D206" s="166"/>
      <c r="E206" s="156"/>
      <c r="F206" s="156"/>
      <c r="G206" s="135"/>
      <c r="H206" s="135"/>
      <c r="I206" s="135"/>
      <c r="J206" s="135"/>
      <c r="K206" s="130"/>
      <c r="L206" s="16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</row>
    <row r="207">
      <c r="A207" s="130"/>
      <c r="B207" s="130"/>
      <c r="C207" s="155">
        <v>45489.0</v>
      </c>
      <c r="D207" s="166"/>
      <c r="E207" s="156"/>
      <c r="F207" s="166"/>
      <c r="G207" s="135"/>
      <c r="H207" s="135"/>
      <c r="I207" s="135"/>
      <c r="J207" s="135"/>
      <c r="K207" s="130"/>
      <c r="L207" s="16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</row>
    <row r="208">
      <c r="A208" s="130"/>
      <c r="B208" s="130"/>
      <c r="C208" s="167" t="s">
        <v>128</v>
      </c>
      <c r="D208" s="168" t="str">
        <f t="shared" ref="D208:F208" si="25">AVERAGE(D201:D207)</f>
        <v>#DIV/0!</v>
      </c>
      <c r="E208" s="168" t="str">
        <f t="shared" si="25"/>
        <v>#DIV/0!</v>
      </c>
      <c r="F208" s="168" t="str">
        <f t="shared" si="25"/>
        <v>#DIV/0!</v>
      </c>
      <c r="G208" s="135"/>
      <c r="H208" s="135"/>
      <c r="I208" s="135"/>
      <c r="J208" s="135"/>
      <c r="K208" s="130"/>
      <c r="L208" s="16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</row>
    <row r="209">
      <c r="A209" s="130"/>
      <c r="B209" s="130"/>
      <c r="C209" s="136"/>
      <c r="D209" s="136"/>
      <c r="E209" s="136"/>
      <c r="F209" s="136"/>
      <c r="G209" s="135"/>
      <c r="H209" s="135"/>
      <c r="I209" s="135"/>
      <c r="J209" s="135"/>
      <c r="K209" s="130"/>
      <c r="L209" s="16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</row>
    <row r="210">
      <c r="A210" s="130"/>
      <c r="B210" s="130"/>
      <c r="C210" s="151" t="s">
        <v>129</v>
      </c>
      <c r="D210" s="39"/>
      <c r="E210" s="39"/>
      <c r="F210" s="39"/>
      <c r="G210" s="23"/>
      <c r="H210" s="171"/>
      <c r="I210" s="171"/>
      <c r="J210" s="171"/>
      <c r="K210" s="130"/>
      <c r="L210" s="16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</row>
    <row r="211">
      <c r="A211" s="130"/>
      <c r="B211" s="130"/>
      <c r="C211" s="155" t="s">
        <v>113</v>
      </c>
      <c r="D211" s="180" t="s">
        <v>145</v>
      </c>
      <c r="E211" s="155" t="s">
        <v>146</v>
      </c>
      <c r="F211" s="155" t="s">
        <v>116</v>
      </c>
      <c r="G211" s="155" t="s">
        <v>117</v>
      </c>
      <c r="H211" s="171"/>
      <c r="I211" s="171"/>
      <c r="J211" s="171"/>
      <c r="K211" s="130"/>
      <c r="L211" s="16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</row>
    <row r="212">
      <c r="A212" s="130"/>
      <c r="B212" s="130"/>
      <c r="C212" s="181"/>
      <c r="D212" s="181"/>
      <c r="E212" s="181"/>
      <c r="F212" s="181"/>
      <c r="G212" s="181"/>
      <c r="H212" s="171"/>
      <c r="I212" s="171"/>
      <c r="J212" s="171"/>
      <c r="K212" s="130"/>
      <c r="L212" s="16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</row>
    <row r="213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6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</row>
    <row r="214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6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</row>
    <row r="2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6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</row>
    <row r="21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6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</row>
    <row r="217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6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</row>
    <row r="218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6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</row>
    <row r="219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6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</row>
    <row r="220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6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</row>
    <row r="22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6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</row>
    <row r="222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6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</row>
    <row r="223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6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</row>
    <row r="224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6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</row>
    <row r="22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6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</row>
    <row r="22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6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</row>
    <row r="227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6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</row>
    <row r="228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6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</row>
    <row r="229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6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</row>
    <row r="230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6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</row>
    <row r="23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6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</row>
    <row r="232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6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</row>
    <row r="233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6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</row>
    <row r="234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6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</row>
    <row r="23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6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</row>
    <row r="236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6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</row>
    <row r="237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6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</row>
    <row r="238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6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</row>
    <row r="239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6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</row>
    <row r="240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6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</row>
    <row r="24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6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</row>
    <row r="242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6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</row>
    <row r="243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6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</row>
    <row r="244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6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</row>
    <row r="24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6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</row>
    <row r="246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6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</row>
    <row r="247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6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</row>
    <row r="248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6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</row>
    <row r="249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6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</row>
    <row r="250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6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</row>
    <row r="25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6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</row>
    <row r="252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6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</row>
    <row r="253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6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</row>
    <row r="254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6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</row>
    <row r="25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6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</row>
    <row r="256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6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</row>
    <row r="257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6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</row>
    <row r="258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6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</row>
    <row r="259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6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</row>
    <row r="260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6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</row>
    <row r="26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6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</row>
    <row r="262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6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</row>
    <row r="263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6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</row>
    <row r="264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6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</row>
    <row r="26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6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</row>
    <row r="266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6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</row>
    <row r="267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6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</row>
    <row r="268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6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</row>
    <row r="269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6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</row>
    <row r="270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6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</row>
    <row r="27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6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</row>
    <row r="272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6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</row>
    <row r="273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6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</row>
    <row r="274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6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</row>
    <row r="27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6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</row>
    <row r="276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6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</row>
    <row r="277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6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</row>
    <row r="278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6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</row>
    <row r="279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6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</row>
    <row r="280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6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</row>
    <row r="28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6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</row>
    <row r="282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6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</row>
    <row r="283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6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</row>
    <row r="284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6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</row>
    <row r="28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6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</row>
    <row r="286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6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</row>
    <row r="287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6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</row>
    <row r="288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6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</row>
    <row r="289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6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</row>
    <row r="290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6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</row>
    <row r="29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6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</row>
    <row r="292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6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</row>
    <row r="293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6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</row>
    <row r="294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6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</row>
    <row r="29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6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</row>
    <row r="296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6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</row>
    <row r="297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6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</row>
    <row r="298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6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</row>
    <row r="299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6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</row>
    <row r="300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6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</row>
    <row r="301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6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</row>
    <row r="302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6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</row>
    <row r="303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6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</row>
    <row r="304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6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</row>
    <row r="30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6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</row>
    <row r="306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6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</row>
    <row r="307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6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</row>
    <row r="308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6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</row>
    <row r="309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6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</row>
    <row r="310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6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</row>
    <row r="311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6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</row>
    <row r="312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6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</row>
    <row r="313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6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</row>
    <row r="314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6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</row>
    <row r="3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6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</row>
    <row r="316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6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</row>
    <row r="317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6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</row>
    <row r="318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6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</row>
    <row r="319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6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</row>
    <row r="320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6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</row>
    <row r="321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6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</row>
    <row r="322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6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</row>
    <row r="323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6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</row>
    <row r="324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6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</row>
    <row r="32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6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</row>
    <row r="326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6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</row>
    <row r="327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6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</row>
    <row r="328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6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</row>
    <row r="329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6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</row>
    <row r="330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6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</row>
    <row r="331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6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</row>
    <row r="332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6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</row>
    <row r="333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6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</row>
    <row r="334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6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</row>
    <row r="33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6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</row>
    <row r="336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6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</row>
    <row r="337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6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</row>
    <row r="338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6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</row>
    <row r="339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6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</row>
    <row r="340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6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</row>
    <row r="341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6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</row>
    <row r="342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6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</row>
    <row r="343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6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</row>
    <row r="344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6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</row>
    <row r="34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6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</row>
    <row r="346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6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</row>
    <row r="347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6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</row>
    <row r="348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6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</row>
    <row r="349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6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</row>
    <row r="350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6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</row>
    <row r="351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6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</row>
    <row r="352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6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</row>
    <row r="353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6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</row>
    <row r="354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6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</row>
    <row r="35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6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</row>
    <row r="356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6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</row>
    <row r="357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6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</row>
    <row r="358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6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</row>
    <row r="359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6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</row>
    <row r="360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6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</row>
    <row r="361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6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</row>
    <row r="362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6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</row>
    <row r="363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6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</row>
    <row r="364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6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</row>
    <row r="36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6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</row>
    <row r="366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6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</row>
    <row r="367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6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</row>
    <row r="368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6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</row>
    <row r="369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6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</row>
    <row r="370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6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</row>
    <row r="371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6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</row>
    <row r="372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6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</row>
    <row r="373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6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</row>
    <row r="374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6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</row>
    <row r="37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6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</row>
    <row r="376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6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</row>
    <row r="377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6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</row>
    <row r="378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6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</row>
    <row r="379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6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</row>
    <row r="380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6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</row>
    <row r="381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6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</row>
    <row r="382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6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</row>
    <row r="383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6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</row>
    <row r="384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6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</row>
    <row r="38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6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</row>
    <row r="386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6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</row>
    <row r="387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6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</row>
    <row r="388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6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</row>
    <row r="389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6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</row>
    <row r="390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6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</row>
    <row r="391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6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</row>
    <row r="392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6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</row>
    <row r="393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6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</row>
    <row r="394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6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</row>
    <row r="39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6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</row>
    <row r="396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6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</row>
    <row r="397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6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</row>
    <row r="398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6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</row>
    <row r="399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6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</row>
    <row r="400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6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</row>
    <row r="401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6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</row>
    <row r="402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6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</row>
    <row r="403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6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</row>
    <row r="404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6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</row>
    <row r="40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6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</row>
    <row r="406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6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</row>
    <row r="407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6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</row>
    <row r="408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6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</row>
    <row r="409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6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</row>
    <row r="410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6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</row>
    <row r="411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6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</row>
    <row r="412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6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</row>
    <row r="413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6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</row>
    <row r="414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6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</row>
    <row r="4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6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</row>
    <row r="416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6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</row>
    <row r="417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6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</row>
    <row r="418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6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</row>
    <row r="419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6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</row>
    <row r="420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6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</row>
    <row r="421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6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</row>
    <row r="422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6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</row>
    <row r="423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6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</row>
    <row r="424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6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</row>
    <row r="42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6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</row>
    <row r="426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6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</row>
    <row r="427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6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</row>
    <row r="428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6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</row>
    <row r="429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6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</row>
    <row r="430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6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</row>
    <row r="431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6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</row>
    <row r="432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6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</row>
    <row r="433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6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</row>
    <row r="434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6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</row>
    <row r="43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6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</row>
    <row r="436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6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</row>
    <row r="437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6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</row>
    <row r="438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6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</row>
    <row r="439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6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</row>
    <row r="440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6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</row>
    <row r="441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6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</row>
    <row r="442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6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</row>
    <row r="443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6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</row>
    <row r="444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6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</row>
    <row r="44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6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</row>
    <row r="446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6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</row>
    <row r="447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6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</row>
    <row r="448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6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</row>
    <row r="449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6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</row>
    <row r="450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6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</row>
    <row r="451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6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</row>
    <row r="452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6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</row>
    <row r="453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6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</row>
    <row r="454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6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</row>
    <row r="45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6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</row>
    <row r="456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6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</row>
    <row r="457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6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</row>
    <row r="458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6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</row>
    <row r="459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6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</row>
    <row r="460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6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</row>
    <row r="461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6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</row>
    <row r="462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6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</row>
    <row r="463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6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</row>
    <row r="464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6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</row>
    <row r="46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6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</row>
    <row r="466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6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</row>
    <row r="467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6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</row>
    <row r="468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6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</row>
    <row r="469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6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</row>
    <row r="470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6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</row>
    <row r="471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6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</row>
    <row r="472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6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</row>
    <row r="473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6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</row>
    <row r="474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6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</row>
    <row r="47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6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</row>
    <row r="476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6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</row>
    <row r="477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6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</row>
    <row r="478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6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</row>
    <row r="479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6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</row>
    <row r="480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6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</row>
    <row r="481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6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</row>
    <row r="482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6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</row>
    <row r="483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6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</row>
    <row r="484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6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</row>
    <row r="48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6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</row>
    <row r="486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6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</row>
    <row r="487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6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</row>
    <row r="488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6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</row>
    <row r="489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6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</row>
    <row r="490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6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</row>
    <row r="491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6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</row>
    <row r="492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6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</row>
    <row r="493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6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</row>
    <row r="494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6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</row>
    <row r="49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6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</row>
    <row r="496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6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</row>
    <row r="497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6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</row>
    <row r="498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6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</row>
    <row r="499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6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</row>
    <row r="500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6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</row>
    <row r="501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6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</row>
    <row r="502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6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</row>
    <row r="503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6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</row>
    <row r="504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6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</row>
    <row r="50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6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</row>
    <row r="506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6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</row>
    <row r="507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6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</row>
    <row r="508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6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</row>
    <row r="509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6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</row>
    <row r="510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6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</row>
    <row r="511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6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</row>
    <row r="512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6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</row>
    <row r="513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6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</row>
    <row r="514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6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</row>
    <row r="5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6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</row>
    <row r="516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6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</row>
    <row r="517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6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</row>
    <row r="518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6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</row>
    <row r="519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6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</row>
    <row r="520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6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</row>
    <row r="521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6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</row>
    <row r="522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6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</row>
    <row r="523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6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</row>
    <row r="524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6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</row>
    <row r="52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6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</row>
    <row r="526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6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</row>
    <row r="527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6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</row>
    <row r="528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6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</row>
    <row r="529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6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</row>
    <row r="530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6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</row>
    <row r="531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6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</row>
    <row r="532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6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</row>
    <row r="533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6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</row>
    <row r="534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6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</row>
    <row r="53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6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</row>
    <row r="536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6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</row>
    <row r="537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6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</row>
    <row r="538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6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</row>
    <row r="539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6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</row>
    <row r="540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6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</row>
    <row r="541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6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</row>
    <row r="542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6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</row>
    <row r="543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6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</row>
    <row r="544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6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</row>
    <row r="54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6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</row>
    <row r="546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6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</row>
    <row r="547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6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</row>
    <row r="548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6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</row>
    <row r="549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6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</row>
    <row r="550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6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</row>
    <row r="551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6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</row>
    <row r="552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6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</row>
    <row r="553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6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</row>
    <row r="554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6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</row>
    <row r="55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6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</row>
    <row r="556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6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</row>
    <row r="557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6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</row>
    <row r="558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6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</row>
    <row r="559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6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</row>
    <row r="560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6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</row>
    <row r="561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6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</row>
    <row r="562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6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</row>
    <row r="563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6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</row>
    <row r="564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6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</row>
    <row r="56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6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</row>
    <row r="566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6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</row>
    <row r="567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6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</row>
    <row r="568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6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</row>
    <row r="569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6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</row>
    <row r="570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6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</row>
    <row r="571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6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</row>
    <row r="572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6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</row>
    <row r="573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6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</row>
    <row r="574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6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</row>
    <row r="57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6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</row>
    <row r="576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6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</row>
    <row r="577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6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</row>
    <row r="578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6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</row>
    <row r="579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6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</row>
    <row r="580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6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</row>
    <row r="581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6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</row>
    <row r="582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6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</row>
    <row r="583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6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</row>
    <row r="584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6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</row>
    <row r="58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6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</row>
    <row r="586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6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</row>
    <row r="587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6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</row>
    <row r="588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6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</row>
    <row r="589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6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</row>
    <row r="590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6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</row>
    <row r="591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6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</row>
    <row r="592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6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</row>
    <row r="593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6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</row>
    <row r="594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6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</row>
    <row r="59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6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</row>
    <row r="596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6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</row>
    <row r="597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6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</row>
    <row r="598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6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</row>
    <row r="599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6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</row>
    <row r="600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6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</row>
    <row r="601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6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</row>
    <row r="602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6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</row>
    <row r="603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6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</row>
    <row r="604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6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</row>
    <row r="60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6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</row>
    <row r="606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6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</row>
    <row r="607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6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</row>
    <row r="608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6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</row>
    <row r="609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6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</row>
    <row r="610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6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</row>
    <row r="611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6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</row>
    <row r="612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6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</row>
    <row r="613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6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</row>
    <row r="614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6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</row>
    <row r="6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6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</row>
    <row r="616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6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</row>
    <row r="617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6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</row>
    <row r="618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6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</row>
    <row r="619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6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</row>
    <row r="620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6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</row>
    <row r="621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6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</row>
    <row r="622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6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</row>
    <row r="623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6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</row>
    <row r="624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6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</row>
    <row r="62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6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</row>
    <row r="626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6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</row>
    <row r="627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6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</row>
    <row r="628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6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</row>
    <row r="629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6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</row>
    <row r="630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6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</row>
    <row r="631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6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</row>
    <row r="632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6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</row>
    <row r="633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6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</row>
    <row r="634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6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</row>
    <row r="63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6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</row>
    <row r="636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6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</row>
    <row r="637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6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</row>
    <row r="638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6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</row>
    <row r="639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6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</row>
    <row r="640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6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</row>
    <row r="641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6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</row>
    <row r="642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6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</row>
    <row r="643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6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</row>
    <row r="644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6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</row>
    <row r="64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6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</row>
    <row r="646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6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</row>
    <row r="647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6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</row>
    <row r="648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6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</row>
    <row r="649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6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</row>
    <row r="650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6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</row>
    <row r="651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6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</row>
    <row r="652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6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</row>
    <row r="653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6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</row>
    <row r="654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6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</row>
    <row r="65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6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</row>
    <row r="656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6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</row>
    <row r="657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6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</row>
    <row r="658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6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</row>
    <row r="659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6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</row>
    <row r="660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6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</row>
    <row r="661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6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</row>
    <row r="662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6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</row>
    <row r="663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6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</row>
    <row r="664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6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</row>
    <row r="66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6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</row>
    <row r="666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6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</row>
    <row r="667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6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</row>
    <row r="668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6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</row>
    <row r="669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6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</row>
    <row r="670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6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</row>
    <row r="671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6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</row>
    <row r="672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6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</row>
    <row r="673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6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</row>
    <row r="674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6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</row>
    <row r="67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6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</row>
    <row r="676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6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</row>
    <row r="677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6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</row>
    <row r="678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6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</row>
    <row r="679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6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</row>
    <row r="680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6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</row>
    <row r="681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6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</row>
    <row r="682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6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</row>
    <row r="683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6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</row>
    <row r="684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6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</row>
    <row r="68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6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</row>
    <row r="686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6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</row>
    <row r="687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6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</row>
    <row r="688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6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</row>
    <row r="689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6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</row>
    <row r="690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6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</row>
    <row r="691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6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</row>
    <row r="692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6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</row>
    <row r="693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6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</row>
    <row r="694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6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</row>
    <row r="69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6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</row>
    <row r="696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6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</row>
    <row r="697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6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</row>
    <row r="698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6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</row>
    <row r="699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6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</row>
    <row r="700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6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</row>
    <row r="701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6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</row>
    <row r="702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6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</row>
    <row r="703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6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</row>
    <row r="704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6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</row>
    <row r="70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6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</row>
    <row r="706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6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</row>
    <row r="707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6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</row>
    <row r="708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6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</row>
    <row r="709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6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</row>
    <row r="710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6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</row>
    <row r="711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6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</row>
    <row r="712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6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</row>
    <row r="713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6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</row>
    <row r="714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6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</row>
    <row r="7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6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</row>
    <row r="716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6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</row>
    <row r="717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6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</row>
    <row r="718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6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</row>
    <row r="719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6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</row>
    <row r="720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6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</row>
    <row r="721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6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</row>
    <row r="722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6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</row>
    <row r="723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6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</row>
    <row r="724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6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</row>
    <row r="72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6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</row>
    <row r="726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6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</row>
    <row r="727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6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</row>
    <row r="728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6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</row>
    <row r="729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6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</row>
    <row r="730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6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</row>
    <row r="731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6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</row>
    <row r="732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6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</row>
    <row r="733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6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</row>
    <row r="734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6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</row>
    <row r="73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6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</row>
    <row r="736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6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</row>
    <row r="737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6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</row>
    <row r="738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6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</row>
    <row r="739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6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</row>
    <row r="740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6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</row>
    <row r="741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6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</row>
    <row r="742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6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</row>
    <row r="743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6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</row>
    <row r="744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6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</row>
    <row r="74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6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</row>
    <row r="746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6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</row>
    <row r="747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6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</row>
    <row r="748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6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</row>
    <row r="749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6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</row>
    <row r="750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6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</row>
    <row r="751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6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</row>
    <row r="752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6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</row>
    <row r="753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6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</row>
    <row r="754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6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</row>
    <row r="75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6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</row>
    <row r="756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6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</row>
    <row r="757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6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</row>
    <row r="758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6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</row>
    <row r="759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6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</row>
    <row r="760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6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</row>
    <row r="761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6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</row>
    <row r="762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6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</row>
    <row r="763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6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</row>
    <row r="764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6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</row>
    <row r="76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6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</row>
    <row r="766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6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</row>
    <row r="767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6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</row>
    <row r="768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6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</row>
    <row r="769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6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</row>
    <row r="770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6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</row>
    <row r="771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6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</row>
    <row r="772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6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</row>
    <row r="773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6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</row>
    <row r="774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6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</row>
    <row r="77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6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</row>
    <row r="776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6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</row>
    <row r="777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6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</row>
    <row r="778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6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</row>
    <row r="779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6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</row>
    <row r="780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6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</row>
    <row r="781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6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</row>
    <row r="782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6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</row>
    <row r="783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6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</row>
    <row r="784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6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</row>
    <row r="78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6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</row>
    <row r="786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6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</row>
    <row r="787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6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</row>
    <row r="788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6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</row>
    <row r="789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6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</row>
    <row r="790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6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</row>
    <row r="791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6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</row>
    <row r="792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6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</row>
    <row r="793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6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</row>
    <row r="794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6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</row>
    <row r="79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6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</row>
    <row r="796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6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</row>
    <row r="797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6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</row>
    <row r="798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6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</row>
    <row r="799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6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</row>
    <row r="800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6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</row>
    <row r="801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6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</row>
    <row r="802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6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</row>
    <row r="803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6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</row>
    <row r="804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6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</row>
    <row r="80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6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</row>
    <row r="806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6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</row>
    <row r="807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6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</row>
    <row r="808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6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</row>
    <row r="809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6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</row>
    <row r="810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6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</row>
    <row r="811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6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</row>
    <row r="812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6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</row>
    <row r="813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6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</row>
    <row r="814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6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</row>
    <row r="8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6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</row>
    <row r="816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6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</row>
    <row r="817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6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</row>
    <row r="818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6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</row>
    <row r="819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6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</row>
    <row r="820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6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</row>
    <row r="821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6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</row>
    <row r="822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6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</row>
    <row r="823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6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</row>
    <row r="824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6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</row>
    <row r="82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6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</row>
    <row r="826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6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</row>
    <row r="827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6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</row>
    <row r="828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6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</row>
    <row r="829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6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</row>
    <row r="830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6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</row>
    <row r="831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6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</row>
    <row r="832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6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</row>
    <row r="833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6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</row>
    <row r="834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6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</row>
    <row r="83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6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</row>
    <row r="836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6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</row>
    <row r="837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6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</row>
    <row r="838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6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</row>
    <row r="839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6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</row>
    <row r="840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6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</row>
    <row r="841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6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</row>
    <row r="842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6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</row>
    <row r="843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6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</row>
    <row r="844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6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</row>
    <row r="84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6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</row>
    <row r="846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6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</row>
    <row r="847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6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</row>
    <row r="848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6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</row>
    <row r="849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6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</row>
    <row r="850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6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</row>
    <row r="851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6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</row>
    <row r="852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6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</row>
    <row r="853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6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</row>
    <row r="854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6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</row>
    <row r="85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6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</row>
    <row r="856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6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</row>
    <row r="857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6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</row>
    <row r="858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6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</row>
    <row r="859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6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</row>
    <row r="860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6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</row>
    <row r="861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6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</row>
    <row r="862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6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</row>
    <row r="863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6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</row>
    <row r="864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6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</row>
    <row r="86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6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</row>
    <row r="866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6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</row>
    <row r="867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6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</row>
    <row r="868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6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</row>
    <row r="869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6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</row>
    <row r="870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6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</row>
    <row r="871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6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</row>
    <row r="872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6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</row>
    <row r="873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6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</row>
    <row r="874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6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</row>
    <row r="87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6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</row>
    <row r="876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6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</row>
    <row r="877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6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</row>
    <row r="878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6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</row>
    <row r="879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6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</row>
    <row r="880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6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</row>
    <row r="881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6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</row>
    <row r="882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6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</row>
    <row r="883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6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</row>
    <row r="884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6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</row>
    <row r="88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6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</row>
    <row r="886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6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</row>
    <row r="887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6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</row>
    <row r="888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6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</row>
    <row r="889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6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</row>
    <row r="890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6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</row>
    <row r="891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6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</row>
    <row r="892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6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</row>
    <row r="893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6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</row>
    <row r="894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6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</row>
    <row r="89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6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</row>
    <row r="896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6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</row>
    <row r="897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6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</row>
    <row r="898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6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</row>
    <row r="899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6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</row>
    <row r="900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6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</row>
    <row r="901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6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</row>
    <row r="902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6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</row>
    <row r="903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6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</row>
    <row r="904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6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</row>
    <row r="90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6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</row>
    <row r="906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6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</row>
    <row r="907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6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</row>
    <row r="908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6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</row>
    <row r="909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6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</row>
    <row r="910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6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</row>
    <row r="911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6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</row>
    <row r="912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6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</row>
    <row r="913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6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</row>
    <row r="914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6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</row>
    <row r="9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6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</row>
    <row r="916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6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</row>
    <row r="917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6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</row>
    <row r="918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6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</row>
    <row r="919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6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</row>
    <row r="920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6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</row>
    <row r="921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6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</row>
    <row r="922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6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</row>
    <row r="923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6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</row>
    <row r="924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6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</row>
    <row r="92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6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</row>
    <row r="926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6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</row>
    <row r="927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6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</row>
    <row r="928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6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</row>
    <row r="929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6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</row>
    <row r="930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6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</row>
    <row r="931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6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</row>
    <row r="932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6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</row>
    <row r="933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6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</row>
    <row r="934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6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</row>
    <row r="93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6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</row>
    <row r="936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6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</row>
    <row r="937">
      <c r="A937" s="130"/>
      <c r="B937" s="130"/>
      <c r="C937" s="179"/>
      <c r="D937" s="179"/>
      <c r="E937" s="179"/>
      <c r="F937" s="179"/>
      <c r="G937" s="179"/>
      <c r="H937" s="179"/>
      <c r="I937" s="179"/>
      <c r="J937" s="179"/>
      <c r="K937" s="179"/>
      <c r="L937" s="16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