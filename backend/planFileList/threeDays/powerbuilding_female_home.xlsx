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<sst xmlns="http://schemas.openxmlformats.org/spreadsheetml/2006/main" count="1188" uniqueCount="153">
  <si>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</si>
  <si>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</si>
  <si>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</si>
  <si>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</si>
  <si>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</si>
  <si>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</si>
  <si>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</si>
  <si>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</si>
  <si>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</si>
  <si>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</si>
  <si>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</si>
  <si>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</si>
  <si>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</si>
  <si>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</si>
  <si>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</si>
  <si>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>Hip Thrusts</t>
  </si>
  <si>
    <t>10--12</t>
  </si>
  <si>
    <t xml:space="preserve"> Banded wide grip Lat Pull-down</t>
  </si>
  <si>
    <t xml:space="preserve">Banded Hamstring Curl </t>
  </si>
  <si>
    <t>Lateral Raise</t>
  </si>
  <si>
    <t>Band Glute Kickback</t>
  </si>
  <si>
    <t>يوم راحة</t>
  </si>
  <si>
    <t>اليوم 2- فل بودي</t>
  </si>
  <si>
    <t>الثلاثاء</t>
  </si>
  <si>
    <t>Conventional Deadlift</t>
  </si>
  <si>
    <t>Bulgarian Split Squats</t>
  </si>
  <si>
    <t>Dumbbell Press</t>
  </si>
  <si>
    <t>Seated Rows with Resistance Band</t>
  </si>
  <si>
    <t>Hammer Curls</t>
  </si>
  <si>
    <t>Plank</t>
  </si>
  <si>
    <t>30--60</t>
  </si>
  <si>
    <t xml:space="preserve">سوي اول تمرين يظهر لك </t>
  </si>
  <si>
    <t>اليوم 3- فل بودي</t>
  </si>
  <si>
    <t>الخميس</t>
  </si>
  <si>
    <t>Squats</t>
  </si>
  <si>
    <t>Romanian Deadlift</t>
  </si>
  <si>
    <t>Chest Fly Using Resistance Band</t>
  </si>
  <si>
    <t xml:space="preserve"> Banded Lat Pull-over</t>
  </si>
  <si>
    <t>Overhead Triceps</t>
  </si>
  <si>
    <t>Modified crunches</t>
  </si>
  <si>
    <t>10--15</t>
  </si>
  <si>
    <t>يومين راحة</t>
  </si>
  <si>
    <t>الاحماء قبل التمرين</t>
  </si>
  <si>
    <t>ملاحظات</t>
  </si>
  <si>
    <t xml:space="preserve"> من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</si>
  <si>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</si>
  <si>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</si>
  <si>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</si>
  <si>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</si>
  <si>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</si>
  <si>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</si>
  <si>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</si>
  <si>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</si>
  <si>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</si>
  <si>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</si>
  <si>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</si>
  <si>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</si>
  <si>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</si>
  <si>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</si>
  <si>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</si>
  <si>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</si>
  <si>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</si>
  <si>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</si>
  <si>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</si>
  <si>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</si>
  <si>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</si>
  <si>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</si>
  <si>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</si>
  <si>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</si>
  <si>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</si>
  <si>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</si>
  <si>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</si>
  <si>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</si>
  <si>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</si>
  <si>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</si>
  <si>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Shoulder press</t>
  </si>
  <si>
    <t>Machine Incline Press</t>
  </si>
  <si>
    <t>Single Arm Lateral raises</t>
  </si>
  <si>
    <t>Triceps Push Downs</t>
  </si>
  <si>
    <t>15-50sec</t>
  </si>
  <si>
    <t>اليوم 2-فل بودي سحب</t>
  </si>
  <si>
    <t>الاثنين</t>
  </si>
  <si>
    <t>Hammer strength plate loaded lat row</t>
  </si>
  <si>
    <t>Leg press 45 Degrees</t>
  </si>
  <si>
    <t>Lats  Pulldown</t>
  </si>
  <si>
    <t>Seated Cable Rows</t>
  </si>
  <si>
    <t>Laying Leg Curls</t>
  </si>
  <si>
    <t>Dumbbell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</si>
  <si>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</si>
  <si>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</si>
  <si>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</si>
  <si>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</si>
  <si>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</si>
  <si>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</si>
  <si>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Incline Dumbbell Press</t>
  </si>
  <si>
    <t>Seated row upperback maggrip</t>
  </si>
  <si>
    <t>Chest Press Machine</t>
  </si>
  <si>
    <t xml:space="preserve">Hammer Strength High Row </t>
  </si>
  <si>
    <t>Hammer Curl</t>
  </si>
  <si>
    <t>اليوم 4- جزء سفلي</t>
  </si>
  <si>
    <t>Hack Squats</t>
  </si>
  <si>
    <t>8--10</t>
  </si>
  <si>
    <t>Leg Extensions</t>
  </si>
  <si>
    <t>Dumbbell Glutes Bridge</t>
  </si>
  <si>
    <t>Seated Calf raises</t>
  </si>
  <si>
    <t>Ab crunches machine</t>
  </si>
  <si>
    <t xml:space="preserve"> 5 الي 10 دقائق كارديو خفيف علي اي جهاز كارديو لرفع درجة حرارة الجسم 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</si>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</sst>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1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theme="1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u/>
      <sz val="18.0"/>
      <color rgb="FF0000FF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b/>
      <sz val="14.0"/>
      <color rgb="FF000000"/>
      <name val="Cairo"/>
    </font>
    <font>
      <sz val="11.0"/>
      <color theme="1"/>
      <name val="Arial"/>
      <scheme val="minor"/>
    </font>
    <font>
      <b/>
      <color theme="1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0" fillId="2" fontId="9" numFmtId="0" xfId="0" applyAlignment="1" applyFont="1">
      <alignment vertical="center"/>
    </xf>
    <xf borderId="9" fillId="2" fontId="15" numFmtId="0" xfId="0" applyAlignment="1" applyBorder="1" applyFont="1">
      <alignment horizontal="center" vertical="center"/>
    </xf>
    <xf borderId="9" fillId="6" fontId="14" numFmtId="0" xfId="0" applyAlignment="1" applyBorder="1" applyFill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164" xfId="0" applyAlignment="1" applyBorder="1" applyFill="1" applyFont="1" applyNumberFormat="1">
      <alignment vertical="center"/>
    </xf>
    <xf borderId="9" fillId="7" fontId="9" numFmtId="0" xfId="0" applyAlignment="1" applyBorder="1" applyFont="1">
      <alignment vertical="center"/>
    </xf>
    <xf borderId="4" fillId="7" fontId="9" numFmtId="0" xfId="0" applyAlignment="1" applyBorder="1" applyFont="1">
      <alignment vertical="center"/>
    </xf>
    <xf borderId="0" fillId="2" fontId="5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9" numFmtId="0" xfId="0" applyAlignment="1" applyFont="1">
      <alignment vertical="center"/>
    </xf>
    <xf borderId="9" fillId="6" fontId="14" numFmtId="9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4" fillId="3" fontId="13" numFmtId="0" xfId="0" applyAlignment="1" applyBorder="1" applyFont="1">
      <alignment horizontal="center" vertical="center"/>
    </xf>
    <xf borderId="11" fillId="0" fontId="8" numFmtId="0" xfId="0" applyBorder="1" applyFont="1"/>
    <xf borderId="0" fillId="2" fontId="13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vertical="center"/>
    </xf>
    <xf borderId="1" fillId="7" fontId="9" numFmtId="0" xfId="0" applyAlignment="1" applyBorder="1" applyFont="1">
      <alignment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vertical="center"/>
    </xf>
    <xf borderId="0" fillId="2" fontId="16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6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vertical="center"/>
    </xf>
    <xf borderId="4" fillId="7" fontId="1" numFmtId="0" xfId="0" applyAlignment="1" applyBorder="1" applyFont="1">
      <alignment horizontal="center" vertical="center"/>
    </xf>
    <xf borderId="4" fillId="7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4" fillId="3" fontId="13" numFmtId="0" xfId="0" applyAlignment="1" applyBorder="1" applyFont="1">
      <alignment horizontal="center" vertical="center"/>
    </xf>
    <xf borderId="0" fillId="2" fontId="17" numFmtId="0" xfId="0" applyAlignment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0" fillId="2" fontId="13" numFmtId="0" xfId="0" applyAlignment="1" applyFon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vertical="center"/>
    </xf>
    <xf borderId="12" fillId="5" fontId="19" numFmtId="0" xfId="0" applyAlignment="1" applyBorder="1" applyFont="1">
      <alignment horizontal="center" vertical="center"/>
    </xf>
    <xf borderId="13" fillId="0" fontId="8" numFmtId="0" xfId="0" applyBorder="1" applyFont="1"/>
    <xf borderId="1" fillId="6" fontId="19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12" fillId="6" fontId="19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" fillId="2" fontId="22" numFmtId="0" xfId="0" applyAlignment="1" applyBorder="1" applyFont="1">
      <alignment horizontal="center" vertical="center"/>
    </xf>
    <xf borderId="12" fillId="6" fontId="19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0" fillId="2" fontId="1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6" numFmtId="0" xfId="0" applyAlignment="1" applyBorder="1" applyFont="1">
      <alignment horizontal="center" readingOrder="0" shrinkToFit="0" vertical="center" wrapText="0"/>
    </xf>
    <xf borderId="15" fillId="2" fontId="16" numFmtId="0" xfId="0" applyAlignment="1" applyBorder="1" applyFont="1">
      <alignment horizontal="center" readingOrder="0" shrinkToFit="0" vertical="center" wrapText="0"/>
    </xf>
    <xf borderId="15" fillId="2" fontId="23" numFmtId="0" xfId="0" applyAlignment="1" applyBorder="1" applyFont="1">
      <alignment horizontal="center" readingOrder="0" shrinkToFit="0" vertical="center" wrapText="0"/>
    </xf>
    <xf borderId="15" fillId="2" fontId="23" numFmtId="0" xfId="0" applyAlignment="1" applyBorder="1" applyFont="1">
      <alignment horizontal="center" readingOrder="0" shrinkToFit="0" vertical="center" wrapText="0"/>
    </xf>
    <xf borderId="0" fillId="2" fontId="24" numFmtId="0" xfId="0" applyAlignment="1" applyFont="1">
      <alignment horizontal="center" vertical="center"/>
    </xf>
    <xf borderId="0" fillId="2" fontId="16" numFmtId="0" xfId="0" applyAlignment="1" applyFont="1">
      <alignment horizontal="center" readingOrder="0" shrinkToFit="0" vertical="center" wrapText="0"/>
    </xf>
    <xf borderId="0" fillId="2" fontId="23" numFmtId="0" xfId="0" applyAlignment="1" applyFont="1">
      <alignment horizontal="center" readingOrder="0" shrinkToFit="0" vertical="center" wrapText="0"/>
    </xf>
    <xf borderId="9" fillId="5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9" fillId="2" fontId="25" numFmtId="0" xfId="0" applyAlignment="1" applyBorder="1" applyFont="1">
      <alignment horizontal="center" readingOrder="0" vertical="center"/>
    </xf>
    <xf borderId="9" fillId="6" fontId="26" numFmtId="0" xfId="0" applyAlignment="1" applyBorder="1" applyFont="1">
      <alignment horizontal="center" vertical="center"/>
    </xf>
    <xf borderId="9" fillId="6" fontId="26" numFmtId="0" xfId="0" applyAlignment="1" applyBorder="1" applyFont="1">
      <alignment horizontal="center" readingOrder="0" vertical="center"/>
    </xf>
    <xf borderId="9" fillId="7" fontId="14" numFmtId="164" xfId="0" applyAlignment="1" applyBorder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2" fontId="27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7" fontId="9" numFmtId="165" xfId="0" applyAlignment="1" applyBorder="1" applyFont="1" applyNumberFormat="1">
      <alignment horizontal="center" vertical="center"/>
    </xf>
    <xf borderId="9" fillId="2" fontId="28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8" fillId="2" fontId="29" numFmtId="0" xfId="0" applyAlignment="1" applyBorder="1" applyFont="1">
      <alignment horizontal="center" readingOrder="0" vertical="center"/>
    </xf>
    <xf borderId="8" fillId="2" fontId="30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1" numFmtId="0" xfId="0" applyAlignment="1" applyBorder="1" applyFont="1">
      <alignment horizontal="center" readingOrder="0" shrinkToFit="0" vertical="center" wrapText="0"/>
    </xf>
    <xf borderId="9" fillId="2" fontId="32" numFmtId="0" xfId="0" applyAlignment="1" applyBorder="1" applyFont="1">
      <alignment horizontal="center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33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6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2" fontId="34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4" fontId="18" numFmtId="0" xfId="0" applyAlignment="1" applyBorder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1" fillId="5" fontId="35" numFmtId="0" xfId="0" applyAlignment="1" applyBorder="1" applyFont="1">
      <alignment horizontal="center" readingOrder="0" vertical="center"/>
    </xf>
    <xf borderId="12" fillId="5" fontId="35" numFmtId="0" xfId="0" applyAlignment="1" applyBorder="1" applyFont="1">
      <alignment horizontal="center" readingOrder="0" vertical="center"/>
    </xf>
    <xf borderId="1" fillId="6" fontId="35" numFmtId="0" xfId="0" applyAlignment="1" applyBorder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12" fillId="6" fontId="35" numFmtId="0" xfId="0" applyAlignment="1" applyBorder="1" applyFont="1">
      <alignment horizontal="center" vertical="center"/>
    </xf>
    <xf borderId="12" fillId="6" fontId="37" numFmtId="0" xfId="0" applyAlignment="1" applyBorder="1" applyFont="1">
      <alignment horizontal="center" vertical="center"/>
    </xf>
    <xf borderId="0" fillId="2" fontId="36" numFmtId="0" xfId="0" applyAlignment="1" applyFont="1">
      <alignment horizontal="center" vertical="center"/>
    </xf>
    <xf borderId="12" fillId="6" fontId="35" numFmtId="0" xfId="0" applyAlignment="1" applyBorder="1" applyFont="1">
      <alignment horizontal="center" vertical="center"/>
    </xf>
    <xf borderId="12" fillId="6" fontId="37" numFmtId="0" xfId="0" applyAlignment="1" applyBorder="1" applyFont="1">
      <alignment horizontal="center" vertical="center"/>
    </xf>
    <xf borderId="0" fillId="8" fontId="38" numFmtId="0" xfId="0" applyAlignment="1" applyFill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40" numFmtId="0" xfId="0" applyAlignment="1" applyFont="1">
      <alignment horizontal="center" vertical="center"/>
    </xf>
    <xf borderId="0" fillId="2" fontId="40" numFmtId="167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40" numFmtId="167" xfId="0" applyAlignment="1" applyFont="1" applyNumberFormat="1">
      <alignment horizontal="center" readingOrder="2" vertical="center"/>
    </xf>
    <xf borderId="4" fillId="2" fontId="21" numFmtId="0" xfId="0" applyAlignment="1" applyBorder="1" applyFont="1">
      <alignment horizontal="center" readingOrder="0" vertical="center"/>
    </xf>
    <xf borderId="0" fillId="2" fontId="41" numFmtId="167" xfId="0" applyAlignment="1" applyFont="1" applyNumberFormat="1">
      <alignment horizontal="center" readingOrder="0" vertical="center"/>
    </xf>
    <xf borderId="0" fillId="0" fontId="39" numFmtId="0" xfId="0" applyAlignment="1" applyFont="1">
      <alignment horizontal="center" vertical="center"/>
    </xf>
    <xf borderId="0" fillId="0" fontId="42" numFmtId="167" xfId="0" applyAlignment="1" applyFont="1" applyNumberForma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0" fontId="42" numFmtId="0" xfId="0" applyAlignment="1" applyFont="1">
      <alignment horizontal="center" vertical="center"/>
    </xf>
    <xf borderId="4" fillId="3" fontId="43" numFmtId="0" xfId="0" applyAlignment="1" applyBorder="1" applyFont="1">
      <alignment horizontal="center" readingOrder="0" vertical="center"/>
    </xf>
    <xf borderId="9" fillId="9" fontId="41" numFmtId="0" xfId="0" applyAlignment="1" applyBorder="1" applyFill="1" applyFont="1">
      <alignment horizontal="center" readingOrder="0" vertical="center"/>
    </xf>
    <xf borderId="4" fillId="7" fontId="41" numFmtId="0" xfId="0" applyAlignment="1" applyBorder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7" fontId="41" numFmtId="0" xfId="0" applyAlignment="1" applyBorder="1" applyFont="1">
      <alignment horizontal="center" readingOrder="0" vertical="center"/>
    </xf>
    <xf borderId="4" fillId="3" fontId="45" numFmtId="0" xfId="0" applyAlignment="1" applyBorder="1" applyFont="1">
      <alignment horizontal="center" readingOrder="1" shrinkToFit="0" vertical="center" wrapText="0"/>
    </xf>
    <xf borderId="9" fillId="3" fontId="4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2" vertical="center"/>
    </xf>
    <xf borderId="0" fillId="2" fontId="46" numFmtId="0" xfId="0" applyAlignment="1" applyFont="1">
      <alignment horizontal="center" readingOrder="0" vertical="center"/>
    </xf>
    <xf borderId="4" fillId="3" fontId="46" numFmtId="0" xfId="0" applyAlignment="1" applyBorder="1" applyFont="1">
      <alignment horizontal="center" readingOrder="0" vertical="center"/>
    </xf>
    <xf borderId="9" fillId="9" fontId="47" numFmtId="0" xfId="0" applyAlignment="1" applyBorder="1" applyFont="1">
      <alignment horizontal="center" readingOrder="0" vertical="center"/>
    </xf>
    <xf borderId="9" fillId="0" fontId="48" numFmtId="16" xfId="0" applyAlignment="1" applyBorder="1" applyFont="1" applyNumberFormat="1">
      <alignment horizontal="center" vertical="center"/>
    </xf>
    <xf borderId="9" fillId="2" fontId="21" numFmtId="0" xfId="0" applyAlignment="1" applyBorder="1" applyFont="1">
      <alignment horizontal="center" readingOrder="0" vertical="center"/>
    </xf>
    <xf borderId="9" fillId="5" fontId="41" numFmtId="168" xfId="0" applyAlignment="1" applyBorder="1" applyFont="1" applyNumberFormat="1">
      <alignment horizontal="center" readingOrder="0" vertical="center"/>
    </xf>
    <xf borderId="9" fillId="7" fontId="21" numFmtId="4" xfId="0" applyAlignment="1" applyBorder="1" applyFont="1" applyNumberForma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9" fillId="6" fontId="21" numFmtId="0" xfId="0" applyAlignment="1" applyBorder="1" applyFont="1">
      <alignment horizontal="center" readingOrder="0" vertical="center"/>
    </xf>
    <xf borderId="9" fillId="10" fontId="48" numFmtId="16" xfId="0" applyAlignment="1" applyBorder="1" applyFill="1" applyFont="1" applyNumberFormat="1">
      <alignment horizontal="center" vertical="center"/>
    </xf>
    <xf borderId="9" fillId="6" fontId="21" numFmtId="4" xfId="0" applyAlignment="1" applyBorder="1" applyFont="1" applyNumberFormat="1">
      <alignment horizontal="center" readingOrder="0" vertical="center"/>
    </xf>
    <xf borderId="9" fillId="6" fontId="21" numFmtId="49" xfId="0" applyAlignment="1" applyBorder="1" applyFont="1" applyNumberFormat="1">
      <alignment horizontal="center" readingOrder="0" vertical="center"/>
    </xf>
    <xf borderId="9" fillId="2" fontId="21" numFmtId="4" xfId="0" applyAlignment="1" applyBorder="1" applyFont="1" applyNumberFormat="1">
      <alignment horizontal="center" readingOrder="0" vertical="center"/>
    </xf>
    <xf borderId="9" fillId="2" fontId="21" numFmtId="49" xfId="0" applyAlignment="1" applyBorder="1" applyFont="1" applyNumberFormat="1">
      <alignment horizontal="center" readingOrder="0" vertical="center"/>
    </xf>
    <xf borderId="0" fillId="2" fontId="41" numFmtId="168" xfId="0" applyAlignment="1" applyFont="1" applyNumberFormat="1">
      <alignment horizontal="center" readingOrder="0" vertical="center"/>
    </xf>
    <xf borderId="9" fillId="7" fontId="21" numFmtId="49" xfId="0" applyAlignment="1" applyBorder="1" applyFont="1" applyNumberFormat="1">
      <alignment horizontal="center" readingOrder="0" vertical="center"/>
    </xf>
    <xf borderId="9" fillId="7" fontId="41" numFmtId="4" xfId="0" applyAlignment="1" applyBorder="1" applyFont="1" applyNumberFormat="1">
      <alignment horizontal="center" readingOrder="0" vertical="center"/>
    </xf>
    <xf borderId="9" fillId="11" fontId="49" numFmtId="0" xfId="0" applyAlignment="1" applyBorder="1" applyFill="1" applyFont="1">
      <alignment horizontal="center" readingOrder="0" vertical="center"/>
    </xf>
    <xf borderId="9" fillId="11" fontId="41" numFmtId="4" xfId="0" applyAlignment="1" applyBorder="1" applyFont="1" applyNumberFormat="1">
      <alignment horizontal="center" readingOrder="0" vertical="center"/>
    </xf>
    <xf borderId="0" fillId="2" fontId="49" numFmtId="0" xfId="0" applyAlignment="1" applyFont="1">
      <alignment horizontal="center" readingOrder="0" vertical="center"/>
    </xf>
    <xf borderId="0" fillId="2" fontId="41" numFmtId="0" xfId="0" applyAlignment="1" applyFont="1">
      <alignment horizontal="center" vertical="center"/>
    </xf>
    <xf borderId="9" fillId="7" fontId="21" numFmtId="0" xfId="0" applyAlignment="1" applyBorder="1" applyFont="1">
      <alignment horizontal="center" readingOrder="0" vertical="center"/>
    </xf>
    <xf borderId="4" fillId="4" fontId="43" numFmtId="0" xfId="0" applyAlignment="1" applyBorder="1" applyFont="1">
      <alignment horizontal="center" readingOrder="0" vertical="center"/>
    </xf>
    <xf borderId="9" fillId="9" fontId="21" numFmtId="0" xfId="0" applyAlignment="1" applyBorder="1" applyFont="1">
      <alignment horizontal="center" readingOrder="0" vertical="center"/>
    </xf>
    <xf borderId="9" fillId="7" fontId="21" numFmtId="0" xfId="0" applyAlignment="1" applyBorder="1" applyFont="1">
      <alignment horizontal="center" readingOrder="0" vertical="center"/>
    </xf>
    <xf borderId="4" fillId="3" fontId="50" numFmtId="0" xfId="0" applyAlignment="1" applyBorder="1" applyFont="1">
      <alignment horizontal="center" readingOrder="1" shrinkToFit="0" vertical="center" wrapText="0"/>
    </xf>
    <xf borderId="9" fillId="7" fontId="41" numFmtId="167" xfId="0" applyAlignment="1" applyBorder="1" applyFont="1" applyNumberFormat="1">
      <alignment horizontal="center" readingOrder="0" vertical="center"/>
    </xf>
    <xf borderId="6" fillId="2" fontId="40" numFmtId="0" xfId="0" applyAlignment="1" applyBorder="1" applyFont="1">
      <alignment horizontal="center" vertical="center"/>
    </xf>
    <xf borderId="9" fillId="3" fontId="44" numFmtId="0" xfId="0" applyAlignment="1" applyBorder="1" applyFont="1">
      <alignment horizontal="center" readingOrder="0" vertical="center"/>
    </xf>
    <xf borderId="9" fillId="5" fontId="2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uODWo4YqbT8" TargetMode="External"/><Relationship Id="rId84" Type="http://schemas.openxmlformats.org/officeDocument/2006/relationships/hyperlink" Target="https://youtu.be/YbX7Wd8jQ-Q?t=28" TargetMode="External"/><Relationship Id="rId83" Type="http://schemas.openxmlformats.org/officeDocument/2006/relationships/hyperlink" Target="https://youtu.be/YbX7Wd8jQ-Q?t=28" TargetMode="External"/><Relationship Id="rId42" Type="http://schemas.openxmlformats.org/officeDocument/2006/relationships/hyperlink" Target="https://www.youtube.com/watch?v=t90Vb6IBi0E" TargetMode="External"/><Relationship Id="rId86" Type="http://schemas.openxmlformats.org/officeDocument/2006/relationships/hyperlink" Target="https://youtu.be/JIZy6qGTL2s?t=88" TargetMode="External"/><Relationship Id="rId41" Type="http://schemas.openxmlformats.org/officeDocument/2006/relationships/hyperlink" Target="https://www.youtube.com/watch?v=t90Vb6IBi0E" TargetMode="External"/><Relationship Id="rId85" Type="http://schemas.openxmlformats.org/officeDocument/2006/relationships/hyperlink" Target="https://youtu.be/JIZy6qGTL2s?t=88" TargetMode="External"/><Relationship Id="rId44" Type="http://schemas.openxmlformats.org/officeDocument/2006/relationships/hyperlink" Target="https://www.youtube.com/watch?v=t90Vb6IBi0E" TargetMode="External"/><Relationship Id="rId88" Type="http://schemas.openxmlformats.org/officeDocument/2006/relationships/hyperlink" Target="https://youtu.be/JIZy6qGTL2s?t=88" TargetMode="External"/><Relationship Id="rId43" Type="http://schemas.openxmlformats.org/officeDocument/2006/relationships/hyperlink" Target="https://www.youtube.com/watch?v=t90Vb6IBi0E" TargetMode="External"/><Relationship Id="rId87" Type="http://schemas.openxmlformats.org/officeDocument/2006/relationships/hyperlink" Target="https://youtu.be/JIZy6qGTL2s?t=88" TargetMode="External"/><Relationship Id="rId46" Type="http://schemas.openxmlformats.org/officeDocument/2006/relationships/hyperlink" Target="https://www.youtube.com/watch?v=aafaCFMvDKk" TargetMode="External"/><Relationship Id="rId45" Type="http://schemas.openxmlformats.org/officeDocument/2006/relationships/hyperlink" Target="https://www.youtube.com/watch?v=aafaCFMvDKk" TargetMode="External"/><Relationship Id="rId89" Type="http://schemas.openxmlformats.org/officeDocument/2006/relationships/hyperlink" Target="https://www.youtube.com/watch?v=uW3-Ue07H0M" TargetMode="External"/><Relationship Id="rId80" Type="http://schemas.openxmlformats.org/officeDocument/2006/relationships/hyperlink" Target="https://youtu.be/3VcKaXpzqRo?t=67" TargetMode="External"/><Relationship Id="rId82" Type="http://schemas.openxmlformats.org/officeDocument/2006/relationships/hyperlink" Target="https://youtu.be/YbX7Wd8jQ-Q?t=28" TargetMode="External"/><Relationship Id="rId81" Type="http://schemas.openxmlformats.org/officeDocument/2006/relationships/hyperlink" Target="https://youtu.be/YbX7Wd8jQ-Q?t=28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youtu.be/S_uZP4UH6J0?t=55" TargetMode="External"/><Relationship Id="rId48" Type="http://schemas.openxmlformats.org/officeDocument/2006/relationships/hyperlink" Target="https://www.youtube.com/watch?v=aafaCFMvDKk" TargetMode="External"/><Relationship Id="rId47" Type="http://schemas.openxmlformats.org/officeDocument/2006/relationships/hyperlink" Target="https://www.youtube.com/watch?v=aafaCFMvDKk" TargetMode="External"/><Relationship Id="rId49" Type="http://schemas.openxmlformats.org/officeDocument/2006/relationships/hyperlink" Target="https://youtu.be/TXt6-9TVGR8?t=6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www.youtube.com/watch?v=LfGyMCw_Zd0" TargetMode="External"/><Relationship Id="rId72" Type="http://schemas.openxmlformats.org/officeDocument/2006/relationships/hyperlink" Target="https://youtu.be/UpyX0O740Gg?t=9" TargetMode="External"/><Relationship Id="rId31" Type="http://schemas.openxmlformats.org/officeDocument/2006/relationships/hyperlink" Target="https://www.youtube.com/watch?v=yPsj9TNs3B4" TargetMode="External"/><Relationship Id="rId75" Type="http://schemas.openxmlformats.org/officeDocument/2006/relationships/hyperlink" Target="https://www.youtube.com/watch?v=LfGyMCw_Zd0" TargetMode="External"/><Relationship Id="rId30" Type="http://schemas.openxmlformats.org/officeDocument/2006/relationships/hyperlink" Target="https://www.youtube.com/watch?v=yPsj9TNs3B4" TargetMode="External"/><Relationship Id="rId74" Type="http://schemas.openxmlformats.org/officeDocument/2006/relationships/hyperlink" Target="https://www.youtube.com/watch?v=LfGyMCw_Zd0" TargetMode="External"/><Relationship Id="rId33" Type="http://schemas.openxmlformats.org/officeDocument/2006/relationships/hyperlink" Target="https://www.youtube.com/watch?v=yPsj9TNs3B4" TargetMode="External"/><Relationship Id="rId77" Type="http://schemas.openxmlformats.org/officeDocument/2006/relationships/hyperlink" Target="https://youtu.be/3VcKaXpzqRo?t=67" TargetMode="External"/><Relationship Id="rId32" Type="http://schemas.openxmlformats.org/officeDocument/2006/relationships/hyperlink" Target="https://www.youtube.com/watch?v=yPsj9TNs3B4" TargetMode="External"/><Relationship Id="rId76" Type="http://schemas.openxmlformats.org/officeDocument/2006/relationships/hyperlink" Target="https://www.youtube.com/watch?v=LfGyMCw_Zd0" TargetMode="External"/><Relationship Id="rId35" Type="http://schemas.openxmlformats.org/officeDocument/2006/relationships/hyperlink" Target="https://www.youtube.com/watch?v=yPsj9TNs3B4" TargetMode="External"/><Relationship Id="rId79" Type="http://schemas.openxmlformats.org/officeDocument/2006/relationships/hyperlink" Target="https://youtu.be/3VcKaXpzqRo?t=67" TargetMode="External"/><Relationship Id="rId34" Type="http://schemas.openxmlformats.org/officeDocument/2006/relationships/hyperlink" Target="https://www.youtube.com/watch?v=yPsj9TNs3B4" TargetMode="External"/><Relationship Id="rId78" Type="http://schemas.openxmlformats.org/officeDocument/2006/relationships/hyperlink" Target="https://youtu.be/3VcKaXpzqRo?t=67" TargetMode="External"/><Relationship Id="rId71" Type="http://schemas.openxmlformats.org/officeDocument/2006/relationships/hyperlink" Target="https://youtu.be/UpyX0O740Gg?t=9" TargetMode="External"/><Relationship Id="rId70" Type="http://schemas.openxmlformats.org/officeDocument/2006/relationships/hyperlink" Target="https://youtu.be/UpyX0O740Gg?t=9" TargetMode="External"/><Relationship Id="rId37" Type="http://schemas.openxmlformats.org/officeDocument/2006/relationships/hyperlink" Target="https://www.youtube.com/shorts/uODWo4YqbT8" TargetMode="External"/><Relationship Id="rId36" Type="http://schemas.openxmlformats.org/officeDocument/2006/relationships/hyperlink" Target="https://www.youtube.com/watch?v=yPsj9TNs3B4" TargetMode="External"/><Relationship Id="rId39" Type="http://schemas.openxmlformats.org/officeDocument/2006/relationships/hyperlink" Target="https://www.youtube.com/shorts/uODWo4YqbT8" TargetMode="External"/><Relationship Id="rId38" Type="http://schemas.openxmlformats.org/officeDocument/2006/relationships/hyperlink" Target="https://www.youtube.com/shorts/uODWo4YqbT8" TargetMode="External"/><Relationship Id="rId62" Type="http://schemas.openxmlformats.org/officeDocument/2006/relationships/hyperlink" Target="https://www.youtube.com/watch?v=t6bz_-wLHI0&amp;t=244s" TargetMode="External"/><Relationship Id="rId61" Type="http://schemas.openxmlformats.org/officeDocument/2006/relationships/hyperlink" Target="https://www.youtube.com/watch?v=t6bz_-wLHI0&amp;t=244s" TargetMode="External"/><Relationship Id="rId20" Type="http://schemas.openxmlformats.org/officeDocument/2006/relationships/hyperlink" Target="https://www.youtube.com/watch?v=6h1A7cpM1L0" TargetMode="External"/><Relationship Id="rId64" Type="http://schemas.openxmlformats.org/officeDocument/2006/relationships/hyperlink" Target="https://www.youtube.com/watch?v=t6bz_-wLHI0&amp;t=244s" TargetMode="External"/><Relationship Id="rId63" Type="http://schemas.openxmlformats.org/officeDocument/2006/relationships/hyperlink" Target="https://www.youtube.com/watch?v=t6bz_-wLHI0&amp;t=244s" TargetMode="External"/><Relationship Id="rId22" Type="http://schemas.openxmlformats.org/officeDocument/2006/relationships/hyperlink" Target="https://youtu.be/3VcKaXpzqRo?t=67" TargetMode="External"/><Relationship Id="rId66" Type="http://schemas.openxmlformats.org/officeDocument/2006/relationships/hyperlink" Target="https://youtu.be/_oyxCn2iSjU?t=88" TargetMode="External"/><Relationship Id="rId21" Type="http://schemas.openxmlformats.org/officeDocument/2006/relationships/hyperlink" Target="https://youtu.be/3VcKaXpzqRo?t=67" TargetMode="External"/><Relationship Id="rId65" Type="http://schemas.openxmlformats.org/officeDocument/2006/relationships/hyperlink" Target="https://youtu.be/_oyxCn2iSjU?t=88" TargetMode="External"/><Relationship Id="rId24" Type="http://schemas.openxmlformats.org/officeDocument/2006/relationships/hyperlink" Target="https://youtu.be/3VcKaXpzqRo?t=67" TargetMode="External"/><Relationship Id="rId68" Type="http://schemas.openxmlformats.org/officeDocument/2006/relationships/hyperlink" Target="https://youtu.be/_oyxCn2iSjU?t=88" TargetMode="External"/><Relationship Id="rId23" Type="http://schemas.openxmlformats.org/officeDocument/2006/relationships/hyperlink" Target="https://youtu.be/3VcKaXpzqRo?t=67" TargetMode="External"/><Relationship Id="rId67" Type="http://schemas.openxmlformats.org/officeDocument/2006/relationships/hyperlink" Target="https://youtu.be/_oyxCn2iSjU?t=88" TargetMode="External"/><Relationship Id="rId60" Type="http://schemas.openxmlformats.org/officeDocument/2006/relationships/hyperlink" Target="https://www.youtube.com/watch?v=t6bz_-wLHI0&amp;t=244s" TargetMode="External"/><Relationship Id="rId26" Type="http://schemas.openxmlformats.org/officeDocument/2006/relationships/hyperlink" Target="https://www.youtube.com/watch?v=rONpWaNIhE8" TargetMode="External"/><Relationship Id="rId25" Type="http://schemas.openxmlformats.org/officeDocument/2006/relationships/hyperlink" Target="https://www.youtube.com/watch?v=rONpWaNIhE8" TargetMode="External"/><Relationship Id="rId69" Type="http://schemas.openxmlformats.org/officeDocument/2006/relationships/hyperlink" Target="https://youtu.be/UpyX0O740Gg?t=9" TargetMode="External"/><Relationship Id="rId28" Type="http://schemas.openxmlformats.org/officeDocument/2006/relationships/hyperlink" Target="https://www.youtube.com/watch?v=rONpWaNIhE8" TargetMode="External"/><Relationship Id="rId27" Type="http://schemas.openxmlformats.org/officeDocument/2006/relationships/hyperlink" Target="https://www.youtube.com/watch?v=rONpWaNIhE8" TargetMode="External"/><Relationship Id="rId29" Type="http://schemas.openxmlformats.org/officeDocument/2006/relationships/hyperlink" Target="https://www.youtube.com/watch?v=yPsj9TNs3B4" TargetMode="External"/><Relationship Id="rId51" Type="http://schemas.openxmlformats.org/officeDocument/2006/relationships/hyperlink" Target="https://youtu.be/TXt6-9TVGR8?t=6" TargetMode="External"/><Relationship Id="rId50" Type="http://schemas.openxmlformats.org/officeDocument/2006/relationships/hyperlink" Target="https://youtu.be/TXt6-9TVGR8?t=6" TargetMode="External"/><Relationship Id="rId53" Type="http://schemas.openxmlformats.org/officeDocument/2006/relationships/hyperlink" Target="https://www.instagram.com/reel/ClyyKh4AZEb/?igshid=MzRlODBiNWFlZA==" TargetMode="External"/><Relationship Id="rId52" Type="http://schemas.openxmlformats.org/officeDocument/2006/relationships/hyperlink" Target="https://youtu.be/TXt6-9TVGR8?t=6" TargetMode="External"/><Relationship Id="rId11" Type="http://schemas.openxmlformats.org/officeDocument/2006/relationships/hyperlink" Target="https://youtu.be/S_uZP4UH6J0?t=55" TargetMode="External"/><Relationship Id="rId55" Type="http://schemas.openxmlformats.org/officeDocument/2006/relationships/hyperlink" Target="https://www.instagram.com/reel/ClyyKh4AZEb/?igshid=MzRlODBiNWFlZA==" TargetMode="External"/><Relationship Id="rId10" Type="http://schemas.openxmlformats.org/officeDocument/2006/relationships/hyperlink" Target="https://youtu.be/S_uZP4UH6J0?t=55" TargetMode="External"/><Relationship Id="rId54" Type="http://schemas.openxmlformats.org/officeDocument/2006/relationships/hyperlink" Target="https://www.instagram.com/reel/ClyyKh4AZEb/?igshid=MzRlODBiNWFlZA==" TargetMode="External"/><Relationship Id="rId13" Type="http://schemas.openxmlformats.org/officeDocument/2006/relationships/hyperlink" Target="https://www.youtube.com/watch?v=lJJEkmU_f3c" TargetMode="External"/><Relationship Id="rId57" Type="http://schemas.openxmlformats.org/officeDocument/2006/relationships/hyperlink" Target="https://www.youtube.com/watch?v=t6bz_-wLHI0&amp;t=244s" TargetMode="External"/><Relationship Id="rId12" Type="http://schemas.openxmlformats.org/officeDocument/2006/relationships/hyperlink" Target="https://youtu.be/S_uZP4UH6J0?t=55" TargetMode="External"/><Relationship Id="rId56" Type="http://schemas.openxmlformats.org/officeDocument/2006/relationships/hyperlink" Target="https://www.instagram.com/reel/ClyyKh4AZEb/?igshid=MzRlODBiNWFlZA==" TargetMode="External"/><Relationship Id="rId91" Type="http://schemas.openxmlformats.org/officeDocument/2006/relationships/hyperlink" Target="https://www.youtube.com/watch?v=0lEADrqPPNM" TargetMode="External"/><Relationship Id="rId90" Type="http://schemas.openxmlformats.org/officeDocument/2006/relationships/hyperlink" Target="https://www.youtube.com/shorts/5MNZ2x9Qzsw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www.youtube.com/watch?v=lJJEkmU_f3c" TargetMode="External"/><Relationship Id="rId59" Type="http://schemas.openxmlformats.org/officeDocument/2006/relationships/hyperlink" Target="https://www.youtube.com/watch?v=t6bz_-wLHI0&amp;t=244s" TargetMode="External"/><Relationship Id="rId14" Type="http://schemas.openxmlformats.org/officeDocument/2006/relationships/hyperlink" Target="https://www.youtube.com/watch?v=lJJEkmU_f3c" TargetMode="External"/><Relationship Id="rId58" Type="http://schemas.openxmlformats.org/officeDocument/2006/relationships/hyperlink" Target="https://www.youtube.com/watch?v=t6bz_-wLHI0&amp;t=244s" TargetMode="External"/><Relationship Id="rId17" Type="http://schemas.openxmlformats.org/officeDocument/2006/relationships/hyperlink" Target="https://www.youtube.com/watch?v=6h1A7cpM1L0" TargetMode="External"/><Relationship Id="rId16" Type="http://schemas.openxmlformats.org/officeDocument/2006/relationships/hyperlink" Target="https://www.youtube.com/watch?v=lJJEkmU_f3c" TargetMode="External"/><Relationship Id="rId19" Type="http://schemas.openxmlformats.org/officeDocument/2006/relationships/hyperlink" Target="https://www.youtube.com/watch?v=6h1A7cpM1L0" TargetMode="External"/><Relationship Id="rId18" Type="http://schemas.openxmlformats.org/officeDocument/2006/relationships/hyperlink" Target="https://www.youtube.com/watch?v=6h1A7cpM1L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13.8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3.1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3.6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26"/>
      <c r="C12" s="27" t="s">
        <v>14</v>
      </c>
      <c r="D12" s="28">
        <v>1.0</v>
      </c>
      <c r="E12" s="29">
        <v>3.0</v>
      </c>
      <c r="F12" s="29">
        <v>5.0</v>
      </c>
      <c r="G12" s="30"/>
      <c r="H12" s="31"/>
      <c r="I12" s="32"/>
      <c r="J12" s="23"/>
      <c r="K12" s="32"/>
      <c r="L12" s="23"/>
      <c r="M12" s="33"/>
      <c r="N12" s="26"/>
      <c r="O12" s="27" t="s">
        <v>14</v>
      </c>
      <c r="P12" s="28">
        <v>1.0</v>
      </c>
      <c r="Q12" s="29">
        <v>3.0</v>
      </c>
      <c r="R12" s="34">
        <v>6.0</v>
      </c>
      <c r="S12" s="30"/>
      <c r="T12" s="31"/>
      <c r="U12" s="32"/>
      <c r="V12" s="23"/>
      <c r="W12" s="32"/>
      <c r="X12" s="23"/>
      <c r="Y12" s="1"/>
      <c r="Z12" s="26"/>
      <c r="AA12" s="27" t="s">
        <v>14</v>
      </c>
      <c r="AB12" s="28">
        <v>1.0</v>
      </c>
      <c r="AC12" s="29">
        <v>3.0</v>
      </c>
      <c r="AD12" s="34">
        <v>7.0</v>
      </c>
      <c r="AE12" s="30"/>
      <c r="AF12" s="31"/>
      <c r="AG12" s="32"/>
      <c r="AH12" s="23"/>
      <c r="AI12" s="32"/>
      <c r="AJ12" s="23"/>
      <c r="AK12" s="35"/>
      <c r="AL12" s="26"/>
      <c r="AM12" s="27" t="s">
        <v>14</v>
      </c>
      <c r="AN12" s="28">
        <v>1.0</v>
      </c>
      <c r="AO12" s="29">
        <v>3.0</v>
      </c>
      <c r="AP12" s="29">
        <v>8.0</v>
      </c>
      <c r="AQ12" s="30"/>
      <c r="AR12" s="31"/>
      <c r="AS12" s="32"/>
      <c r="AT12" s="23"/>
      <c r="AU12" s="32"/>
      <c r="AV12" s="23"/>
      <c r="AW12" s="36"/>
      <c r="AX12" s="36"/>
    </row>
    <row r="13" ht="20.25" customHeight="1">
      <c r="A13" s="4"/>
      <c r="B13" s="26"/>
      <c r="C13" s="27" t="s">
        <v>14</v>
      </c>
      <c r="D13" s="28">
        <v>3.0</v>
      </c>
      <c r="E13" s="29">
        <v>5.0</v>
      </c>
      <c r="F13" s="37">
        <v>-0.1</v>
      </c>
      <c r="G13" s="31"/>
      <c r="H13" s="31"/>
      <c r="I13" s="32"/>
      <c r="J13" s="23"/>
      <c r="K13" s="32"/>
      <c r="L13" s="23"/>
      <c r="M13" s="33"/>
      <c r="N13" s="26"/>
      <c r="O13" s="27" t="s">
        <v>14</v>
      </c>
      <c r="P13" s="28">
        <v>3.0</v>
      </c>
      <c r="Q13" s="29">
        <v>5.0</v>
      </c>
      <c r="R13" s="37">
        <v>-0.1</v>
      </c>
      <c r="S13" s="31"/>
      <c r="T13" s="31"/>
      <c r="U13" s="32"/>
      <c r="V13" s="23"/>
      <c r="W13" s="32"/>
      <c r="X13" s="23"/>
      <c r="Y13" s="1"/>
      <c r="Z13" s="26"/>
      <c r="AA13" s="27" t="s">
        <v>14</v>
      </c>
      <c r="AB13" s="28">
        <v>3.0</v>
      </c>
      <c r="AC13" s="29">
        <v>5.0</v>
      </c>
      <c r="AD13" s="37">
        <v>-0.1</v>
      </c>
      <c r="AE13" s="31"/>
      <c r="AF13" s="31"/>
      <c r="AG13" s="32"/>
      <c r="AH13" s="23"/>
      <c r="AI13" s="32"/>
      <c r="AJ13" s="23"/>
      <c r="AK13" s="35"/>
      <c r="AL13" s="26"/>
      <c r="AM13" s="27" t="s">
        <v>14</v>
      </c>
      <c r="AN13" s="28">
        <v>3.0</v>
      </c>
      <c r="AO13" s="29">
        <v>5.0</v>
      </c>
      <c r="AP13" s="37">
        <v>-0.1</v>
      </c>
      <c r="AQ13" s="31"/>
      <c r="AR13" s="31"/>
      <c r="AS13" s="32"/>
      <c r="AT13" s="23"/>
      <c r="AU13" s="32"/>
      <c r="AV13" s="23"/>
      <c r="AW13" s="36"/>
      <c r="AX13" s="36"/>
    </row>
    <row r="14" ht="20.25" customHeight="1">
      <c r="A14" s="4"/>
      <c r="B14" s="26"/>
      <c r="C14" s="27" t="s">
        <v>15</v>
      </c>
      <c r="D14" s="28">
        <v>3.0</v>
      </c>
      <c r="E14" s="29" t="s">
        <v>16</v>
      </c>
      <c r="F14" s="29">
        <v>8.0</v>
      </c>
      <c r="G14" s="31"/>
      <c r="H14" s="31"/>
      <c r="I14" s="32"/>
      <c r="J14" s="23"/>
      <c r="K14" s="32"/>
      <c r="L14" s="23"/>
      <c r="M14" s="33"/>
      <c r="N14" s="26"/>
      <c r="O14" s="27" t="s">
        <v>15</v>
      </c>
      <c r="P14" s="28">
        <v>3.0</v>
      </c>
      <c r="Q14" s="29" t="s">
        <v>16</v>
      </c>
      <c r="R14" s="29">
        <v>8.0</v>
      </c>
      <c r="S14" s="31"/>
      <c r="T14" s="31"/>
      <c r="U14" s="32"/>
      <c r="V14" s="23"/>
      <c r="W14" s="32"/>
      <c r="X14" s="23"/>
      <c r="Y14" s="24"/>
      <c r="Z14" s="26"/>
      <c r="AA14" s="27" t="s">
        <v>15</v>
      </c>
      <c r="AB14" s="28">
        <v>3.0</v>
      </c>
      <c r="AC14" s="29" t="s">
        <v>16</v>
      </c>
      <c r="AD14" s="29">
        <v>8.0</v>
      </c>
      <c r="AE14" s="31"/>
      <c r="AF14" s="31"/>
      <c r="AG14" s="32"/>
      <c r="AH14" s="23"/>
      <c r="AI14" s="32"/>
      <c r="AJ14" s="23"/>
      <c r="AK14" s="35"/>
      <c r="AL14" s="26"/>
      <c r="AM14" s="27" t="s">
        <v>15</v>
      </c>
      <c r="AN14" s="28">
        <v>3.0</v>
      </c>
      <c r="AO14" s="29" t="s">
        <v>16</v>
      </c>
      <c r="AP14" s="29">
        <v>8.0</v>
      </c>
      <c r="AQ14" s="31"/>
      <c r="AR14" s="31"/>
      <c r="AS14" s="32"/>
      <c r="AT14" s="23"/>
      <c r="AU14" s="32"/>
      <c r="AV14" s="23"/>
      <c r="AW14" s="36"/>
      <c r="AX14" s="36"/>
    </row>
    <row r="15" ht="20.25" customHeight="1">
      <c r="A15" s="1"/>
      <c r="B15" s="26"/>
      <c r="C15" s="27" t="s">
        <v>17</v>
      </c>
      <c r="D15" s="28">
        <v>3.0</v>
      </c>
      <c r="E15" s="28" t="s">
        <v>16</v>
      </c>
      <c r="F15" s="29">
        <v>8.0</v>
      </c>
      <c r="G15" s="31"/>
      <c r="H15" s="31"/>
      <c r="I15" s="32"/>
      <c r="J15" s="23"/>
      <c r="K15" s="32"/>
      <c r="L15" s="23"/>
      <c r="M15" s="33"/>
      <c r="N15" s="26"/>
      <c r="O15" s="27" t="s">
        <v>17</v>
      </c>
      <c r="P15" s="28">
        <v>3.0</v>
      </c>
      <c r="Q15" s="28" t="s">
        <v>16</v>
      </c>
      <c r="R15" s="29">
        <v>8.0</v>
      </c>
      <c r="S15" s="31"/>
      <c r="T15" s="31"/>
      <c r="U15" s="32"/>
      <c r="V15" s="23"/>
      <c r="W15" s="32"/>
      <c r="X15" s="23"/>
      <c r="Y15" s="24"/>
      <c r="Z15" s="26"/>
      <c r="AA15" s="27" t="s">
        <v>17</v>
      </c>
      <c r="AB15" s="28">
        <v>3.0</v>
      </c>
      <c r="AC15" s="28" t="s">
        <v>16</v>
      </c>
      <c r="AD15" s="29">
        <v>8.0</v>
      </c>
      <c r="AE15" s="31"/>
      <c r="AF15" s="31"/>
      <c r="AG15" s="32"/>
      <c r="AH15" s="23"/>
      <c r="AI15" s="32"/>
      <c r="AJ15" s="23"/>
      <c r="AK15" s="35"/>
      <c r="AL15" s="26"/>
      <c r="AM15" s="27" t="s">
        <v>17</v>
      </c>
      <c r="AN15" s="28">
        <v>3.0</v>
      </c>
      <c r="AO15" s="28" t="s">
        <v>16</v>
      </c>
      <c r="AP15" s="29">
        <v>8.0</v>
      </c>
      <c r="AQ15" s="31"/>
      <c r="AR15" s="31"/>
      <c r="AS15" s="32"/>
      <c r="AT15" s="23"/>
      <c r="AU15" s="32"/>
      <c r="AV15" s="23"/>
      <c r="AW15" s="36"/>
      <c r="AX15" s="36"/>
    </row>
    <row r="16">
      <c r="A16" s="1"/>
      <c r="B16" s="26"/>
      <c r="C16" s="27" t="s">
        <v>18</v>
      </c>
      <c r="D16" s="28">
        <v>3.0</v>
      </c>
      <c r="E16" s="28" t="s">
        <v>16</v>
      </c>
      <c r="F16" s="29">
        <v>8.0</v>
      </c>
      <c r="G16" s="31"/>
      <c r="H16" s="31"/>
      <c r="I16" s="32"/>
      <c r="J16" s="23"/>
      <c r="K16" s="32"/>
      <c r="L16" s="23"/>
      <c r="M16" s="33"/>
      <c r="N16" s="26"/>
      <c r="O16" s="27" t="s">
        <v>18</v>
      </c>
      <c r="P16" s="28">
        <v>3.0</v>
      </c>
      <c r="Q16" s="28" t="s">
        <v>16</v>
      </c>
      <c r="R16" s="29">
        <v>8.0</v>
      </c>
      <c r="S16" s="31"/>
      <c r="T16" s="31"/>
      <c r="U16" s="32"/>
      <c r="V16" s="23"/>
      <c r="W16" s="32"/>
      <c r="X16" s="23"/>
      <c r="Y16" s="1"/>
      <c r="Z16" s="26"/>
      <c r="AA16" s="27" t="s">
        <v>18</v>
      </c>
      <c r="AB16" s="28">
        <v>3.0</v>
      </c>
      <c r="AC16" s="28" t="s">
        <v>16</v>
      </c>
      <c r="AD16" s="29">
        <v>8.0</v>
      </c>
      <c r="AE16" s="31"/>
      <c r="AF16" s="31"/>
      <c r="AG16" s="32"/>
      <c r="AH16" s="23"/>
      <c r="AI16" s="32"/>
      <c r="AJ16" s="23"/>
      <c r="AK16" s="35"/>
      <c r="AL16" s="26"/>
      <c r="AM16" s="27" t="s">
        <v>18</v>
      </c>
      <c r="AN16" s="28">
        <v>3.0</v>
      </c>
      <c r="AO16" s="28" t="s">
        <v>16</v>
      </c>
      <c r="AP16" s="29">
        <v>8.0</v>
      </c>
      <c r="AQ16" s="31"/>
      <c r="AR16" s="31"/>
      <c r="AS16" s="32"/>
      <c r="AT16" s="23"/>
      <c r="AU16" s="32"/>
      <c r="AV16" s="23"/>
      <c r="AW16" s="36"/>
      <c r="AX16" s="36"/>
    </row>
    <row r="17" ht="20.25" customHeight="1">
      <c r="A17" s="1"/>
      <c r="B17" s="26"/>
      <c r="C17" s="27" t="s">
        <v>19</v>
      </c>
      <c r="D17" s="28">
        <v>3.0</v>
      </c>
      <c r="E17" s="28" t="s">
        <v>16</v>
      </c>
      <c r="F17" s="29">
        <v>8.0</v>
      </c>
      <c r="G17" s="31"/>
      <c r="H17" s="31"/>
      <c r="I17" s="32"/>
      <c r="J17" s="23"/>
      <c r="K17" s="32"/>
      <c r="L17" s="23"/>
      <c r="M17" s="33"/>
      <c r="N17" s="26"/>
      <c r="O17" s="27" t="s">
        <v>19</v>
      </c>
      <c r="P17" s="28">
        <v>3.0</v>
      </c>
      <c r="Q17" s="28" t="s">
        <v>16</v>
      </c>
      <c r="R17" s="29">
        <v>8.0</v>
      </c>
      <c r="S17" s="31"/>
      <c r="T17" s="31"/>
      <c r="U17" s="32"/>
      <c r="V17" s="23"/>
      <c r="W17" s="32"/>
      <c r="X17" s="23"/>
      <c r="Y17" s="24"/>
      <c r="Z17" s="26"/>
      <c r="AA17" s="27" t="s">
        <v>19</v>
      </c>
      <c r="AB17" s="28">
        <v>3.0</v>
      </c>
      <c r="AC17" s="28" t="s">
        <v>16</v>
      </c>
      <c r="AD17" s="29">
        <v>8.0</v>
      </c>
      <c r="AE17" s="31"/>
      <c r="AF17" s="31"/>
      <c r="AG17" s="32"/>
      <c r="AH17" s="23"/>
      <c r="AI17" s="32"/>
      <c r="AJ17" s="23"/>
      <c r="AK17" s="35"/>
      <c r="AL17" s="26"/>
      <c r="AM17" s="27" t="s">
        <v>19</v>
      </c>
      <c r="AN17" s="28">
        <v>3.0</v>
      </c>
      <c r="AO17" s="28" t="s">
        <v>16</v>
      </c>
      <c r="AP17" s="29">
        <v>8.0</v>
      </c>
      <c r="AQ17" s="31"/>
      <c r="AR17" s="31"/>
      <c r="AS17" s="32"/>
      <c r="AT17" s="23"/>
      <c r="AU17" s="32"/>
      <c r="AV17" s="23"/>
      <c r="AW17" s="36"/>
      <c r="AX17" s="36"/>
    </row>
    <row r="18" ht="20.25" customHeight="1">
      <c r="A18" s="1"/>
      <c r="B18" s="38"/>
      <c r="C18" s="27" t="s">
        <v>20</v>
      </c>
      <c r="D18" s="28">
        <v>3.0</v>
      </c>
      <c r="E18" s="29" t="s">
        <v>16</v>
      </c>
      <c r="F18" s="29">
        <v>8.0</v>
      </c>
      <c r="G18" s="31"/>
      <c r="H18" s="31"/>
      <c r="I18" s="32"/>
      <c r="J18" s="23"/>
      <c r="K18" s="32"/>
      <c r="L18" s="23"/>
      <c r="M18" s="5"/>
      <c r="N18" s="38"/>
      <c r="O18" s="27" t="s">
        <v>20</v>
      </c>
      <c r="P18" s="28">
        <v>3.0</v>
      </c>
      <c r="Q18" s="29" t="s">
        <v>16</v>
      </c>
      <c r="R18" s="29">
        <v>8.0</v>
      </c>
      <c r="S18" s="31"/>
      <c r="T18" s="31"/>
      <c r="U18" s="32"/>
      <c r="V18" s="23"/>
      <c r="W18" s="32"/>
      <c r="X18" s="23"/>
      <c r="Y18" s="4"/>
      <c r="Z18" s="38"/>
      <c r="AA18" s="27" t="s">
        <v>20</v>
      </c>
      <c r="AB18" s="28">
        <v>3.0</v>
      </c>
      <c r="AC18" s="29" t="s">
        <v>16</v>
      </c>
      <c r="AD18" s="29">
        <v>8.0</v>
      </c>
      <c r="AE18" s="31"/>
      <c r="AF18" s="31"/>
      <c r="AG18" s="32"/>
      <c r="AH18" s="23"/>
      <c r="AI18" s="32"/>
      <c r="AJ18" s="23"/>
      <c r="AK18" s="2"/>
      <c r="AL18" s="38"/>
      <c r="AM18" s="27" t="s">
        <v>20</v>
      </c>
      <c r="AN18" s="28">
        <v>3.0</v>
      </c>
      <c r="AO18" s="29" t="s">
        <v>16</v>
      </c>
      <c r="AP18" s="29">
        <v>8.0</v>
      </c>
      <c r="AQ18" s="31"/>
      <c r="AR18" s="31"/>
      <c r="AS18" s="32"/>
      <c r="AT18" s="23"/>
      <c r="AU18" s="32"/>
      <c r="AV18" s="23"/>
      <c r="AW18" s="36"/>
      <c r="AX18" s="36"/>
    </row>
    <row r="19" ht="20.25" customHeight="1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5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4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2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9"/>
      <c r="AX19" s="39"/>
    </row>
    <row r="20" ht="20.25" customHeight="1">
      <c r="A20" s="1"/>
      <c r="B20" s="38"/>
      <c r="C20" s="40" t="s">
        <v>21</v>
      </c>
      <c r="D20" s="41"/>
      <c r="E20" s="41"/>
      <c r="F20" s="41"/>
      <c r="G20" s="41"/>
      <c r="H20" s="41"/>
      <c r="I20" s="41"/>
      <c r="J20" s="41"/>
      <c r="K20" s="41"/>
      <c r="L20" s="23"/>
      <c r="M20" s="5"/>
      <c r="N20" s="38"/>
      <c r="O20" s="40" t="s">
        <v>21</v>
      </c>
      <c r="P20" s="41"/>
      <c r="Q20" s="41"/>
      <c r="R20" s="41"/>
      <c r="S20" s="41"/>
      <c r="T20" s="41"/>
      <c r="U20" s="41"/>
      <c r="V20" s="41"/>
      <c r="W20" s="41"/>
      <c r="X20" s="23"/>
      <c r="Y20" s="4"/>
      <c r="Z20" s="38"/>
      <c r="AA20" s="40" t="s">
        <v>21</v>
      </c>
      <c r="AB20" s="41"/>
      <c r="AC20" s="41"/>
      <c r="AD20" s="41"/>
      <c r="AE20" s="41"/>
      <c r="AF20" s="41"/>
      <c r="AG20" s="41"/>
      <c r="AH20" s="41"/>
      <c r="AI20" s="41"/>
      <c r="AJ20" s="23"/>
      <c r="AK20" s="2"/>
      <c r="AL20" s="38"/>
      <c r="AM20" s="40" t="s">
        <v>21</v>
      </c>
      <c r="AN20" s="41"/>
      <c r="AO20" s="41"/>
      <c r="AP20" s="41"/>
      <c r="AQ20" s="41"/>
      <c r="AR20" s="41"/>
      <c r="AS20" s="41"/>
      <c r="AT20" s="41"/>
      <c r="AU20" s="41"/>
      <c r="AV20" s="23"/>
      <c r="AW20" s="42"/>
      <c r="AX20" s="42"/>
    </row>
    <row r="21" ht="20.25" customHeight="1">
      <c r="A21" s="1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5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4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2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9"/>
      <c r="AX21" s="39"/>
    </row>
    <row r="22" ht="20.25" customHeight="1">
      <c r="A22" s="1"/>
      <c r="B22" s="39"/>
      <c r="C22" s="43" t="s">
        <v>22</v>
      </c>
      <c r="D22" s="26"/>
      <c r="E22" s="26"/>
      <c r="F22" s="26"/>
      <c r="G22" s="26"/>
      <c r="H22" s="26"/>
      <c r="I22" s="26"/>
      <c r="J22" s="26"/>
      <c r="K22" s="26"/>
      <c r="L22" s="26"/>
      <c r="M22" s="5"/>
      <c r="N22" s="39"/>
      <c r="O22" s="43" t="s">
        <v>22</v>
      </c>
      <c r="P22" s="26"/>
      <c r="Q22" s="26"/>
      <c r="R22" s="26"/>
      <c r="S22" s="26"/>
      <c r="T22" s="26"/>
      <c r="U22" s="26"/>
      <c r="V22" s="26"/>
      <c r="W22" s="26"/>
      <c r="X22" s="26"/>
      <c r="Y22" s="24"/>
      <c r="Z22" s="39"/>
      <c r="AA22" s="43" t="s">
        <v>22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3"/>
      <c r="AL22" s="39"/>
      <c r="AM22" s="43" t="s">
        <v>22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</row>
    <row r="23">
      <c r="A23" s="1"/>
      <c r="B23" s="43" t="s">
        <v>23</v>
      </c>
      <c r="C23" s="44" t="s">
        <v>6</v>
      </c>
      <c r="D23" s="21" t="s">
        <v>7</v>
      </c>
      <c r="E23" s="21" t="s">
        <v>8</v>
      </c>
      <c r="F23" s="20" t="s">
        <v>9</v>
      </c>
      <c r="G23" s="21" t="s">
        <v>10</v>
      </c>
      <c r="H23" s="21" t="s">
        <v>11</v>
      </c>
      <c r="I23" s="22" t="s">
        <v>12</v>
      </c>
      <c r="J23" s="23"/>
      <c r="K23" s="22" t="s">
        <v>13</v>
      </c>
      <c r="L23" s="23"/>
      <c r="M23" s="33"/>
      <c r="N23" s="43" t="s">
        <v>23</v>
      </c>
      <c r="O23" s="44" t="s">
        <v>6</v>
      </c>
      <c r="P23" s="21" t="s">
        <v>7</v>
      </c>
      <c r="Q23" s="21" t="s">
        <v>8</v>
      </c>
      <c r="R23" s="20" t="s">
        <v>9</v>
      </c>
      <c r="S23" s="21" t="s">
        <v>10</v>
      </c>
      <c r="T23" s="21" t="s">
        <v>11</v>
      </c>
      <c r="U23" s="22" t="s">
        <v>12</v>
      </c>
      <c r="V23" s="23"/>
      <c r="W23" s="22" t="s">
        <v>13</v>
      </c>
      <c r="X23" s="23"/>
      <c r="Y23" s="24"/>
      <c r="Z23" s="43" t="s">
        <v>23</v>
      </c>
      <c r="AA23" s="44" t="s">
        <v>6</v>
      </c>
      <c r="AB23" s="21" t="s">
        <v>7</v>
      </c>
      <c r="AC23" s="21" t="s">
        <v>8</v>
      </c>
      <c r="AD23" s="20" t="s">
        <v>9</v>
      </c>
      <c r="AE23" s="21" t="s">
        <v>10</v>
      </c>
      <c r="AF23" s="21" t="s">
        <v>11</v>
      </c>
      <c r="AG23" s="22" t="s">
        <v>12</v>
      </c>
      <c r="AH23" s="23"/>
      <c r="AI23" s="22" t="s">
        <v>13</v>
      </c>
      <c r="AJ23" s="23"/>
      <c r="AK23" s="35"/>
      <c r="AL23" s="43" t="s">
        <v>23</v>
      </c>
      <c r="AM23" s="44" t="s">
        <v>6</v>
      </c>
      <c r="AN23" s="21" t="s">
        <v>7</v>
      </c>
      <c r="AO23" s="21" t="s">
        <v>8</v>
      </c>
      <c r="AP23" s="20" t="s">
        <v>9</v>
      </c>
      <c r="AQ23" s="21" t="s">
        <v>10</v>
      </c>
      <c r="AR23" s="21" t="s">
        <v>11</v>
      </c>
      <c r="AS23" s="22" t="s">
        <v>12</v>
      </c>
      <c r="AT23" s="23"/>
      <c r="AU23" s="22" t="s">
        <v>13</v>
      </c>
      <c r="AV23" s="23"/>
      <c r="AW23" s="25"/>
      <c r="AX23" s="25"/>
    </row>
    <row r="24" ht="20.25" customHeight="1">
      <c r="A24" s="4"/>
      <c r="B24" s="26"/>
      <c r="C24" s="27" t="s">
        <v>24</v>
      </c>
      <c r="D24" s="28">
        <v>1.0</v>
      </c>
      <c r="E24" s="29">
        <v>3.0</v>
      </c>
      <c r="F24" s="29">
        <v>5.0</v>
      </c>
      <c r="G24" s="31"/>
      <c r="H24" s="45"/>
      <c r="I24" s="32"/>
      <c r="J24" s="23"/>
      <c r="K24" s="32"/>
      <c r="L24" s="23"/>
      <c r="M24" s="17"/>
      <c r="N24" s="26"/>
      <c r="O24" s="27" t="s">
        <v>24</v>
      </c>
      <c r="P24" s="28">
        <v>1.0</v>
      </c>
      <c r="Q24" s="29">
        <v>3.0</v>
      </c>
      <c r="R24" s="34">
        <v>6.0</v>
      </c>
      <c r="S24" s="31"/>
      <c r="T24" s="45"/>
      <c r="U24" s="32"/>
      <c r="V24" s="23"/>
      <c r="W24" s="32"/>
      <c r="X24" s="23"/>
      <c r="Y24" s="1"/>
      <c r="Z24" s="26"/>
      <c r="AA24" s="27" t="s">
        <v>24</v>
      </c>
      <c r="AB24" s="28">
        <v>1.0</v>
      </c>
      <c r="AC24" s="29">
        <v>3.0</v>
      </c>
      <c r="AD24" s="34">
        <v>7.0</v>
      </c>
      <c r="AE24" s="31"/>
      <c r="AF24" s="45"/>
      <c r="AG24" s="32"/>
      <c r="AH24" s="23"/>
      <c r="AI24" s="32"/>
      <c r="AJ24" s="23"/>
      <c r="AK24" s="35"/>
      <c r="AL24" s="26"/>
      <c r="AM24" s="27" t="s">
        <v>24</v>
      </c>
      <c r="AN24" s="28">
        <v>1.0</v>
      </c>
      <c r="AO24" s="29">
        <v>3.0</v>
      </c>
      <c r="AP24" s="29">
        <v>8.0</v>
      </c>
      <c r="AQ24" s="31"/>
      <c r="AR24" s="45"/>
      <c r="AS24" s="32"/>
      <c r="AT24" s="23"/>
      <c r="AU24" s="32"/>
      <c r="AV24" s="23"/>
      <c r="AW24" s="36"/>
      <c r="AX24" s="36"/>
    </row>
    <row r="25" ht="20.25" customHeight="1">
      <c r="A25" s="1"/>
      <c r="B25" s="26"/>
      <c r="C25" s="27" t="s">
        <v>24</v>
      </c>
      <c r="D25" s="28">
        <v>3.0</v>
      </c>
      <c r="E25" s="29">
        <v>5.0</v>
      </c>
      <c r="F25" s="37">
        <v>-0.1</v>
      </c>
      <c r="G25" s="31"/>
      <c r="H25" s="31"/>
      <c r="I25" s="32"/>
      <c r="J25" s="23"/>
      <c r="K25" s="32"/>
      <c r="L25" s="23"/>
      <c r="M25" s="33"/>
      <c r="N25" s="26"/>
      <c r="O25" s="27" t="s">
        <v>24</v>
      </c>
      <c r="P25" s="28">
        <v>3.0</v>
      </c>
      <c r="Q25" s="29">
        <v>5.0</v>
      </c>
      <c r="R25" s="37">
        <v>-0.1</v>
      </c>
      <c r="S25" s="31"/>
      <c r="T25" s="31"/>
      <c r="U25" s="32"/>
      <c r="V25" s="23"/>
      <c r="W25" s="32"/>
      <c r="X25" s="23"/>
      <c r="Y25" s="24"/>
      <c r="Z25" s="26"/>
      <c r="AA25" s="27" t="s">
        <v>24</v>
      </c>
      <c r="AB25" s="28">
        <v>3.0</v>
      </c>
      <c r="AC25" s="29">
        <v>5.0</v>
      </c>
      <c r="AD25" s="37">
        <v>-0.1</v>
      </c>
      <c r="AE25" s="31"/>
      <c r="AF25" s="31"/>
      <c r="AG25" s="32"/>
      <c r="AH25" s="23"/>
      <c r="AI25" s="32"/>
      <c r="AJ25" s="23"/>
      <c r="AK25" s="35"/>
      <c r="AL25" s="26"/>
      <c r="AM25" s="27" t="s">
        <v>24</v>
      </c>
      <c r="AN25" s="28">
        <v>3.0</v>
      </c>
      <c r="AO25" s="29">
        <v>5.0</v>
      </c>
      <c r="AP25" s="37">
        <v>-0.1</v>
      </c>
      <c r="AQ25" s="31"/>
      <c r="AR25" s="31"/>
      <c r="AS25" s="32"/>
      <c r="AT25" s="23"/>
      <c r="AU25" s="32"/>
      <c r="AV25" s="23"/>
      <c r="AW25" s="36"/>
      <c r="AX25" s="36"/>
    </row>
    <row r="26" ht="20.25" customHeight="1">
      <c r="A26" s="1"/>
      <c r="C26" s="27" t="s">
        <v>25</v>
      </c>
      <c r="D26" s="28">
        <v>3.0</v>
      </c>
      <c r="E26" s="29" t="s">
        <v>16</v>
      </c>
      <c r="F26" s="29">
        <v>8.0</v>
      </c>
      <c r="G26" s="31"/>
      <c r="H26" s="31"/>
      <c r="I26" s="32"/>
      <c r="J26" s="23"/>
      <c r="K26" s="32"/>
      <c r="L26" s="23"/>
      <c r="M26" s="33"/>
      <c r="N26" s="26"/>
      <c r="O26" s="27" t="s">
        <v>25</v>
      </c>
      <c r="P26" s="28">
        <v>3.0</v>
      </c>
      <c r="Q26" s="29" t="s">
        <v>16</v>
      </c>
      <c r="R26" s="29">
        <v>8.0</v>
      </c>
      <c r="S26" s="31"/>
      <c r="T26" s="31"/>
      <c r="U26" s="32"/>
      <c r="V26" s="23"/>
      <c r="W26" s="32"/>
      <c r="X26" s="23"/>
      <c r="Y26" s="24"/>
      <c r="Z26" s="26"/>
      <c r="AA26" s="27" t="s">
        <v>25</v>
      </c>
      <c r="AB26" s="28">
        <v>3.0</v>
      </c>
      <c r="AC26" s="29" t="s">
        <v>16</v>
      </c>
      <c r="AD26" s="29">
        <v>8.0</v>
      </c>
      <c r="AE26" s="31"/>
      <c r="AF26" s="31"/>
      <c r="AG26" s="32"/>
      <c r="AH26" s="23"/>
      <c r="AI26" s="32"/>
      <c r="AJ26" s="23"/>
      <c r="AK26" s="35"/>
      <c r="AL26" s="26"/>
      <c r="AM26" s="27" t="s">
        <v>25</v>
      </c>
      <c r="AN26" s="28">
        <v>3.0</v>
      </c>
      <c r="AO26" s="29" t="s">
        <v>16</v>
      </c>
      <c r="AP26" s="29">
        <v>8.0</v>
      </c>
      <c r="AQ26" s="31"/>
      <c r="AR26" s="31"/>
      <c r="AS26" s="32"/>
      <c r="AT26" s="23"/>
      <c r="AU26" s="32"/>
      <c r="AV26" s="23"/>
      <c r="AW26" s="36"/>
      <c r="AX26" s="36"/>
    </row>
    <row r="27" ht="20.25" customHeight="1">
      <c r="A27" s="1"/>
      <c r="B27" s="26"/>
      <c r="C27" s="27" t="s">
        <v>26</v>
      </c>
      <c r="D27" s="28">
        <v>3.0</v>
      </c>
      <c r="E27" s="29" t="s">
        <v>16</v>
      </c>
      <c r="F27" s="29">
        <v>8.0</v>
      </c>
      <c r="G27" s="31"/>
      <c r="H27" s="31"/>
      <c r="I27" s="32"/>
      <c r="J27" s="23"/>
      <c r="K27" s="32"/>
      <c r="L27" s="23"/>
      <c r="M27" s="33"/>
      <c r="N27" s="26"/>
      <c r="O27" s="27" t="s">
        <v>26</v>
      </c>
      <c r="P27" s="28">
        <v>3.0</v>
      </c>
      <c r="Q27" s="29" t="s">
        <v>16</v>
      </c>
      <c r="R27" s="29">
        <v>8.0</v>
      </c>
      <c r="S27" s="31"/>
      <c r="T27" s="31"/>
      <c r="U27" s="32"/>
      <c r="V27" s="23"/>
      <c r="W27" s="32"/>
      <c r="X27" s="23"/>
      <c r="Y27" s="24"/>
      <c r="Z27" s="26"/>
      <c r="AA27" s="27" t="s">
        <v>26</v>
      </c>
      <c r="AB27" s="28">
        <v>3.0</v>
      </c>
      <c r="AC27" s="29" t="s">
        <v>16</v>
      </c>
      <c r="AD27" s="29">
        <v>8.0</v>
      </c>
      <c r="AE27" s="31"/>
      <c r="AF27" s="31"/>
      <c r="AG27" s="32"/>
      <c r="AH27" s="23"/>
      <c r="AI27" s="32"/>
      <c r="AJ27" s="23"/>
      <c r="AK27" s="35"/>
      <c r="AL27" s="26"/>
      <c r="AM27" s="27" t="s">
        <v>26</v>
      </c>
      <c r="AN27" s="28">
        <v>3.0</v>
      </c>
      <c r="AO27" s="29" t="s">
        <v>16</v>
      </c>
      <c r="AP27" s="29">
        <v>8.0</v>
      </c>
      <c r="AQ27" s="31"/>
      <c r="AR27" s="31"/>
      <c r="AS27" s="32"/>
      <c r="AT27" s="23"/>
      <c r="AU27" s="32"/>
      <c r="AV27" s="23"/>
      <c r="AW27" s="36"/>
      <c r="AX27" s="36"/>
    </row>
    <row r="28" ht="20.25" customHeight="1">
      <c r="A28" s="1"/>
      <c r="B28" s="26"/>
      <c r="C28" s="27" t="s">
        <v>27</v>
      </c>
      <c r="D28" s="28">
        <v>3.0</v>
      </c>
      <c r="E28" s="29" t="s">
        <v>16</v>
      </c>
      <c r="F28" s="29">
        <v>8.0</v>
      </c>
      <c r="G28" s="31"/>
      <c r="H28" s="31"/>
      <c r="I28" s="32"/>
      <c r="J28" s="23"/>
      <c r="K28" s="32"/>
      <c r="L28" s="23"/>
      <c r="M28" s="33"/>
      <c r="N28" s="26"/>
      <c r="O28" s="27" t="s">
        <v>27</v>
      </c>
      <c r="P28" s="28">
        <v>3.0</v>
      </c>
      <c r="Q28" s="29" t="s">
        <v>16</v>
      </c>
      <c r="R28" s="29">
        <v>8.0</v>
      </c>
      <c r="S28" s="31"/>
      <c r="T28" s="31"/>
      <c r="U28" s="32"/>
      <c r="V28" s="23"/>
      <c r="W28" s="32"/>
      <c r="X28" s="23"/>
      <c r="Y28" s="24"/>
      <c r="Z28" s="26"/>
      <c r="AA28" s="27" t="s">
        <v>27</v>
      </c>
      <c r="AB28" s="28">
        <v>3.0</v>
      </c>
      <c r="AC28" s="29" t="s">
        <v>16</v>
      </c>
      <c r="AD28" s="29">
        <v>8.0</v>
      </c>
      <c r="AE28" s="31"/>
      <c r="AF28" s="31"/>
      <c r="AG28" s="32"/>
      <c r="AH28" s="23"/>
      <c r="AI28" s="32"/>
      <c r="AJ28" s="23"/>
      <c r="AK28" s="35"/>
      <c r="AL28" s="26"/>
      <c r="AM28" s="27" t="s">
        <v>27</v>
      </c>
      <c r="AN28" s="28">
        <v>3.0</v>
      </c>
      <c r="AO28" s="29" t="s">
        <v>16</v>
      </c>
      <c r="AP28" s="29">
        <v>8.0</v>
      </c>
      <c r="AQ28" s="31"/>
      <c r="AR28" s="31"/>
      <c r="AS28" s="32"/>
      <c r="AT28" s="23"/>
      <c r="AU28" s="32"/>
      <c r="AV28" s="23"/>
      <c r="AW28" s="36"/>
      <c r="AX28" s="36"/>
    </row>
    <row r="29" ht="20.25" customHeight="1">
      <c r="A29" s="1"/>
      <c r="B29" s="38"/>
      <c r="C29" s="27" t="s">
        <v>28</v>
      </c>
      <c r="D29" s="46">
        <v>3.0</v>
      </c>
      <c r="E29" s="46" t="s">
        <v>16</v>
      </c>
      <c r="F29" s="47">
        <v>8.0</v>
      </c>
      <c r="G29" s="48"/>
      <c r="H29" s="48"/>
      <c r="I29" s="49"/>
      <c r="J29" s="10"/>
      <c r="K29" s="49"/>
      <c r="L29" s="10"/>
      <c r="M29" s="17"/>
      <c r="N29" s="38"/>
      <c r="O29" s="27" t="s">
        <v>28</v>
      </c>
      <c r="P29" s="46">
        <v>3.0</v>
      </c>
      <c r="Q29" s="46" t="s">
        <v>16</v>
      </c>
      <c r="R29" s="47">
        <v>8.0</v>
      </c>
      <c r="S29" s="48"/>
      <c r="T29" s="48"/>
      <c r="U29" s="49"/>
      <c r="V29" s="10"/>
      <c r="W29" s="49"/>
      <c r="X29" s="10"/>
      <c r="Y29" s="50"/>
      <c r="Z29" s="38"/>
      <c r="AA29" s="27" t="s">
        <v>28</v>
      </c>
      <c r="AB29" s="46">
        <v>3.0</v>
      </c>
      <c r="AC29" s="46" t="s">
        <v>16</v>
      </c>
      <c r="AD29" s="47">
        <v>8.0</v>
      </c>
      <c r="AE29" s="48"/>
      <c r="AF29" s="48"/>
      <c r="AG29" s="49"/>
      <c r="AH29" s="10"/>
      <c r="AI29" s="49"/>
      <c r="AJ29" s="10"/>
      <c r="AK29" s="51"/>
      <c r="AL29" s="38"/>
      <c r="AM29" s="27" t="s">
        <v>28</v>
      </c>
      <c r="AN29" s="46">
        <v>3.0</v>
      </c>
      <c r="AO29" s="46" t="s">
        <v>16</v>
      </c>
      <c r="AP29" s="47">
        <v>8.0</v>
      </c>
      <c r="AQ29" s="48"/>
      <c r="AR29" s="48"/>
      <c r="AS29" s="49"/>
      <c r="AT29" s="10"/>
      <c r="AU29" s="49"/>
      <c r="AV29" s="10"/>
      <c r="AW29" s="36"/>
      <c r="AX29" s="36"/>
    </row>
    <row r="30" ht="20.25" customHeight="1">
      <c r="A30" s="1"/>
      <c r="B30" s="26"/>
      <c r="C30" s="27" t="s">
        <v>29</v>
      </c>
      <c r="D30" s="29">
        <v>3.0</v>
      </c>
      <c r="E30" s="29" t="s">
        <v>30</v>
      </c>
      <c r="F30" s="29">
        <v>8.0</v>
      </c>
      <c r="G30" s="31"/>
      <c r="H30" s="31"/>
      <c r="I30" s="52" t="s">
        <v>31</v>
      </c>
      <c r="J30" s="23"/>
      <c r="K30" s="32"/>
      <c r="L30" s="23"/>
      <c r="M30" s="17"/>
      <c r="N30" s="26"/>
      <c r="O30" s="27" t="s">
        <v>29</v>
      </c>
      <c r="P30" s="29">
        <v>3.0</v>
      </c>
      <c r="Q30" s="29" t="s">
        <v>30</v>
      </c>
      <c r="R30" s="29">
        <v>8.0</v>
      </c>
      <c r="S30" s="31"/>
      <c r="T30" s="31"/>
      <c r="U30" s="52" t="s">
        <v>31</v>
      </c>
      <c r="V30" s="23"/>
      <c r="W30" s="32"/>
      <c r="X30" s="23"/>
      <c r="Y30" s="50"/>
      <c r="Z30" s="26"/>
      <c r="AA30" s="27" t="s">
        <v>29</v>
      </c>
      <c r="AB30" s="29">
        <v>3.0</v>
      </c>
      <c r="AC30" s="29" t="s">
        <v>30</v>
      </c>
      <c r="AD30" s="29">
        <v>8.0</v>
      </c>
      <c r="AE30" s="31"/>
      <c r="AF30" s="31"/>
      <c r="AG30" s="52" t="s">
        <v>31</v>
      </c>
      <c r="AH30" s="23"/>
      <c r="AI30" s="32"/>
      <c r="AJ30" s="23"/>
      <c r="AK30" s="51"/>
      <c r="AL30" s="26"/>
      <c r="AM30" s="27" t="s">
        <v>29</v>
      </c>
      <c r="AN30" s="29">
        <v>3.0</v>
      </c>
      <c r="AO30" s="29" t="s">
        <v>30</v>
      </c>
      <c r="AP30" s="29">
        <v>8.0</v>
      </c>
      <c r="AQ30" s="31"/>
      <c r="AR30" s="31"/>
      <c r="AS30" s="52" t="s">
        <v>31</v>
      </c>
      <c r="AT30" s="23"/>
      <c r="AU30" s="32"/>
      <c r="AV30" s="23"/>
      <c r="AW30" s="36"/>
      <c r="AX30" s="36"/>
    </row>
    <row r="31" ht="20.25" customHeight="1">
      <c r="A31" s="1"/>
      <c r="B31" s="26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5"/>
      <c r="N31" s="26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2"/>
      <c r="Z31" s="26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2"/>
      <c r="AL31" s="26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9"/>
      <c r="AX31" s="39"/>
    </row>
    <row r="32" ht="20.25" customHeight="1">
      <c r="A32" s="1"/>
      <c r="B32" s="26"/>
      <c r="C32" s="40" t="s">
        <v>21</v>
      </c>
      <c r="D32" s="41"/>
      <c r="E32" s="41"/>
      <c r="F32" s="41"/>
      <c r="G32" s="41"/>
      <c r="H32" s="41"/>
      <c r="I32" s="41"/>
      <c r="J32" s="41"/>
      <c r="K32" s="41"/>
      <c r="L32" s="23"/>
      <c r="M32" s="5"/>
      <c r="N32" s="26"/>
      <c r="O32" s="40" t="s">
        <v>21</v>
      </c>
      <c r="P32" s="41"/>
      <c r="Q32" s="41"/>
      <c r="R32" s="41"/>
      <c r="S32" s="41"/>
      <c r="T32" s="41"/>
      <c r="U32" s="41"/>
      <c r="V32" s="41"/>
      <c r="W32" s="41"/>
      <c r="X32" s="23"/>
      <c r="Y32" s="53"/>
      <c r="Z32" s="26"/>
      <c r="AA32" s="40" t="s">
        <v>21</v>
      </c>
      <c r="AB32" s="41"/>
      <c r="AC32" s="41"/>
      <c r="AD32" s="41"/>
      <c r="AE32" s="41"/>
      <c r="AF32" s="41"/>
      <c r="AG32" s="41"/>
      <c r="AH32" s="41"/>
      <c r="AI32" s="41"/>
      <c r="AJ32" s="23"/>
      <c r="AK32" s="3"/>
      <c r="AL32" s="26"/>
      <c r="AM32" s="40" t="s">
        <v>21</v>
      </c>
      <c r="AN32" s="41"/>
      <c r="AO32" s="41"/>
      <c r="AP32" s="41"/>
      <c r="AQ32" s="41"/>
      <c r="AR32" s="41"/>
      <c r="AS32" s="41"/>
      <c r="AT32" s="41"/>
      <c r="AU32" s="41"/>
      <c r="AV32" s="23"/>
      <c r="AW32" s="42"/>
      <c r="AX32" s="42"/>
    </row>
    <row r="33" ht="27.0" customHeight="1">
      <c r="A33" s="4"/>
      <c r="B33" s="26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3"/>
      <c r="N33" s="26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54"/>
      <c r="Z33" s="26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5"/>
      <c r="AL33" s="26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9"/>
      <c r="AX33" s="39"/>
    </row>
    <row r="34">
      <c r="A34" s="1"/>
      <c r="B34" s="38"/>
      <c r="C34" s="43" t="s">
        <v>32</v>
      </c>
      <c r="D34" s="26"/>
      <c r="E34" s="26"/>
      <c r="F34" s="26"/>
      <c r="G34" s="26"/>
      <c r="H34" s="26"/>
      <c r="I34" s="26"/>
      <c r="J34" s="26"/>
      <c r="K34" s="26"/>
      <c r="L34" s="26"/>
      <c r="M34" s="33"/>
      <c r="N34" s="38"/>
      <c r="O34" s="43" t="s">
        <v>32</v>
      </c>
      <c r="P34" s="26"/>
      <c r="Q34" s="26"/>
      <c r="R34" s="26"/>
      <c r="S34" s="26"/>
      <c r="T34" s="26"/>
      <c r="U34" s="26"/>
      <c r="V34" s="26"/>
      <c r="W34" s="26"/>
      <c r="X34" s="26"/>
      <c r="Y34" s="54"/>
      <c r="Z34" s="38"/>
      <c r="AA34" s="43" t="s">
        <v>32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35"/>
      <c r="AL34" s="38"/>
      <c r="AM34" s="43" t="s">
        <v>32</v>
      </c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</row>
    <row r="35" ht="20.25" customHeight="1">
      <c r="A35" s="7"/>
      <c r="B35" s="55" t="s">
        <v>33</v>
      </c>
      <c r="C35" s="21" t="s">
        <v>6</v>
      </c>
      <c r="D35" s="21" t="s">
        <v>7</v>
      </c>
      <c r="E35" s="21" t="s">
        <v>8</v>
      </c>
      <c r="F35" s="20" t="s">
        <v>9</v>
      </c>
      <c r="G35" s="21" t="s">
        <v>10</v>
      </c>
      <c r="H35" s="21" t="s">
        <v>11</v>
      </c>
      <c r="I35" s="22" t="s">
        <v>12</v>
      </c>
      <c r="J35" s="23"/>
      <c r="K35" s="22" t="s">
        <v>13</v>
      </c>
      <c r="L35" s="23"/>
      <c r="M35" s="5"/>
      <c r="N35" s="55" t="s">
        <v>33</v>
      </c>
      <c r="O35" s="21" t="s">
        <v>6</v>
      </c>
      <c r="P35" s="21" t="s">
        <v>7</v>
      </c>
      <c r="Q35" s="21" t="s">
        <v>8</v>
      </c>
      <c r="R35" s="20" t="s">
        <v>9</v>
      </c>
      <c r="S35" s="21" t="s">
        <v>10</v>
      </c>
      <c r="T35" s="21" t="s">
        <v>11</v>
      </c>
      <c r="U35" s="22" t="s">
        <v>12</v>
      </c>
      <c r="V35" s="23"/>
      <c r="W35" s="22" t="s">
        <v>13</v>
      </c>
      <c r="X35" s="23"/>
      <c r="Y35" s="54"/>
      <c r="Z35" s="55" t="s">
        <v>33</v>
      </c>
      <c r="AA35" s="21" t="s">
        <v>6</v>
      </c>
      <c r="AB35" s="21" t="s">
        <v>7</v>
      </c>
      <c r="AC35" s="21" t="s">
        <v>8</v>
      </c>
      <c r="AD35" s="20" t="s">
        <v>9</v>
      </c>
      <c r="AE35" s="21" t="s">
        <v>10</v>
      </c>
      <c r="AF35" s="21" t="s">
        <v>11</v>
      </c>
      <c r="AG35" s="22" t="s">
        <v>12</v>
      </c>
      <c r="AH35" s="23"/>
      <c r="AI35" s="22" t="s">
        <v>13</v>
      </c>
      <c r="AJ35" s="23"/>
      <c r="AK35" s="56"/>
      <c r="AL35" s="55" t="s">
        <v>33</v>
      </c>
      <c r="AM35" s="21" t="s">
        <v>6</v>
      </c>
      <c r="AN35" s="21" t="s">
        <v>7</v>
      </c>
      <c r="AO35" s="21" t="s">
        <v>8</v>
      </c>
      <c r="AP35" s="20" t="s">
        <v>9</v>
      </c>
      <c r="AQ35" s="21" t="s">
        <v>10</v>
      </c>
      <c r="AR35" s="21" t="s">
        <v>11</v>
      </c>
      <c r="AS35" s="22" t="s">
        <v>12</v>
      </c>
      <c r="AT35" s="23"/>
      <c r="AU35" s="22" t="s">
        <v>13</v>
      </c>
      <c r="AV35" s="23"/>
      <c r="AW35" s="25"/>
      <c r="AX35" s="25"/>
    </row>
    <row r="36" ht="20.25" customHeight="1">
      <c r="A36" s="57"/>
      <c r="B36" s="26"/>
      <c r="C36" s="27" t="s">
        <v>34</v>
      </c>
      <c r="D36" s="29">
        <v>1.0</v>
      </c>
      <c r="E36" s="29">
        <v>3.0</v>
      </c>
      <c r="F36" s="29">
        <v>5.0</v>
      </c>
      <c r="G36" s="31"/>
      <c r="H36" s="31"/>
      <c r="I36" s="32"/>
      <c r="J36" s="23"/>
      <c r="K36" s="32"/>
      <c r="L36" s="23"/>
      <c r="M36" s="5"/>
      <c r="N36" s="26"/>
      <c r="O36" s="27" t="s">
        <v>34</v>
      </c>
      <c r="P36" s="29">
        <v>1.0</v>
      </c>
      <c r="Q36" s="29">
        <v>3.0</v>
      </c>
      <c r="R36" s="34">
        <v>6.0</v>
      </c>
      <c r="S36" s="31"/>
      <c r="T36" s="31"/>
      <c r="U36" s="32"/>
      <c r="V36" s="23"/>
      <c r="W36" s="32"/>
      <c r="X36" s="23"/>
      <c r="Y36" s="24"/>
      <c r="Z36" s="26"/>
      <c r="AA36" s="27" t="s">
        <v>34</v>
      </c>
      <c r="AB36" s="29">
        <v>1.0</v>
      </c>
      <c r="AC36" s="29">
        <v>3.0</v>
      </c>
      <c r="AD36" s="34">
        <v>7.0</v>
      </c>
      <c r="AE36" s="31"/>
      <c r="AF36" s="31"/>
      <c r="AG36" s="32"/>
      <c r="AH36" s="23"/>
      <c r="AI36" s="32"/>
      <c r="AJ36" s="23"/>
      <c r="AK36" s="58"/>
      <c r="AL36" s="26"/>
      <c r="AM36" s="27" t="s">
        <v>34</v>
      </c>
      <c r="AN36" s="29">
        <v>1.0</v>
      </c>
      <c r="AO36" s="29">
        <v>3.0</v>
      </c>
      <c r="AP36" s="29">
        <v>8.0</v>
      </c>
      <c r="AQ36" s="31"/>
      <c r="AR36" s="31"/>
      <c r="AS36" s="32"/>
      <c r="AT36" s="23"/>
      <c r="AU36" s="32"/>
      <c r="AV36" s="23"/>
      <c r="AW36" s="36"/>
      <c r="AX36" s="36"/>
    </row>
    <row r="37" ht="20.25" customHeight="1">
      <c r="A37" s="4"/>
      <c r="B37" s="26"/>
      <c r="C37" s="27" t="s">
        <v>34</v>
      </c>
      <c r="D37" s="28">
        <v>3.0</v>
      </c>
      <c r="E37" s="29">
        <v>5.0</v>
      </c>
      <c r="F37" s="37">
        <v>-0.1</v>
      </c>
      <c r="G37" s="31"/>
      <c r="H37" s="31"/>
      <c r="I37" s="32"/>
      <c r="J37" s="23"/>
      <c r="K37" s="32"/>
      <c r="L37" s="23"/>
      <c r="M37" s="33"/>
      <c r="N37" s="26"/>
      <c r="O37" s="27" t="s">
        <v>34</v>
      </c>
      <c r="P37" s="28">
        <v>3.0</v>
      </c>
      <c r="Q37" s="29">
        <v>5.0</v>
      </c>
      <c r="R37" s="37">
        <v>-0.1</v>
      </c>
      <c r="S37" s="31"/>
      <c r="T37" s="31"/>
      <c r="U37" s="32"/>
      <c r="V37" s="23"/>
      <c r="W37" s="32"/>
      <c r="X37" s="23"/>
      <c r="Y37" s="54"/>
      <c r="Z37" s="26"/>
      <c r="AA37" s="27" t="s">
        <v>34</v>
      </c>
      <c r="AB37" s="28">
        <v>3.0</v>
      </c>
      <c r="AC37" s="29">
        <v>5.0</v>
      </c>
      <c r="AD37" s="37">
        <v>-0.1</v>
      </c>
      <c r="AE37" s="31"/>
      <c r="AF37" s="31"/>
      <c r="AG37" s="32"/>
      <c r="AH37" s="23"/>
      <c r="AI37" s="32"/>
      <c r="AJ37" s="23"/>
      <c r="AK37" s="35"/>
      <c r="AL37" s="26"/>
      <c r="AM37" s="27" t="s">
        <v>34</v>
      </c>
      <c r="AN37" s="28">
        <v>3.0</v>
      </c>
      <c r="AO37" s="29">
        <v>5.0</v>
      </c>
      <c r="AP37" s="37">
        <v>-0.1</v>
      </c>
      <c r="AQ37" s="31"/>
      <c r="AR37" s="31"/>
      <c r="AS37" s="32"/>
      <c r="AT37" s="23"/>
      <c r="AU37" s="32"/>
      <c r="AV37" s="23"/>
      <c r="AW37" s="36"/>
      <c r="AX37" s="36"/>
    </row>
    <row r="38" ht="20.25" customHeight="1">
      <c r="A38" s="1"/>
      <c r="B38" s="26"/>
      <c r="C38" s="27" t="s">
        <v>35</v>
      </c>
      <c r="D38" s="29">
        <v>3.0</v>
      </c>
      <c r="E38" s="28" t="s">
        <v>16</v>
      </c>
      <c r="F38" s="29">
        <v>8.0</v>
      </c>
      <c r="G38" s="31"/>
      <c r="H38" s="32"/>
      <c r="I38" s="32"/>
      <c r="J38" s="23"/>
      <c r="K38" s="32"/>
      <c r="L38" s="23"/>
      <c r="M38" s="33"/>
      <c r="N38" s="26"/>
      <c r="O38" s="27" t="s">
        <v>35</v>
      </c>
      <c r="P38" s="29">
        <v>3.0</v>
      </c>
      <c r="Q38" s="28" t="s">
        <v>16</v>
      </c>
      <c r="R38" s="29">
        <v>8.0</v>
      </c>
      <c r="S38" s="31"/>
      <c r="T38" s="32"/>
      <c r="U38" s="32"/>
      <c r="V38" s="23"/>
      <c r="W38" s="32"/>
      <c r="X38" s="23"/>
      <c r="Y38" s="1"/>
      <c r="Z38" s="26"/>
      <c r="AA38" s="27" t="s">
        <v>35</v>
      </c>
      <c r="AB38" s="29">
        <v>3.0</v>
      </c>
      <c r="AC38" s="28" t="s">
        <v>16</v>
      </c>
      <c r="AD38" s="29">
        <v>8.0</v>
      </c>
      <c r="AE38" s="31"/>
      <c r="AF38" s="32"/>
      <c r="AG38" s="32"/>
      <c r="AH38" s="23"/>
      <c r="AI38" s="32"/>
      <c r="AJ38" s="23"/>
      <c r="AK38" s="35"/>
      <c r="AL38" s="26"/>
      <c r="AM38" s="27" t="s">
        <v>35</v>
      </c>
      <c r="AN38" s="29">
        <v>3.0</v>
      </c>
      <c r="AO38" s="28" t="s">
        <v>16</v>
      </c>
      <c r="AP38" s="29">
        <v>8.0</v>
      </c>
      <c r="AQ38" s="31"/>
      <c r="AR38" s="32"/>
      <c r="AS38" s="32"/>
      <c r="AT38" s="23"/>
      <c r="AU38" s="32"/>
      <c r="AV38" s="23"/>
      <c r="AW38" s="36"/>
      <c r="AX38" s="36"/>
    </row>
    <row r="39" ht="20.25" customHeight="1">
      <c r="A39" s="1"/>
      <c r="B39" s="26"/>
      <c r="C39" s="27" t="s">
        <v>36</v>
      </c>
      <c r="D39" s="29">
        <v>3.0</v>
      </c>
      <c r="E39" s="28" t="s">
        <v>16</v>
      </c>
      <c r="F39" s="29">
        <v>8.0</v>
      </c>
      <c r="G39" s="31"/>
      <c r="H39" s="32"/>
      <c r="I39" s="32"/>
      <c r="J39" s="23"/>
      <c r="K39" s="32"/>
      <c r="L39" s="23"/>
      <c r="M39" s="33"/>
      <c r="N39" s="26"/>
      <c r="O39" s="27" t="s">
        <v>36</v>
      </c>
      <c r="P39" s="29">
        <v>3.0</v>
      </c>
      <c r="Q39" s="28" t="s">
        <v>16</v>
      </c>
      <c r="R39" s="29">
        <v>8.0</v>
      </c>
      <c r="S39" s="31"/>
      <c r="T39" s="32"/>
      <c r="U39" s="32"/>
      <c r="V39" s="23"/>
      <c r="W39" s="32"/>
      <c r="X39" s="23"/>
      <c r="Y39" s="1"/>
      <c r="Z39" s="26"/>
      <c r="AA39" s="27" t="s">
        <v>36</v>
      </c>
      <c r="AB39" s="29">
        <v>3.0</v>
      </c>
      <c r="AC39" s="28" t="s">
        <v>16</v>
      </c>
      <c r="AD39" s="29">
        <v>8.0</v>
      </c>
      <c r="AE39" s="31"/>
      <c r="AF39" s="32"/>
      <c r="AG39" s="32"/>
      <c r="AH39" s="23"/>
      <c r="AI39" s="32"/>
      <c r="AJ39" s="23"/>
      <c r="AK39" s="35"/>
      <c r="AL39" s="26"/>
      <c r="AM39" s="27" t="s">
        <v>36</v>
      </c>
      <c r="AN39" s="29">
        <v>3.0</v>
      </c>
      <c r="AO39" s="28" t="s">
        <v>16</v>
      </c>
      <c r="AP39" s="29">
        <v>8.0</v>
      </c>
      <c r="AQ39" s="31"/>
      <c r="AR39" s="32"/>
      <c r="AS39" s="32"/>
      <c r="AT39" s="23"/>
      <c r="AU39" s="32"/>
      <c r="AV39" s="23"/>
      <c r="AW39" s="36"/>
      <c r="AX39" s="36"/>
    </row>
    <row r="40" ht="20.25" customHeight="1">
      <c r="A40" s="1"/>
      <c r="B40" s="26"/>
      <c r="C40" s="27" t="s">
        <v>37</v>
      </c>
      <c r="D40" s="29">
        <v>3.0</v>
      </c>
      <c r="E40" s="28" t="s">
        <v>16</v>
      </c>
      <c r="F40" s="29">
        <v>8.0</v>
      </c>
      <c r="G40" s="31"/>
      <c r="H40" s="32"/>
      <c r="I40" s="32"/>
      <c r="J40" s="23"/>
      <c r="K40" s="32"/>
      <c r="L40" s="23"/>
      <c r="M40" s="5"/>
      <c r="N40" s="26"/>
      <c r="O40" s="27" t="s">
        <v>37</v>
      </c>
      <c r="P40" s="29">
        <v>3.0</v>
      </c>
      <c r="Q40" s="28" t="s">
        <v>16</v>
      </c>
      <c r="R40" s="29">
        <v>8.0</v>
      </c>
      <c r="S40" s="31"/>
      <c r="T40" s="32"/>
      <c r="U40" s="32"/>
      <c r="V40" s="23"/>
      <c r="W40" s="32"/>
      <c r="X40" s="23"/>
      <c r="Y40" s="2"/>
      <c r="Z40" s="26"/>
      <c r="AA40" s="27" t="s">
        <v>37</v>
      </c>
      <c r="AB40" s="29">
        <v>3.0</v>
      </c>
      <c r="AC40" s="28" t="s">
        <v>16</v>
      </c>
      <c r="AD40" s="29">
        <v>8.0</v>
      </c>
      <c r="AE40" s="31"/>
      <c r="AF40" s="32"/>
      <c r="AG40" s="32"/>
      <c r="AH40" s="23"/>
      <c r="AI40" s="32"/>
      <c r="AJ40" s="23"/>
      <c r="AK40" s="2"/>
      <c r="AL40" s="26"/>
      <c r="AM40" s="27" t="s">
        <v>37</v>
      </c>
      <c r="AN40" s="29">
        <v>3.0</v>
      </c>
      <c r="AO40" s="28" t="s">
        <v>16</v>
      </c>
      <c r="AP40" s="29">
        <v>8.0</v>
      </c>
      <c r="AQ40" s="31"/>
      <c r="AR40" s="32"/>
      <c r="AS40" s="32"/>
      <c r="AT40" s="23"/>
      <c r="AU40" s="32"/>
      <c r="AV40" s="23"/>
      <c r="AW40" s="36"/>
      <c r="AX40" s="36"/>
    </row>
    <row r="41" ht="20.25" customHeight="1">
      <c r="A41" s="1"/>
      <c r="B41" s="39"/>
      <c r="C41" s="27" t="s">
        <v>19</v>
      </c>
      <c r="D41" s="59">
        <v>3.0</v>
      </c>
      <c r="E41" s="59" t="s">
        <v>16</v>
      </c>
      <c r="F41" s="29">
        <v>8.0</v>
      </c>
      <c r="G41" s="31"/>
      <c r="H41" s="31"/>
      <c r="I41" s="32"/>
      <c r="J41" s="23"/>
      <c r="K41" s="32"/>
      <c r="L41" s="23"/>
      <c r="M41" s="5"/>
      <c r="N41" s="39"/>
      <c r="O41" s="27" t="s">
        <v>19</v>
      </c>
      <c r="P41" s="59">
        <v>3.0</v>
      </c>
      <c r="Q41" s="59" t="s">
        <v>16</v>
      </c>
      <c r="R41" s="29">
        <v>8.0</v>
      </c>
      <c r="S41" s="31"/>
      <c r="T41" s="31"/>
      <c r="U41" s="32"/>
      <c r="V41" s="23"/>
      <c r="W41" s="32"/>
      <c r="X41" s="23"/>
      <c r="Y41" s="53"/>
      <c r="Z41" s="39"/>
      <c r="AA41" s="27" t="s">
        <v>19</v>
      </c>
      <c r="AB41" s="59">
        <v>3.0</v>
      </c>
      <c r="AC41" s="59" t="s">
        <v>16</v>
      </c>
      <c r="AD41" s="29">
        <v>8.0</v>
      </c>
      <c r="AE41" s="31"/>
      <c r="AF41" s="31"/>
      <c r="AG41" s="32"/>
      <c r="AH41" s="23"/>
      <c r="AI41" s="32"/>
      <c r="AJ41" s="23"/>
      <c r="AK41" s="3"/>
      <c r="AL41" s="39"/>
      <c r="AM41" s="27" t="s">
        <v>19</v>
      </c>
      <c r="AN41" s="59">
        <v>3.0</v>
      </c>
      <c r="AO41" s="59" t="s">
        <v>16</v>
      </c>
      <c r="AP41" s="29">
        <v>8.0</v>
      </c>
      <c r="AQ41" s="31"/>
      <c r="AR41" s="31"/>
      <c r="AS41" s="32"/>
      <c r="AT41" s="23"/>
      <c r="AU41" s="32"/>
      <c r="AV41" s="23"/>
      <c r="AW41" s="36"/>
      <c r="AX41" s="36"/>
    </row>
    <row r="42" ht="20.25" customHeight="1">
      <c r="A42" s="4"/>
      <c r="B42" s="38"/>
      <c r="C42" s="27" t="s">
        <v>38</v>
      </c>
      <c r="D42" s="28">
        <v>3.0</v>
      </c>
      <c r="E42" s="29" t="s">
        <v>16</v>
      </c>
      <c r="F42" s="29">
        <v>8.0</v>
      </c>
      <c r="G42" s="31"/>
      <c r="H42" s="60"/>
      <c r="I42" s="32"/>
      <c r="J42" s="23"/>
      <c r="K42" s="32"/>
      <c r="L42" s="23"/>
      <c r="M42" s="33"/>
      <c r="N42" s="38"/>
      <c r="O42" s="27" t="s">
        <v>38</v>
      </c>
      <c r="P42" s="28">
        <v>3.0</v>
      </c>
      <c r="Q42" s="29" t="s">
        <v>16</v>
      </c>
      <c r="R42" s="29">
        <v>8.0</v>
      </c>
      <c r="S42" s="31"/>
      <c r="T42" s="60"/>
      <c r="U42" s="32"/>
      <c r="V42" s="23"/>
      <c r="W42" s="32"/>
      <c r="X42" s="23"/>
      <c r="Y42" s="54"/>
      <c r="Z42" s="38"/>
      <c r="AA42" s="27" t="s">
        <v>38</v>
      </c>
      <c r="AB42" s="28">
        <v>3.0</v>
      </c>
      <c r="AC42" s="29" t="s">
        <v>16</v>
      </c>
      <c r="AD42" s="29">
        <v>8.0</v>
      </c>
      <c r="AE42" s="31"/>
      <c r="AF42" s="60"/>
      <c r="AG42" s="32"/>
      <c r="AH42" s="23"/>
      <c r="AI42" s="32"/>
      <c r="AJ42" s="23"/>
      <c r="AK42" s="35"/>
      <c r="AL42" s="38"/>
      <c r="AM42" s="27" t="s">
        <v>38</v>
      </c>
      <c r="AN42" s="28">
        <v>3.0</v>
      </c>
      <c r="AO42" s="29" t="s">
        <v>16</v>
      </c>
      <c r="AP42" s="29">
        <v>8.0</v>
      </c>
      <c r="AQ42" s="31"/>
      <c r="AR42" s="60"/>
      <c r="AS42" s="32"/>
      <c r="AT42" s="23"/>
      <c r="AU42" s="32"/>
      <c r="AV42" s="23"/>
      <c r="AW42" s="36"/>
      <c r="AX42" s="36"/>
    </row>
    <row r="43" ht="20.25" customHeight="1">
      <c r="A43" s="1"/>
      <c r="B43" s="38"/>
      <c r="C43" s="27" t="s">
        <v>39</v>
      </c>
      <c r="D43" s="61">
        <v>3.0</v>
      </c>
      <c r="E43" s="61" t="s">
        <v>40</v>
      </c>
      <c r="F43" s="61">
        <v>8.0</v>
      </c>
      <c r="G43" s="62"/>
      <c r="H43" s="60"/>
      <c r="I43" s="63" t="s">
        <v>31</v>
      </c>
      <c r="J43" s="23"/>
      <c r="K43" s="64"/>
      <c r="L43" s="23"/>
      <c r="M43" s="5"/>
      <c r="N43" s="38"/>
      <c r="O43" s="27" t="s">
        <v>39</v>
      </c>
      <c r="P43" s="61">
        <v>3.0</v>
      </c>
      <c r="Q43" s="61" t="s">
        <v>40</v>
      </c>
      <c r="R43" s="61">
        <v>8.0</v>
      </c>
      <c r="S43" s="62"/>
      <c r="T43" s="60"/>
      <c r="U43" s="63" t="s">
        <v>31</v>
      </c>
      <c r="V43" s="23"/>
      <c r="W43" s="64"/>
      <c r="X43" s="23"/>
      <c r="Y43" s="2"/>
      <c r="Z43" s="38"/>
      <c r="AA43" s="27" t="s">
        <v>39</v>
      </c>
      <c r="AB43" s="61">
        <v>3.0</v>
      </c>
      <c r="AC43" s="61" t="s">
        <v>40</v>
      </c>
      <c r="AD43" s="61">
        <v>8.0</v>
      </c>
      <c r="AE43" s="62"/>
      <c r="AF43" s="60"/>
      <c r="AG43" s="63" t="s">
        <v>31</v>
      </c>
      <c r="AH43" s="23"/>
      <c r="AI43" s="64"/>
      <c r="AJ43" s="23"/>
      <c r="AK43" s="2"/>
      <c r="AL43" s="38"/>
      <c r="AM43" s="27" t="s">
        <v>39</v>
      </c>
      <c r="AN43" s="61">
        <v>3.0</v>
      </c>
      <c r="AO43" s="61" t="s">
        <v>40</v>
      </c>
      <c r="AP43" s="61">
        <v>8.0</v>
      </c>
      <c r="AQ43" s="62"/>
      <c r="AR43" s="60"/>
      <c r="AS43" s="63" t="s">
        <v>31</v>
      </c>
      <c r="AT43" s="23"/>
      <c r="AU43" s="64"/>
      <c r="AV43" s="23"/>
      <c r="AW43" s="39"/>
      <c r="AX43" s="39"/>
    </row>
    <row r="44" ht="20.25" customHeight="1">
      <c r="A44" s="1"/>
      <c r="B44" s="65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5"/>
      <c r="N44" s="65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2"/>
      <c r="Z44" s="65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2"/>
      <c r="AL44" s="65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36"/>
      <c r="AX44" s="36"/>
    </row>
    <row r="45" ht="20.25" customHeight="1">
      <c r="A45" s="1"/>
      <c r="B45" s="39"/>
      <c r="C45" s="67" t="s">
        <v>41</v>
      </c>
      <c r="D45" s="41"/>
      <c r="E45" s="41"/>
      <c r="F45" s="41"/>
      <c r="G45" s="41"/>
      <c r="H45" s="41"/>
      <c r="I45" s="41"/>
      <c r="J45" s="41"/>
      <c r="K45" s="41"/>
      <c r="L45" s="23"/>
      <c r="M45" s="5"/>
      <c r="N45" s="39"/>
      <c r="O45" s="67" t="s">
        <v>41</v>
      </c>
      <c r="P45" s="41"/>
      <c r="Q45" s="41"/>
      <c r="R45" s="41"/>
      <c r="S45" s="41"/>
      <c r="T45" s="41"/>
      <c r="U45" s="41"/>
      <c r="V45" s="41"/>
      <c r="W45" s="41"/>
      <c r="X45" s="23"/>
      <c r="Y45" s="68"/>
      <c r="Z45" s="26"/>
      <c r="AA45" s="69" t="s">
        <v>41</v>
      </c>
      <c r="AB45" s="41"/>
      <c r="AC45" s="41"/>
      <c r="AD45" s="41"/>
      <c r="AE45" s="41"/>
      <c r="AF45" s="41"/>
      <c r="AG45" s="41"/>
      <c r="AH45" s="41"/>
      <c r="AI45" s="41"/>
      <c r="AJ45" s="23"/>
      <c r="AK45" s="2"/>
      <c r="AL45" s="26"/>
      <c r="AM45" s="69" t="s">
        <v>41</v>
      </c>
      <c r="AN45" s="41"/>
      <c r="AO45" s="41"/>
      <c r="AP45" s="41"/>
      <c r="AQ45" s="41"/>
      <c r="AR45" s="41"/>
      <c r="AS45" s="41"/>
      <c r="AT45" s="41"/>
      <c r="AU45" s="41"/>
      <c r="AV45" s="23"/>
      <c r="AW45" s="70"/>
      <c r="AX45" s="70"/>
    </row>
    <row r="46" ht="20.25" customHeight="1">
      <c r="A46" s="1"/>
      <c r="B46" s="38"/>
      <c r="C46" s="38"/>
      <c r="D46" s="38"/>
      <c r="E46" s="38"/>
      <c r="F46" s="38"/>
      <c r="G46" s="36"/>
      <c r="H46" s="36"/>
      <c r="I46" s="26"/>
      <c r="J46" s="26"/>
      <c r="K46" s="26"/>
      <c r="L46" s="26"/>
      <c r="M46" s="5"/>
      <c r="N46" s="65"/>
      <c r="O46" s="65"/>
      <c r="P46" s="65"/>
      <c r="Q46" s="65"/>
      <c r="R46" s="65"/>
      <c r="S46" s="26"/>
      <c r="T46" s="36"/>
      <c r="U46" s="26"/>
      <c r="V46" s="26"/>
      <c r="W46" s="26"/>
      <c r="X46" s="26"/>
      <c r="Y46" s="2"/>
      <c r="Z46" s="65"/>
      <c r="AA46" s="65"/>
      <c r="AB46" s="65"/>
      <c r="AC46" s="65"/>
      <c r="AD46" s="65"/>
      <c r="AE46" s="26"/>
      <c r="AF46" s="26"/>
      <c r="AG46" s="26"/>
      <c r="AH46" s="26"/>
      <c r="AI46" s="26"/>
      <c r="AJ46" s="26"/>
      <c r="AK46" s="2"/>
      <c r="AL46" s="65"/>
      <c r="AM46" s="65"/>
      <c r="AN46" s="65"/>
      <c r="AO46" s="65"/>
      <c r="AP46" s="65"/>
      <c r="AQ46" s="26"/>
      <c r="AR46" s="26"/>
      <c r="AS46" s="26"/>
      <c r="AT46" s="26"/>
      <c r="AU46" s="26"/>
      <c r="AV46" s="26"/>
      <c r="AW46" s="26"/>
      <c r="AX46" s="26"/>
    </row>
    <row r="47" ht="20.25" customHeight="1">
      <c r="A47" s="1"/>
      <c r="B47" s="66"/>
      <c r="C47" s="66"/>
      <c r="D47" s="66"/>
      <c r="E47" s="66"/>
      <c r="F47" s="66"/>
      <c r="G47" s="36"/>
      <c r="H47" s="26"/>
      <c r="I47" s="26"/>
      <c r="J47" s="26"/>
      <c r="K47" s="26"/>
      <c r="L47" s="26"/>
      <c r="M47" s="5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</row>
    <row r="48" ht="20.25" customHeight="1">
      <c r="A48" s="1"/>
      <c r="B48" s="71" t="s">
        <v>42</v>
      </c>
      <c r="C48" s="9"/>
      <c r="D48" s="9"/>
      <c r="E48" s="9"/>
      <c r="F48" s="10"/>
      <c r="G48" s="36"/>
      <c r="H48" s="26"/>
      <c r="I48" s="26"/>
      <c r="J48" s="26"/>
      <c r="K48" s="26"/>
      <c r="L48" s="26"/>
      <c r="M48" s="5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ht="20.25" customHeight="1">
      <c r="A49" s="1"/>
      <c r="B49" s="13"/>
      <c r="C49" s="14"/>
      <c r="D49" s="14"/>
      <c r="E49" s="14"/>
      <c r="F49" s="15"/>
      <c r="G49" s="26"/>
      <c r="H49" s="26"/>
      <c r="I49" s="26"/>
      <c r="J49" s="26"/>
      <c r="K49" s="26"/>
      <c r="L49" s="26"/>
      <c r="M49" s="5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ht="20.25" customHeight="1">
      <c r="A50" s="1"/>
      <c r="B50" s="72" t="s">
        <v>6</v>
      </c>
      <c r="C50" s="9"/>
      <c r="D50" s="10"/>
      <c r="E50" s="73" t="s">
        <v>7</v>
      </c>
      <c r="F50" s="73" t="s">
        <v>43</v>
      </c>
      <c r="G50" s="26"/>
      <c r="H50" s="26"/>
      <c r="I50" s="26"/>
      <c r="J50" s="26"/>
      <c r="K50" s="26"/>
      <c r="L50" s="26"/>
      <c r="M50" s="5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ht="20.25" customHeight="1">
      <c r="A51" s="1"/>
      <c r="B51" s="13"/>
      <c r="C51" s="14"/>
      <c r="D51" s="15"/>
      <c r="E51" s="74"/>
      <c r="F51" s="74"/>
      <c r="G51" s="36"/>
      <c r="H51" s="26"/>
      <c r="I51" s="26"/>
      <c r="J51" s="26"/>
      <c r="K51" s="26"/>
      <c r="L51" s="26"/>
      <c r="M51" s="5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75" t="s">
        <v>44</v>
      </c>
      <c r="C52" s="9"/>
      <c r="D52" s="9"/>
      <c r="E52" s="9"/>
      <c r="F52" s="10"/>
      <c r="G52" s="36"/>
      <c r="H52" s="26"/>
      <c r="I52" s="26"/>
      <c r="J52" s="26"/>
      <c r="K52" s="26"/>
      <c r="L52" s="26"/>
      <c r="M52" s="5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6"/>
      <c r="B53" s="13"/>
      <c r="C53" s="14"/>
      <c r="D53" s="14"/>
      <c r="E53" s="14"/>
      <c r="F53" s="15"/>
      <c r="G53" s="26"/>
      <c r="H53" s="26"/>
      <c r="I53" s="26"/>
      <c r="J53" s="26"/>
      <c r="K53" s="26"/>
      <c r="L53" s="26"/>
      <c r="M53" s="5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6" t="s">
        <v>45</v>
      </c>
      <c r="C54" s="9"/>
      <c r="D54" s="10"/>
      <c r="E54" s="77">
        <v>1.0</v>
      </c>
      <c r="F54" s="78" t="s">
        <v>46</v>
      </c>
      <c r="G54" s="26"/>
      <c r="H54" s="26"/>
      <c r="I54" s="26"/>
      <c r="J54" s="26"/>
      <c r="K54" s="26"/>
      <c r="L54" s="26"/>
      <c r="M54" s="5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74"/>
      <c r="F55" s="74"/>
      <c r="G55" s="26"/>
      <c r="H55" s="26"/>
      <c r="I55" s="26"/>
      <c r="J55" s="26"/>
      <c r="K55" s="26"/>
      <c r="L55" s="26"/>
      <c r="M55" s="5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6" t="s">
        <v>47</v>
      </c>
      <c r="C56" s="9"/>
      <c r="D56" s="10"/>
      <c r="E56" s="77">
        <v>1.0</v>
      </c>
      <c r="F56" s="78" t="s">
        <v>48</v>
      </c>
      <c r="G56" s="26"/>
      <c r="H56" s="26"/>
      <c r="I56" s="26"/>
      <c r="J56" s="26"/>
      <c r="K56" s="26"/>
      <c r="L56" s="26"/>
      <c r="M56" s="5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4"/>
      <c r="F57" s="74"/>
      <c r="G57" s="26"/>
      <c r="H57" s="26"/>
      <c r="I57" s="26"/>
      <c r="J57" s="26"/>
      <c r="K57" s="26"/>
      <c r="L57" s="26"/>
      <c r="M57" s="5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9" t="s">
        <v>49</v>
      </c>
      <c r="C58" s="9"/>
      <c r="D58" s="10"/>
      <c r="E58" s="80">
        <v>1.0</v>
      </c>
      <c r="F58" s="81" t="s">
        <v>48</v>
      </c>
      <c r="G58" s="26"/>
      <c r="H58" s="26"/>
      <c r="I58" s="26"/>
      <c r="J58" s="26"/>
      <c r="K58" s="26"/>
      <c r="L58" s="26"/>
      <c r="M58" s="5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74"/>
      <c r="F59" s="74"/>
      <c r="G59" s="26"/>
      <c r="H59" s="26"/>
      <c r="I59" s="26"/>
      <c r="J59" s="26"/>
      <c r="K59" s="26"/>
      <c r="L59" s="26"/>
      <c r="M59" s="5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5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5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3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5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3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5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3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5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36"/>
      <c r="C65" s="36"/>
      <c r="D65" s="26"/>
      <c r="E65" s="26"/>
      <c r="F65" s="26"/>
      <c r="G65" s="39"/>
      <c r="H65" s="26"/>
      <c r="I65" s="26"/>
      <c r="J65" s="26"/>
      <c r="K65" s="26"/>
      <c r="L65" s="26"/>
      <c r="M65" s="5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36"/>
      <c r="C66" s="26"/>
      <c r="D66" s="26"/>
      <c r="E66" s="26"/>
      <c r="F66" s="26"/>
      <c r="G66" s="39"/>
      <c r="H66" s="26"/>
      <c r="I66" s="26"/>
      <c r="J66" s="26"/>
      <c r="K66" s="26"/>
      <c r="L66" s="26"/>
      <c r="M66" s="5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6"/>
      <c r="C67" s="26"/>
      <c r="D67" s="26"/>
      <c r="E67" s="26"/>
      <c r="F67" s="26"/>
      <c r="G67" s="39"/>
      <c r="H67" s="26"/>
      <c r="I67" s="26"/>
      <c r="J67" s="26"/>
      <c r="K67" s="26"/>
      <c r="L67" s="26"/>
      <c r="M67" s="5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6"/>
      <c r="C68" s="26"/>
      <c r="D68" s="26"/>
      <c r="E68" s="26"/>
      <c r="F68" s="26"/>
      <c r="G68" s="39"/>
      <c r="H68" s="26"/>
      <c r="I68" s="26"/>
      <c r="J68" s="26"/>
      <c r="K68" s="26"/>
      <c r="L68" s="26"/>
      <c r="M68" s="5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39"/>
      <c r="C69" s="39"/>
      <c r="D69" s="39"/>
      <c r="E69" s="39"/>
      <c r="F69" s="39"/>
      <c r="G69" s="39"/>
      <c r="H69" s="26"/>
      <c r="I69" s="26"/>
      <c r="J69" s="26"/>
      <c r="K69" s="26"/>
      <c r="L69" s="26"/>
      <c r="M69" s="5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39"/>
      <c r="C70" s="39"/>
      <c r="D70" s="39"/>
      <c r="E70" s="39"/>
      <c r="F70" s="39"/>
      <c r="G70" s="26"/>
      <c r="H70" s="26"/>
      <c r="I70" s="26"/>
      <c r="J70" s="26"/>
      <c r="K70" s="26"/>
      <c r="L70" s="26"/>
      <c r="M70" s="5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39"/>
      <c r="C71" s="39"/>
      <c r="D71" s="39"/>
      <c r="E71" s="39"/>
      <c r="F71" s="39"/>
      <c r="G71" s="26"/>
      <c r="H71" s="26"/>
      <c r="I71" s="26"/>
      <c r="J71" s="26"/>
      <c r="K71" s="26"/>
      <c r="L71" s="26"/>
      <c r="M71" s="5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39"/>
      <c r="C72" s="39"/>
      <c r="D72" s="39"/>
      <c r="E72" s="39"/>
      <c r="F72" s="39"/>
      <c r="G72" s="26"/>
      <c r="H72" s="26"/>
      <c r="I72" s="26"/>
      <c r="J72" s="26"/>
      <c r="K72" s="26"/>
      <c r="L72" s="26"/>
      <c r="M72" s="5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39"/>
      <c r="C73" s="39"/>
      <c r="D73" s="39"/>
      <c r="E73" s="39"/>
      <c r="F73" s="39"/>
      <c r="G73" s="26"/>
      <c r="H73" s="26"/>
      <c r="I73" s="26"/>
      <c r="J73" s="26"/>
      <c r="K73" s="26"/>
      <c r="L73" s="26"/>
      <c r="M73" s="5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5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5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1"/>
      <c r="Z75" s="1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5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1"/>
      <c r="Z76" s="1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5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5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5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5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82"/>
      <c r="E88" s="82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82"/>
      <c r="E89" s="82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82"/>
      <c r="E90" s="82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82"/>
      <c r="E91" s="82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82"/>
      <c r="E92" s="82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82"/>
      <c r="E93" s="82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82"/>
      <c r="E94" s="82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82"/>
      <c r="E95" s="8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82"/>
      <c r="E96" s="8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82"/>
      <c r="E97" s="8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82"/>
      <c r="E98" s="8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82"/>
      <c r="E99" s="8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82"/>
      <c r="E100" s="8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82"/>
      <c r="E101" s="8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82"/>
      <c r="E102" s="8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82"/>
      <c r="E103" s="8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82"/>
      <c r="E104" s="8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82"/>
      <c r="E105" s="8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82"/>
      <c r="E106" s="8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82"/>
      <c r="E107" s="8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82"/>
      <c r="E108" s="8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82"/>
      <c r="E109" s="8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82"/>
      <c r="E110" s="8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82"/>
      <c r="E111" s="8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82"/>
      <c r="E112" s="8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82"/>
      <c r="E113" s="8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82"/>
      <c r="E114" s="8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82"/>
      <c r="E115" s="8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82"/>
      <c r="E116" s="82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82"/>
      <c r="E117" s="82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82"/>
      <c r="E118" s="82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82"/>
      <c r="E119" s="82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82"/>
      <c r="E120" s="82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82"/>
      <c r="E121" s="82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82"/>
      <c r="E122" s="82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82"/>
      <c r="E123" s="8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82"/>
      <c r="E124" s="8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82"/>
      <c r="E125" s="8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82"/>
      <c r="E126" s="8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82"/>
      <c r="E127" s="8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82"/>
      <c r="E128" s="8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82"/>
      <c r="E129" s="8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82"/>
      <c r="E130" s="8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82"/>
      <c r="E131" s="8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82"/>
      <c r="E132" s="8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82"/>
      <c r="E133" s="8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82"/>
      <c r="E134" s="8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82"/>
      <c r="E135" s="8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82"/>
      <c r="E136" s="8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82"/>
      <c r="E137" s="8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82"/>
      <c r="E138" s="8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82"/>
      <c r="E139" s="8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82"/>
      <c r="E140" s="8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82"/>
      <c r="E141" s="8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82"/>
      <c r="E142" s="8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82"/>
      <c r="E143" s="8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82"/>
      <c r="E144" s="8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82"/>
      <c r="E145" s="8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82"/>
      <c r="E146" s="8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82"/>
      <c r="E147" s="8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82"/>
      <c r="E148" s="8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82"/>
      <c r="E149" s="8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82"/>
      <c r="E150" s="8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82"/>
      <c r="E151" s="8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82"/>
      <c r="E152" s="8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83"/>
      <c r="D153" s="82"/>
      <c r="E153" s="8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83"/>
      <c r="D154" s="82"/>
      <c r="E154" s="8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83"/>
      <c r="D155" s="82"/>
      <c r="E155" s="8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83"/>
      <c r="D156" s="82"/>
      <c r="E156" s="8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83"/>
      <c r="D157" s="82"/>
      <c r="E157" s="8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83"/>
      <c r="D158" s="82"/>
      <c r="E158" s="8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83"/>
      <c r="D159" s="82"/>
      <c r="E159" s="8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3"/>
      <c r="D160" s="82"/>
      <c r="E160" s="8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3"/>
      <c r="D161" s="82"/>
      <c r="E161" s="8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83"/>
      <c r="D162" s="82"/>
      <c r="E162" s="8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56"/>
      <c r="C163" s="58"/>
      <c r="D163" s="82"/>
      <c r="E163" s="8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56"/>
      <c r="C164" s="58"/>
      <c r="D164" s="82"/>
      <c r="E164" s="8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56"/>
      <c r="C165" s="58"/>
      <c r="D165" s="82"/>
      <c r="E165" s="8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84" t="s">
        <v>50</v>
      </c>
      <c r="C166" s="85" t="s">
        <v>51</v>
      </c>
      <c r="D166" s="82"/>
      <c r="E166" s="8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84" t="s">
        <v>52</v>
      </c>
      <c r="C167" s="85" t="s">
        <v>53</v>
      </c>
      <c r="D167" s="82"/>
      <c r="E167" s="8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84" t="s">
        <v>54</v>
      </c>
      <c r="C168" s="86">
        <v>24.0</v>
      </c>
      <c r="D168" s="82"/>
      <c r="E168" s="8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84" t="s">
        <v>55</v>
      </c>
      <c r="C169" s="86">
        <v>174.5</v>
      </c>
      <c r="D169" s="82"/>
      <c r="E169" s="8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4" t="s">
        <v>56</v>
      </c>
      <c r="C170" s="86">
        <v>78.0</v>
      </c>
      <c r="D170" s="82"/>
      <c r="E170" s="8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4" t="s">
        <v>57</v>
      </c>
      <c r="C171" s="87" t="s">
        <v>58</v>
      </c>
      <c r="D171" s="82"/>
      <c r="E171" s="8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4" t="s">
        <v>59</v>
      </c>
      <c r="C172" s="87" t="s">
        <v>60</v>
      </c>
      <c r="D172" s="82"/>
      <c r="E172" s="8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4" t="s">
        <v>61</v>
      </c>
      <c r="C173" s="87" t="s">
        <v>62</v>
      </c>
      <c r="D173" s="82"/>
      <c r="E173" s="8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4" t="s">
        <v>63</v>
      </c>
      <c r="C174" s="87" t="s">
        <v>64</v>
      </c>
      <c r="D174" s="82"/>
      <c r="E174" s="8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4" t="s">
        <v>65</v>
      </c>
      <c r="C175" s="87" t="s">
        <v>66</v>
      </c>
      <c r="D175" s="82"/>
      <c r="E175" s="8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56"/>
      <c r="B176" s="84" t="s">
        <v>67</v>
      </c>
      <c r="C176" s="86" t="s">
        <v>68</v>
      </c>
      <c r="D176" s="88"/>
      <c r="E176" s="88"/>
      <c r="F176" s="56"/>
      <c r="G176" s="56"/>
      <c r="H176" s="56"/>
      <c r="I176" s="56"/>
      <c r="J176" s="56"/>
      <c r="K176" s="56"/>
      <c r="L176" s="56"/>
      <c r="M176" s="5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</row>
    <row r="177" ht="20.25" customHeight="1">
      <c r="A177" s="56"/>
      <c r="B177" s="84" t="s">
        <v>69</v>
      </c>
      <c r="C177" s="86">
        <v>0.0</v>
      </c>
      <c r="D177" s="88"/>
      <c r="E177" s="88"/>
      <c r="F177" s="56"/>
      <c r="G177" s="56"/>
      <c r="H177" s="56"/>
      <c r="I177" s="56"/>
      <c r="J177" s="56"/>
      <c r="K177" s="56"/>
      <c r="L177" s="56"/>
      <c r="M177" s="5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</row>
    <row r="178" ht="20.25" customHeight="1">
      <c r="A178" s="56"/>
      <c r="B178" s="84" t="s">
        <v>70</v>
      </c>
      <c r="C178" s="87" t="s">
        <v>71</v>
      </c>
      <c r="D178" s="88"/>
      <c r="E178" s="88"/>
      <c r="F178" s="56"/>
      <c r="G178" s="56"/>
      <c r="H178" s="56"/>
      <c r="I178" s="56"/>
      <c r="J178" s="56"/>
      <c r="K178" s="56"/>
      <c r="L178" s="56"/>
      <c r="M178" s="5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</row>
    <row r="179" ht="20.25" customHeight="1">
      <c r="A179" s="56"/>
      <c r="B179" s="84" t="s">
        <v>72</v>
      </c>
      <c r="C179" s="85" t="s">
        <v>73</v>
      </c>
      <c r="D179" s="88"/>
      <c r="E179" s="88"/>
      <c r="F179" s="56"/>
      <c r="G179" s="56"/>
      <c r="H179" s="56"/>
      <c r="I179" s="56"/>
      <c r="J179" s="56"/>
      <c r="K179" s="56"/>
      <c r="L179" s="56"/>
      <c r="M179" s="5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</row>
    <row r="180" ht="20.25" customHeight="1">
      <c r="A180" s="56"/>
      <c r="B180" s="89"/>
      <c r="C180" s="89"/>
      <c r="D180" s="88"/>
      <c r="E180" s="88"/>
      <c r="F180" s="56"/>
      <c r="G180" s="56"/>
      <c r="H180" s="56"/>
      <c r="I180" s="56"/>
      <c r="J180" s="56"/>
      <c r="K180" s="56"/>
      <c r="L180" s="56"/>
      <c r="M180" s="5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</row>
    <row r="181" ht="20.25" customHeight="1">
      <c r="A181" s="56"/>
      <c r="B181" s="89"/>
      <c r="C181" s="89"/>
      <c r="D181" s="88"/>
      <c r="E181" s="88"/>
      <c r="F181" s="56"/>
      <c r="G181" s="56"/>
      <c r="H181" s="56"/>
      <c r="I181" s="56"/>
      <c r="J181" s="56"/>
      <c r="K181" s="56"/>
      <c r="L181" s="56"/>
      <c r="M181" s="5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</row>
    <row r="182" ht="20.25" customHeight="1">
      <c r="A182" s="56"/>
      <c r="B182" s="89"/>
      <c r="C182" s="89"/>
      <c r="D182" s="88"/>
      <c r="E182" s="88"/>
      <c r="F182" s="56"/>
      <c r="G182" s="56"/>
      <c r="H182" s="56"/>
      <c r="I182" s="56"/>
      <c r="J182" s="56"/>
      <c r="K182" s="56"/>
      <c r="L182" s="56"/>
      <c r="M182" s="5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</row>
    <row r="183" ht="20.25" customHeight="1">
      <c r="A183" s="56"/>
      <c r="B183" s="89"/>
      <c r="C183" s="90"/>
      <c r="D183" s="88"/>
      <c r="E183" s="88"/>
      <c r="F183" s="56"/>
      <c r="G183" s="56"/>
      <c r="H183" s="56"/>
      <c r="I183" s="56"/>
      <c r="J183" s="56"/>
      <c r="K183" s="56"/>
      <c r="L183" s="56"/>
      <c r="M183" s="5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</row>
    <row r="184" ht="20.25" customHeight="1">
      <c r="A184" s="56"/>
      <c r="B184" s="56"/>
      <c r="C184" s="56"/>
      <c r="D184" s="88"/>
      <c r="E184" s="88"/>
      <c r="F184" s="56"/>
      <c r="G184" s="56"/>
      <c r="H184" s="56"/>
      <c r="I184" s="56"/>
      <c r="J184" s="56"/>
      <c r="K184" s="56"/>
      <c r="L184" s="56"/>
      <c r="M184" s="5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</row>
    <row r="185" ht="20.25" customHeight="1">
      <c r="A185" s="1"/>
      <c r="B185" s="56"/>
      <c r="C185" s="56"/>
      <c r="D185" s="82"/>
      <c r="E185" s="82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56"/>
      <c r="C186" s="56"/>
      <c r="D186" s="82"/>
      <c r="E186" s="82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83"/>
      <c r="D187" s="82"/>
      <c r="E187" s="82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83"/>
      <c r="D188" s="82"/>
      <c r="E188" s="82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83"/>
      <c r="D189" s="82"/>
      <c r="E189" s="82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83"/>
      <c r="D190" s="82"/>
      <c r="E190" s="82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83"/>
      <c r="D191" s="82"/>
      <c r="E191" s="82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83"/>
      <c r="D192" s="82"/>
      <c r="E192" s="8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83"/>
      <c r="D193" s="82"/>
      <c r="E193" s="8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3"/>
      <c r="D194" s="82"/>
      <c r="E194" s="8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3"/>
      <c r="D195" s="82"/>
      <c r="E195" s="8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3"/>
      <c r="D196" s="82"/>
      <c r="E196" s="8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3"/>
      <c r="D197" s="82"/>
      <c r="E197" s="8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3"/>
      <c r="D198" s="82"/>
      <c r="E198" s="8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3"/>
      <c r="D199" s="82"/>
      <c r="E199" s="8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3"/>
      <c r="D200" s="82"/>
      <c r="E200" s="8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3"/>
      <c r="D201" s="82"/>
      <c r="E201" s="8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3"/>
      <c r="D202" s="82"/>
      <c r="E202" s="8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3"/>
      <c r="D203" s="82"/>
      <c r="E203" s="8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3"/>
      <c r="D204" s="82"/>
      <c r="E204" s="8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3"/>
      <c r="D205" s="82"/>
      <c r="E205" s="8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3"/>
      <c r="D206" s="82"/>
      <c r="E206" s="8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3"/>
      <c r="D207" s="82"/>
      <c r="E207" s="8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3"/>
      <c r="D208" s="82"/>
      <c r="E208" s="8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3"/>
      <c r="D209" s="82"/>
      <c r="E209" s="8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3"/>
      <c r="D210" s="82"/>
      <c r="E210" s="8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3"/>
      <c r="D211" s="82"/>
      <c r="E211" s="8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3"/>
      <c r="D212" s="82"/>
      <c r="E212" s="8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3"/>
      <c r="D213" s="82"/>
      <c r="E213" s="8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3"/>
      <c r="D214" s="82"/>
      <c r="E214" s="8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3"/>
      <c r="D215" s="82"/>
      <c r="E215" s="8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3"/>
      <c r="D216" s="82"/>
      <c r="E216" s="8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3"/>
      <c r="D217" s="82"/>
      <c r="E217" s="8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3"/>
      <c r="D218" s="82"/>
      <c r="E218" s="8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3"/>
      <c r="D219" s="82"/>
      <c r="E219" s="8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3"/>
      <c r="D220" s="82"/>
      <c r="E220" s="8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3"/>
      <c r="D221" s="82"/>
      <c r="E221" s="8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3"/>
      <c r="D222" s="82"/>
      <c r="E222" s="8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3"/>
      <c r="D223" s="82"/>
      <c r="E223" s="8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3"/>
      <c r="D224" s="82"/>
      <c r="E224" s="8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3"/>
      <c r="D225" s="82"/>
      <c r="E225" s="8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3"/>
      <c r="D226" s="82"/>
      <c r="E226" s="8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3"/>
      <c r="D227" s="82"/>
      <c r="E227" s="8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3"/>
      <c r="D228" s="82"/>
      <c r="E228" s="8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3"/>
      <c r="D229" s="82"/>
      <c r="E229" s="8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3"/>
      <c r="D230" s="82"/>
      <c r="E230" s="8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3"/>
      <c r="D231" s="82"/>
      <c r="E231" s="8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3"/>
      <c r="D232" s="82"/>
      <c r="E232" s="8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3"/>
      <c r="D233" s="82"/>
      <c r="E233" s="8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3"/>
      <c r="D234" s="82"/>
      <c r="E234" s="8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3"/>
      <c r="D235" s="82"/>
      <c r="E235" s="8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3"/>
      <c r="D236" s="82"/>
      <c r="E236" s="8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3"/>
      <c r="D237" s="82"/>
      <c r="E237" s="8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3"/>
      <c r="D238" s="82"/>
      <c r="E238" s="8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3"/>
      <c r="D239" s="82"/>
      <c r="E239" s="8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3"/>
      <c r="D240" s="82"/>
      <c r="E240" s="8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3"/>
      <c r="D241" s="82"/>
      <c r="E241" s="8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3"/>
      <c r="D242" s="82"/>
      <c r="E242" s="8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3"/>
      <c r="D243" s="82"/>
      <c r="E243" s="8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3"/>
      <c r="D244" s="82"/>
      <c r="E244" s="8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3"/>
      <c r="D245" s="82"/>
      <c r="E245" s="8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3"/>
      <c r="D246" s="82"/>
      <c r="E246" s="8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3"/>
      <c r="D247" s="82"/>
      <c r="E247" s="8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3"/>
      <c r="D248" s="82"/>
      <c r="E248" s="8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3"/>
      <c r="D249" s="82"/>
      <c r="E249" s="8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3"/>
      <c r="D250" s="82"/>
      <c r="E250" s="8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3"/>
      <c r="D251" s="82"/>
      <c r="E251" s="8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3"/>
      <c r="D252" s="82"/>
      <c r="E252" s="8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3"/>
      <c r="D253" s="82"/>
      <c r="E253" s="8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3"/>
      <c r="D254" s="82"/>
      <c r="E254" s="8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3"/>
      <c r="D255" s="82"/>
      <c r="E255" s="8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3"/>
      <c r="D256" s="82"/>
      <c r="E256" s="8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3"/>
      <c r="D257" s="82"/>
      <c r="E257" s="8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3"/>
      <c r="D258" s="82"/>
      <c r="E258" s="8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3"/>
      <c r="D259" s="82"/>
      <c r="E259" s="8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3"/>
      <c r="D260" s="82"/>
      <c r="E260" s="8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3"/>
      <c r="D261" s="82"/>
      <c r="E261" s="8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3"/>
      <c r="D262" s="82"/>
      <c r="E262" s="8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3"/>
      <c r="D263" s="82"/>
      <c r="E263" s="8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3"/>
      <c r="D264" s="82"/>
      <c r="E264" s="8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3"/>
      <c r="D265" s="82"/>
      <c r="E265" s="8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3"/>
      <c r="D266" s="82"/>
      <c r="E266" s="8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3"/>
      <c r="D267" s="82"/>
      <c r="E267" s="8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3"/>
      <c r="D268" s="82"/>
      <c r="E268" s="8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3"/>
      <c r="D269" s="82"/>
      <c r="E269" s="8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3"/>
      <c r="D270" s="82"/>
      <c r="E270" s="8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3"/>
      <c r="D271" s="82"/>
      <c r="E271" s="8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3"/>
      <c r="D272" s="82"/>
      <c r="E272" s="8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3"/>
      <c r="D273" s="82"/>
      <c r="E273" s="8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3"/>
      <c r="D274" s="82"/>
      <c r="E274" s="8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3"/>
      <c r="D275" s="82"/>
      <c r="E275" s="8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3"/>
      <c r="D276" s="82"/>
      <c r="E276" s="8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3"/>
      <c r="D277" s="82"/>
      <c r="E277" s="8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3"/>
      <c r="D278" s="82"/>
      <c r="E278" s="8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3"/>
      <c r="D279" s="82"/>
      <c r="E279" s="8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3"/>
      <c r="D280" s="82"/>
      <c r="E280" s="8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3"/>
      <c r="D281" s="82"/>
      <c r="E281" s="8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3"/>
      <c r="D282" s="82"/>
      <c r="E282" s="8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3"/>
      <c r="D283" s="82"/>
      <c r="E283" s="8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3"/>
      <c r="D284" s="82"/>
      <c r="E284" s="8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3"/>
      <c r="D285" s="82"/>
      <c r="E285" s="8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3"/>
      <c r="D286" s="82"/>
      <c r="E286" s="8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3"/>
      <c r="D287" s="82"/>
      <c r="E287" s="8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3"/>
      <c r="D288" s="82"/>
      <c r="E288" s="8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3"/>
      <c r="D289" s="82"/>
      <c r="E289" s="8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3"/>
      <c r="D290" s="82"/>
      <c r="E290" s="8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3"/>
      <c r="D291" s="82"/>
      <c r="E291" s="8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3"/>
      <c r="D292" s="82"/>
      <c r="E292" s="8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3"/>
      <c r="D293" s="82"/>
      <c r="E293" s="8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3"/>
      <c r="D294" s="82"/>
      <c r="E294" s="8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3"/>
      <c r="D295" s="82"/>
      <c r="E295" s="8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3"/>
      <c r="D296" s="82"/>
      <c r="E296" s="8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3"/>
      <c r="D297" s="82"/>
      <c r="E297" s="8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3"/>
      <c r="D298" s="82"/>
      <c r="E298" s="8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3"/>
      <c r="D299" s="82"/>
      <c r="E299" s="8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3"/>
      <c r="D300" s="82"/>
      <c r="E300" s="8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3"/>
      <c r="D301" s="82"/>
      <c r="E301" s="8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3"/>
      <c r="D302" s="82"/>
      <c r="E302" s="8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3"/>
      <c r="D303" s="82"/>
      <c r="E303" s="8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3"/>
      <c r="D304" s="82"/>
      <c r="E304" s="8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3"/>
      <c r="D305" s="82"/>
      <c r="E305" s="8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3"/>
      <c r="D306" s="82"/>
      <c r="E306" s="8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3"/>
      <c r="D307" s="82"/>
      <c r="E307" s="8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3"/>
      <c r="D308" s="82"/>
      <c r="E308" s="8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3"/>
      <c r="D309" s="82"/>
      <c r="E309" s="8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3"/>
      <c r="D310" s="82"/>
      <c r="E310" s="8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3"/>
      <c r="D311" s="82"/>
      <c r="E311" s="8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3"/>
      <c r="D312" s="82"/>
      <c r="E312" s="8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3"/>
      <c r="D313" s="82"/>
      <c r="E313" s="8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3"/>
      <c r="D314" s="82"/>
      <c r="E314" s="8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3"/>
      <c r="D315" s="82"/>
      <c r="E315" s="8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3"/>
      <c r="D316" s="82"/>
      <c r="E316" s="8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3"/>
      <c r="D317" s="82"/>
      <c r="E317" s="8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3"/>
      <c r="D318" s="82"/>
      <c r="E318" s="8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3"/>
      <c r="D319" s="82"/>
      <c r="E319" s="8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3"/>
      <c r="D320" s="82"/>
      <c r="E320" s="8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3"/>
      <c r="D321" s="82"/>
      <c r="E321" s="8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3"/>
      <c r="D322" s="82"/>
      <c r="E322" s="8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3"/>
      <c r="D323" s="82"/>
      <c r="E323" s="8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3"/>
      <c r="D324" s="82"/>
      <c r="E324" s="8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3"/>
      <c r="D325" s="82"/>
      <c r="E325" s="8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3"/>
      <c r="D326" s="82"/>
      <c r="E326" s="8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3"/>
      <c r="D327" s="82"/>
      <c r="E327" s="8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3"/>
      <c r="D328" s="82"/>
      <c r="E328" s="8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3"/>
      <c r="D329" s="82"/>
      <c r="E329" s="8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3"/>
      <c r="D330" s="82"/>
      <c r="E330" s="8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3"/>
      <c r="D331" s="82"/>
      <c r="E331" s="8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3"/>
      <c r="D332" s="82"/>
      <c r="E332" s="8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3"/>
      <c r="D333" s="82"/>
      <c r="E333" s="8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3"/>
      <c r="D334" s="82"/>
      <c r="E334" s="8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3"/>
      <c r="D335" s="82"/>
      <c r="E335" s="8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3"/>
      <c r="D336" s="82"/>
      <c r="E336" s="8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3"/>
      <c r="D337" s="82"/>
      <c r="E337" s="8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3"/>
      <c r="D338" s="82"/>
      <c r="E338" s="8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3"/>
      <c r="D339" s="82"/>
      <c r="E339" s="8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3"/>
      <c r="D340" s="82"/>
      <c r="E340" s="8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3"/>
      <c r="D341" s="82"/>
      <c r="E341" s="8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3"/>
      <c r="D342" s="82"/>
      <c r="E342" s="8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3"/>
      <c r="D343" s="82"/>
      <c r="E343" s="8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3"/>
      <c r="D344" s="82"/>
      <c r="E344" s="8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3"/>
      <c r="D345" s="82"/>
      <c r="E345" s="8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3"/>
      <c r="D346" s="82"/>
      <c r="E346" s="8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3"/>
      <c r="D347" s="82"/>
      <c r="E347" s="8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3"/>
      <c r="D348" s="82"/>
      <c r="E348" s="8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3"/>
      <c r="D349" s="82"/>
      <c r="E349" s="8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3"/>
      <c r="D350" s="82"/>
      <c r="E350" s="8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3"/>
      <c r="D351" s="82"/>
      <c r="E351" s="8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3"/>
      <c r="D352" s="82"/>
      <c r="E352" s="8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3"/>
      <c r="D353" s="82"/>
      <c r="E353" s="8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3"/>
      <c r="D354" s="82"/>
      <c r="E354" s="8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3"/>
      <c r="D355" s="82"/>
      <c r="E355" s="8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3"/>
      <c r="D356" s="82"/>
      <c r="E356" s="8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3"/>
      <c r="D357" s="82"/>
      <c r="E357" s="8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3"/>
      <c r="D358" s="82"/>
      <c r="E358" s="8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3"/>
      <c r="D359" s="82"/>
      <c r="E359" s="8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3"/>
      <c r="D360" s="82"/>
      <c r="E360" s="8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3"/>
      <c r="D361" s="82"/>
      <c r="E361" s="8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3"/>
      <c r="D362" s="82"/>
      <c r="E362" s="8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3"/>
      <c r="D363" s="82"/>
      <c r="E363" s="8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3"/>
      <c r="D364" s="82"/>
      <c r="E364" s="8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3"/>
      <c r="D365" s="82"/>
      <c r="E365" s="8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3"/>
      <c r="D366" s="82"/>
      <c r="E366" s="8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3"/>
      <c r="D367" s="82"/>
      <c r="E367" s="8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3"/>
      <c r="D368" s="82"/>
      <c r="E368" s="8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3"/>
      <c r="D369" s="82"/>
      <c r="E369" s="8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3"/>
      <c r="D370" s="82"/>
      <c r="E370" s="8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3"/>
      <c r="D371" s="82"/>
      <c r="E371" s="8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3"/>
      <c r="D372" s="82"/>
      <c r="E372" s="8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3"/>
      <c r="D373" s="82"/>
      <c r="E373" s="8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3"/>
      <c r="D374" s="82"/>
      <c r="E374" s="8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3"/>
      <c r="D375" s="82"/>
      <c r="E375" s="8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3"/>
      <c r="D376" s="82"/>
      <c r="E376" s="8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3"/>
      <c r="D377" s="82"/>
      <c r="E377" s="8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3"/>
      <c r="D378" s="82"/>
      <c r="E378" s="8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3"/>
      <c r="D379" s="82"/>
      <c r="E379" s="8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3"/>
      <c r="D380" s="82"/>
      <c r="E380" s="8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3"/>
      <c r="D381" s="82"/>
      <c r="E381" s="8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3"/>
      <c r="D382" s="82"/>
      <c r="E382" s="8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3"/>
      <c r="D383" s="82"/>
      <c r="E383" s="8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3"/>
      <c r="D384" s="82"/>
      <c r="E384" s="8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3"/>
      <c r="D385" s="82"/>
      <c r="E385" s="8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3"/>
      <c r="D386" s="82"/>
      <c r="E386" s="8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3"/>
      <c r="D387" s="82"/>
      <c r="E387" s="8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3"/>
      <c r="D388" s="82"/>
      <c r="E388" s="8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3"/>
      <c r="D389" s="82"/>
      <c r="E389" s="8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3"/>
      <c r="D390" s="82"/>
      <c r="E390" s="8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3"/>
      <c r="D391" s="82"/>
      <c r="E391" s="8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3"/>
      <c r="D392" s="82"/>
      <c r="E392" s="8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3"/>
      <c r="D393" s="82"/>
      <c r="E393" s="8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3"/>
      <c r="D394" s="82"/>
      <c r="E394" s="8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3"/>
      <c r="D395" s="82"/>
      <c r="E395" s="8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3"/>
      <c r="D396" s="82"/>
      <c r="E396" s="8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3"/>
      <c r="D397" s="82"/>
      <c r="E397" s="8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3"/>
      <c r="D398" s="82"/>
      <c r="E398" s="8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3"/>
      <c r="D399" s="82"/>
      <c r="E399" s="8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3"/>
      <c r="D400" s="82"/>
      <c r="E400" s="8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3"/>
      <c r="D401" s="82"/>
      <c r="E401" s="8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3"/>
      <c r="D402" s="82"/>
      <c r="E402" s="8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3"/>
      <c r="D403" s="82"/>
      <c r="E403" s="8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3"/>
      <c r="D404" s="82"/>
      <c r="E404" s="8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3"/>
      <c r="D405" s="82"/>
      <c r="E405" s="8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3"/>
      <c r="D406" s="82"/>
      <c r="E406" s="8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3"/>
      <c r="D407" s="82"/>
      <c r="E407" s="8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3"/>
      <c r="D408" s="82"/>
      <c r="E408" s="8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3"/>
      <c r="D409" s="82"/>
      <c r="E409" s="8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3"/>
      <c r="D410" s="82"/>
      <c r="E410" s="8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3"/>
      <c r="D411" s="82"/>
      <c r="E411" s="8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3"/>
      <c r="D412" s="82"/>
      <c r="E412" s="8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3"/>
      <c r="D413" s="82"/>
      <c r="E413" s="8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3"/>
      <c r="D414" s="82"/>
      <c r="E414" s="8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3"/>
      <c r="D415" s="82"/>
      <c r="E415" s="8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3"/>
      <c r="D416" s="82"/>
      <c r="E416" s="8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3"/>
      <c r="D417" s="82"/>
      <c r="E417" s="8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3"/>
      <c r="D418" s="82"/>
      <c r="E418" s="8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3"/>
      <c r="D419" s="82"/>
      <c r="E419" s="8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3"/>
      <c r="D420" s="82"/>
      <c r="E420" s="8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3"/>
      <c r="D421" s="82"/>
      <c r="E421" s="8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3"/>
      <c r="D422" s="82"/>
      <c r="E422" s="8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3"/>
      <c r="D423" s="82"/>
      <c r="E423" s="8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3"/>
      <c r="D424" s="82"/>
      <c r="E424" s="8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3"/>
      <c r="D425" s="82"/>
      <c r="E425" s="8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3"/>
      <c r="D426" s="82"/>
      <c r="E426" s="8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3"/>
      <c r="D427" s="82"/>
      <c r="E427" s="8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3"/>
      <c r="D428" s="82"/>
      <c r="E428" s="8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3"/>
      <c r="D429" s="82"/>
      <c r="E429" s="8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3"/>
      <c r="D430" s="82"/>
      <c r="E430" s="8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3"/>
      <c r="D431" s="82"/>
      <c r="E431" s="8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3"/>
      <c r="D432" s="82"/>
      <c r="E432" s="8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3"/>
      <c r="D433" s="82"/>
      <c r="E433" s="8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3"/>
      <c r="D434" s="82"/>
      <c r="E434" s="8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3"/>
      <c r="D435" s="82"/>
      <c r="E435" s="8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3"/>
      <c r="D436" s="82"/>
      <c r="E436" s="8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3"/>
      <c r="D437" s="82"/>
      <c r="E437" s="8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3"/>
      <c r="D438" s="82"/>
      <c r="E438" s="8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3"/>
      <c r="D439" s="82"/>
      <c r="E439" s="8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3"/>
      <c r="D440" s="82"/>
      <c r="E440" s="8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3"/>
      <c r="D441" s="82"/>
      <c r="E441" s="8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3"/>
      <c r="D442" s="82"/>
      <c r="E442" s="8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3"/>
      <c r="D443" s="82"/>
      <c r="E443" s="8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3"/>
      <c r="D444" s="82"/>
      <c r="E444" s="8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3"/>
      <c r="D445" s="82"/>
      <c r="E445" s="8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3"/>
      <c r="D446" s="82"/>
      <c r="E446" s="8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3"/>
      <c r="D447" s="82"/>
      <c r="E447" s="8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3"/>
      <c r="D448" s="82"/>
      <c r="E448" s="8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3"/>
      <c r="D449" s="82"/>
      <c r="E449" s="8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3"/>
      <c r="D450" s="82"/>
      <c r="E450" s="8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3"/>
      <c r="D451" s="82"/>
      <c r="E451" s="8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3"/>
      <c r="D452" s="82"/>
      <c r="E452" s="8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3"/>
      <c r="D453" s="82"/>
      <c r="E453" s="8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3"/>
      <c r="D454" s="82"/>
      <c r="E454" s="8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3"/>
      <c r="D455" s="82"/>
      <c r="E455" s="8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3"/>
      <c r="D456" s="82"/>
      <c r="E456" s="8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3"/>
      <c r="D457" s="82"/>
      <c r="E457" s="8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3"/>
      <c r="D458" s="82"/>
      <c r="E458" s="8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3"/>
      <c r="D459" s="82"/>
      <c r="E459" s="8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3"/>
      <c r="D460" s="82"/>
      <c r="E460" s="8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3"/>
      <c r="D461" s="82"/>
      <c r="E461" s="8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3"/>
      <c r="D462" s="82"/>
      <c r="E462" s="8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3"/>
      <c r="D463" s="82"/>
      <c r="E463" s="8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3"/>
      <c r="D464" s="82"/>
      <c r="E464" s="8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3"/>
      <c r="D465" s="82"/>
      <c r="E465" s="8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3"/>
      <c r="D466" s="82"/>
      <c r="E466" s="8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3"/>
      <c r="D467" s="82"/>
      <c r="E467" s="8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3"/>
      <c r="D468" s="82"/>
      <c r="E468" s="8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3"/>
      <c r="D469" s="82"/>
      <c r="E469" s="8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3"/>
      <c r="D470" s="82"/>
      <c r="E470" s="8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3"/>
      <c r="D471" s="82"/>
      <c r="E471" s="8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3"/>
      <c r="D472" s="82"/>
      <c r="E472" s="8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3"/>
      <c r="D473" s="82"/>
      <c r="E473" s="8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3"/>
      <c r="D474" s="82"/>
      <c r="E474" s="8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3"/>
      <c r="D475" s="82"/>
      <c r="E475" s="8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3"/>
      <c r="D476" s="82"/>
      <c r="E476" s="8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3"/>
      <c r="D477" s="82"/>
      <c r="E477" s="8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3"/>
      <c r="D478" s="82"/>
      <c r="E478" s="8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3"/>
      <c r="D479" s="82"/>
      <c r="E479" s="8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3"/>
      <c r="D480" s="82"/>
      <c r="E480" s="8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3"/>
      <c r="D481" s="82"/>
      <c r="E481" s="8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3"/>
      <c r="D482" s="82"/>
      <c r="E482" s="8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3"/>
      <c r="D483" s="82"/>
      <c r="E483" s="8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3"/>
      <c r="D484" s="82"/>
      <c r="E484" s="8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3"/>
      <c r="D485" s="82"/>
      <c r="E485" s="8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3"/>
      <c r="D486" s="82"/>
      <c r="E486" s="8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3"/>
      <c r="D487" s="82"/>
      <c r="E487" s="8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3"/>
      <c r="D488" s="82"/>
      <c r="E488" s="8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3"/>
      <c r="D489" s="82"/>
      <c r="E489" s="8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3"/>
      <c r="D490" s="82"/>
      <c r="E490" s="8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3"/>
      <c r="D491" s="82"/>
      <c r="E491" s="8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3"/>
      <c r="D492" s="82"/>
      <c r="E492" s="8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3"/>
      <c r="D493" s="82"/>
      <c r="E493" s="8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3"/>
      <c r="D494" s="82"/>
      <c r="E494" s="8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3"/>
      <c r="D495" s="82"/>
      <c r="E495" s="8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3"/>
      <c r="D496" s="82"/>
      <c r="E496" s="8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3"/>
      <c r="D497" s="82"/>
      <c r="E497" s="8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3"/>
      <c r="D498" s="82"/>
      <c r="E498" s="8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3"/>
      <c r="D499" s="82"/>
      <c r="E499" s="8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3"/>
      <c r="D500" s="82"/>
      <c r="E500" s="8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3"/>
      <c r="D501" s="82"/>
      <c r="E501" s="8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3"/>
      <c r="D502" s="82"/>
      <c r="E502" s="8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3"/>
      <c r="D503" s="82"/>
      <c r="E503" s="8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3"/>
      <c r="D504" s="82"/>
      <c r="E504" s="8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3"/>
      <c r="D505" s="82"/>
      <c r="E505" s="8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3"/>
      <c r="D506" s="82"/>
      <c r="E506" s="8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3"/>
      <c r="D507" s="82"/>
      <c r="E507" s="8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3"/>
      <c r="D508" s="82"/>
      <c r="E508" s="8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3"/>
      <c r="D509" s="82"/>
      <c r="E509" s="8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3"/>
      <c r="D510" s="82"/>
      <c r="E510" s="8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3"/>
      <c r="D511" s="82"/>
      <c r="E511" s="8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3"/>
      <c r="D512" s="82"/>
      <c r="E512" s="8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3"/>
      <c r="D513" s="82"/>
      <c r="E513" s="8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3"/>
      <c r="D514" s="82"/>
      <c r="E514" s="8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3"/>
      <c r="D515" s="82"/>
      <c r="E515" s="8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3"/>
      <c r="D516" s="82"/>
      <c r="E516" s="8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3"/>
      <c r="D517" s="82"/>
      <c r="E517" s="8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3"/>
      <c r="D518" s="82"/>
      <c r="E518" s="8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3"/>
      <c r="D519" s="82"/>
      <c r="E519" s="8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3"/>
      <c r="D520" s="82"/>
      <c r="E520" s="8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3"/>
      <c r="D521" s="82"/>
      <c r="E521" s="8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3"/>
      <c r="D522" s="82"/>
      <c r="E522" s="8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3"/>
      <c r="D523" s="82"/>
      <c r="E523" s="8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3"/>
      <c r="D524" s="82"/>
      <c r="E524" s="8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3"/>
      <c r="D525" s="82"/>
      <c r="E525" s="8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3"/>
      <c r="D526" s="82"/>
      <c r="E526" s="8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3"/>
      <c r="D527" s="82"/>
      <c r="E527" s="8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3"/>
      <c r="D528" s="82"/>
      <c r="E528" s="8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3"/>
      <c r="D529" s="82"/>
      <c r="E529" s="8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3"/>
      <c r="D530" s="82"/>
      <c r="E530" s="8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3"/>
      <c r="D531" s="82"/>
      <c r="E531" s="8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3"/>
      <c r="D532" s="82"/>
      <c r="E532" s="8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3"/>
      <c r="D533" s="82"/>
      <c r="E533" s="8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3"/>
      <c r="D534" s="82"/>
      <c r="E534" s="8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3"/>
      <c r="D535" s="82"/>
      <c r="E535" s="8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3"/>
      <c r="D536" s="82"/>
      <c r="E536" s="8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3"/>
      <c r="D537" s="82"/>
      <c r="E537" s="8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3"/>
      <c r="D538" s="82"/>
      <c r="E538" s="8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3"/>
      <c r="D539" s="82"/>
      <c r="E539" s="8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3"/>
      <c r="D540" s="82"/>
      <c r="E540" s="8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3"/>
      <c r="D541" s="82"/>
      <c r="E541" s="8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3"/>
      <c r="D542" s="82"/>
      <c r="E542" s="8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3"/>
      <c r="D543" s="82"/>
      <c r="E543" s="8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3"/>
      <c r="D544" s="82"/>
      <c r="E544" s="8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3"/>
      <c r="D545" s="82"/>
      <c r="E545" s="8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3"/>
      <c r="D546" s="82"/>
      <c r="E546" s="8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3"/>
      <c r="D547" s="82"/>
      <c r="E547" s="8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3"/>
      <c r="D548" s="82"/>
      <c r="E548" s="8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3"/>
      <c r="D549" s="82"/>
      <c r="E549" s="8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3"/>
      <c r="D550" s="82"/>
      <c r="E550" s="8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3"/>
      <c r="D551" s="82"/>
      <c r="E551" s="8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3"/>
      <c r="D552" s="82"/>
      <c r="E552" s="8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3"/>
      <c r="D553" s="82"/>
      <c r="E553" s="8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3"/>
      <c r="D554" s="82"/>
      <c r="E554" s="8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3"/>
      <c r="D555" s="82"/>
      <c r="E555" s="8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3"/>
      <c r="D556" s="82"/>
      <c r="E556" s="8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3"/>
      <c r="D557" s="82"/>
      <c r="E557" s="8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3"/>
      <c r="D558" s="82"/>
      <c r="E558" s="8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3"/>
      <c r="D559" s="82"/>
      <c r="E559" s="8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3"/>
      <c r="D560" s="82"/>
      <c r="E560" s="8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3"/>
      <c r="D561" s="82"/>
      <c r="E561" s="8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3"/>
      <c r="D562" s="82"/>
      <c r="E562" s="8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3"/>
      <c r="D563" s="82"/>
      <c r="E563" s="8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3"/>
      <c r="D564" s="82"/>
      <c r="E564" s="8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3"/>
      <c r="D565" s="82"/>
      <c r="E565" s="8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3"/>
      <c r="D566" s="82"/>
      <c r="E566" s="8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3"/>
      <c r="D567" s="82"/>
      <c r="E567" s="8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3"/>
      <c r="D568" s="82"/>
      <c r="E568" s="8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3"/>
      <c r="D569" s="82"/>
      <c r="E569" s="8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3"/>
      <c r="D570" s="82"/>
      <c r="E570" s="8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3"/>
      <c r="D571" s="82"/>
      <c r="E571" s="8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3"/>
      <c r="D572" s="82"/>
      <c r="E572" s="8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3"/>
      <c r="D573" s="82"/>
      <c r="E573" s="8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3"/>
      <c r="D574" s="82"/>
      <c r="E574" s="8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3"/>
      <c r="D575" s="82"/>
      <c r="E575" s="8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3"/>
      <c r="D576" s="82"/>
      <c r="E576" s="8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3"/>
      <c r="D577" s="82"/>
      <c r="E577" s="8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3"/>
      <c r="D578" s="82"/>
      <c r="E578" s="8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3"/>
      <c r="D579" s="82"/>
      <c r="E579" s="8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3"/>
      <c r="D580" s="82"/>
      <c r="E580" s="8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3"/>
      <c r="D581" s="82"/>
      <c r="E581" s="8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3"/>
      <c r="D582" s="82"/>
      <c r="E582" s="8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3"/>
      <c r="D583" s="82"/>
      <c r="E583" s="8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3"/>
      <c r="D584" s="82"/>
      <c r="E584" s="8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3"/>
      <c r="D585" s="82"/>
      <c r="E585" s="8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3"/>
      <c r="D586" s="82"/>
      <c r="E586" s="8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3"/>
      <c r="D587" s="82"/>
      <c r="E587" s="8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3"/>
      <c r="D588" s="82"/>
      <c r="E588" s="8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3"/>
      <c r="D589" s="82"/>
      <c r="E589" s="8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3"/>
      <c r="D590" s="82"/>
      <c r="E590" s="8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3"/>
      <c r="D591" s="82"/>
      <c r="E591" s="8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3"/>
      <c r="D592" s="82"/>
      <c r="E592" s="8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3"/>
      <c r="D593" s="82"/>
      <c r="E593" s="8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3"/>
      <c r="D594" s="82"/>
      <c r="E594" s="8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3"/>
      <c r="D595" s="82"/>
      <c r="E595" s="8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3"/>
      <c r="D596" s="82"/>
      <c r="E596" s="8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3"/>
      <c r="D597" s="82"/>
      <c r="E597" s="8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3"/>
      <c r="D598" s="82"/>
      <c r="E598" s="8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3"/>
      <c r="D599" s="82"/>
      <c r="E599" s="8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3"/>
      <c r="D600" s="82"/>
      <c r="E600" s="8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3"/>
      <c r="D601" s="82"/>
      <c r="E601" s="8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3"/>
      <c r="D602" s="82"/>
      <c r="E602" s="8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3"/>
      <c r="D603" s="82"/>
      <c r="E603" s="8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3"/>
      <c r="D604" s="82"/>
      <c r="E604" s="8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3"/>
      <c r="D605" s="82"/>
      <c r="E605" s="8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3"/>
      <c r="D606" s="82"/>
      <c r="E606" s="8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3"/>
      <c r="D607" s="82"/>
      <c r="E607" s="8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3"/>
      <c r="D608" s="82"/>
      <c r="E608" s="8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3"/>
      <c r="D609" s="82"/>
      <c r="E609" s="8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3"/>
      <c r="D610" s="82"/>
      <c r="E610" s="8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3"/>
      <c r="D611" s="82"/>
      <c r="E611" s="8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3"/>
      <c r="D612" s="82"/>
      <c r="E612" s="8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3"/>
      <c r="D613" s="82"/>
      <c r="E613" s="8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3"/>
      <c r="D614" s="82"/>
      <c r="E614" s="8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3"/>
      <c r="D615" s="82"/>
      <c r="E615" s="8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3"/>
      <c r="D616" s="82"/>
      <c r="E616" s="8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3"/>
      <c r="D617" s="82"/>
      <c r="E617" s="8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3"/>
      <c r="D618" s="82"/>
      <c r="E618" s="8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3"/>
      <c r="D619" s="82"/>
      <c r="E619" s="8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3"/>
      <c r="D620" s="82"/>
      <c r="E620" s="8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3"/>
      <c r="D621" s="82"/>
      <c r="E621" s="8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3"/>
      <c r="D622" s="82"/>
      <c r="E622" s="8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3"/>
      <c r="D623" s="82"/>
      <c r="E623" s="8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3"/>
      <c r="D624" s="82"/>
      <c r="E624" s="8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3"/>
      <c r="D625" s="82"/>
      <c r="E625" s="8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3"/>
      <c r="D626" s="82"/>
      <c r="E626" s="8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3"/>
      <c r="D627" s="82"/>
      <c r="E627" s="8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3"/>
      <c r="D628" s="82"/>
      <c r="E628" s="8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3"/>
      <c r="D629" s="82"/>
      <c r="E629" s="8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3"/>
      <c r="D630" s="82"/>
      <c r="E630" s="8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3"/>
      <c r="D631" s="82"/>
      <c r="E631" s="8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3"/>
      <c r="D632" s="82"/>
      <c r="E632" s="8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3"/>
      <c r="D633" s="82"/>
      <c r="E633" s="8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3"/>
      <c r="D634" s="82"/>
      <c r="E634" s="8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3"/>
      <c r="D635" s="82"/>
      <c r="E635" s="8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3"/>
      <c r="D636" s="82"/>
      <c r="E636" s="8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3"/>
      <c r="D637" s="82"/>
      <c r="E637" s="8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3"/>
      <c r="D638" s="82"/>
      <c r="E638" s="8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3"/>
      <c r="D639" s="82"/>
      <c r="E639" s="8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3"/>
      <c r="D640" s="82"/>
      <c r="E640" s="8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3"/>
      <c r="D641" s="82"/>
      <c r="E641" s="8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3"/>
      <c r="D642" s="82"/>
      <c r="E642" s="8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3"/>
      <c r="D643" s="82"/>
      <c r="E643" s="8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3"/>
      <c r="D644" s="82"/>
      <c r="E644" s="8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3"/>
      <c r="D645" s="82"/>
      <c r="E645" s="8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3"/>
      <c r="D646" s="82"/>
      <c r="E646" s="8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3"/>
      <c r="D647" s="82"/>
      <c r="E647" s="8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3"/>
      <c r="D648" s="82"/>
      <c r="E648" s="8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3"/>
      <c r="D649" s="82"/>
      <c r="E649" s="8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3"/>
      <c r="D650" s="82"/>
      <c r="E650" s="8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3"/>
      <c r="D651" s="82"/>
      <c r="E651" s="8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3"/>
      <c r="D652" s="82"/>
      <c r="E652" s="8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3"/>
      <c r="D653" s="82"/>
      <c r="E653" s="8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3"/>
      <c r="D654" s="82"/>
      <c r="E654" s="8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3"/>
      <c r="D655" s="82"/>
      <c r="E655" s="8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3"/>
      <c r="D656" s="82"/>
      <c r="E656" s="8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3"/>
      <c r="D657" s="82"/>
      <c r="E657" s="8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3"/>
      <c r="D658" s="82"/>
      <c r="E658" s="8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3"/>
      <c r="D659" s="82"/>
      <c r="E659" s="8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3"/>
      <c r="D660" s="82"/>
      <c r="E660" s="8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3"/>
      <c r="D661" s="82"/>
      <c r="E661" s="8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3"/>
      <c r="D662" s="82"/>
      <c r="E662" s="8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3"/>
      <c r="D663" s="82"/>
      <c r="E663" s="8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3"/>
      <c r="D664" s="82"/>
      <c r="E664" s="8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3"/>
      <c r="D665" s="82"/>
      <c r="E665" s="8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3"/>
      <c r="D666" s="82"/>
      <c r="E666" s="8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3"/>
      <c r="D667" s="82"/>
      <c r="E667" s="8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3"/>
      <c r="D668" s="82"/>
      <c r="E668" s="8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3"/>
      <c r="D669" s="82"/>
      <c r="E669" s="8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3"/>
      <c r="D670" s="82"/>
      <c r="E670" s="8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3"/>
      <c r="D671" s="82"/>
      <c r="E671" s="8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3"/>
      <c r="D672" s="82"/>
      <c r="E672" s="8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3"/>
      <c r="D673" s="82"/>
      <c r="E673" s="8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3"/>
      <c r="D674" s="82"/>
      <c r="E674" s="8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3"/>
      <c r="D675" s="82"/>
      <c r="E675" s="8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3"/>
      <c r="D676" s="82"/>
      <c r="E676" s="8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3"/>
      <c r="D677" s="82"/>
      <c r="E677" s="8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3"/>
      <c r="D678" s="82"/>
      <c r="E678" s="8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3"/>
      <c r="D679" s="82"/>
      <c r="E679" s="8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3"/>
      <c r="D680" s="82"/>
      <c r="E680" s="8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3"/>
      <c r="D681" s="82"/>
      <c r="E681" s="8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3"/>
      <c r="D682" s="82"/>
      <c r="E682" s="8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3"/>
      <c r="D683" s="82"/>
      <c r="E683" s="8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3"/>
      <c r="D684" s="82"/>
      <c r="E684" s="8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3"/>
      <c r="D685" s="82"/>
      <c r="E685" s="8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3"/>
      <c r="D686" s="82"/>
      <c r="E686" s="8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3"/>
      <c r="D687" s="82"/>
      <c r="E687" s="8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3"/>
      <c r="D688" s="82"/>
      <c r="E688" s="8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3"/>
      <c r="D689" s="82"/>
      <c r="E689" s="8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3"/>
      <c r="D690" s="82"/>
      <c r="E690" s="8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3"/>
      <c r="D691" s="82"/>
      <c r="E691" s="8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3"/>
      <c r="D692" s="82"/>
      <c r="E692" s="8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3"/>
      <c r="D693" s="82"/>
      <c r="E693" s="8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3"/>
      <c r="D694" s="82"/>
      <c r="E694" s="8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3"/>
      <c r="D695" s="82"/>
      <c r="E695" s="8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3"/>
      <c r="D696" s="82"/>
      <c r="E696" s="8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3"/>
      <c r="D697" s="82"/>
      <c r="E697" s="8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3"/>
      <c r="D698" s="82"/>
      <c r="E698" s="8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3"/>
      <c r="D699" s="82"/>
      <c r="E699" s="8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3"/>
      <c r="D700" s="82"/>
      <c r="E700" s="8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3"/>
      <c r="D701" s="82"/>
      <c r="E701" s="8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3"/>
      <c r="D702" s="82"/>
      <c r="E702" s="8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3"/>
      <c r="D703" s="82"/>
      <c r="E703" s="8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3"/>
      <c r="D704" s="82"/>
      <c r="E704" s="8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3"/>
      <c r="D705" s="82"/>
      <c r="E705" s="8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3"/>
      <c r="D706" s="82"/>
      <c r="E706" s="8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3"/>
      <c r="D707" s="82"/>
      <c r="E707" s="8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3"/>
      <c r="D708" s="82"/>
      <c r="E708" s="8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3"/>
      <c r="D709" s="82"/>
      <c r="E709" s="8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3"/>
      <c r="D710" s="82"/>
      <c r="E710" s="8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3"/>
      <c r="D711" s="82"/>
      <c r="E711" s="8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3"/>
      <c r="D712" s="82"/>
      <c r="E712" s="8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3"/>
      <c r="D713" s="82"/>
      <c r="E713" s="8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3"/>
      <c r="D714" s="82"/>
      <c r="E714" s="8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3"/>
      <c r="D715" s="82"/>
      <c r="E715" s="8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3"/>
      <c r="D716" s="82"/>
      <c r="E716" s="8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3"/>
      <c r="D717" s="82"/>
      <c r="E717" s="8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3"/>
      <c r="D718" s="82"/>
      <c r="E718" s="8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3"/>
      <c r="D719" s="82"/>
      <c r="E719" s="8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3"/>
      <c r="D720" s="82"/>
      <c r="E720" s="8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3"/>
      <c r="D721" s="82"/>
      <c r="E721" s="8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3"/>
      <c r="D722" s="82"/>
      <c r="E722" s="8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3"/>
      <c r="D723" s="82"/>
      <c r="E723" s="8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3"/>
      <c r="D724" s="82"/>
      <c r="E724" s="8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3"/>
      <c r="D725" s="82"/>
      <c r="E725" s="8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3"/>
      <c r="D726" s="82"/>
      <c r="E726" s="8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3"/>
      <c r="D727" s="82"/>
      <c r="E727" s="8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3"/>
      <c r="D728" s="82"/>
      <c r="E728" s="8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3"/>
      <c r="D729" s="82"/>
      <c r="E729" s="8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3"/>
      <c r="D730" s="82"/>
      <c r="E730" s="8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3"/>
      <c r="D731" s="82"/>
      <c r="E731" s="8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3"/>
      <c r="D732" s="82"/>
      <c r="E732" s="8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3"/>
      <c r="D733" s="82"/>
      <c r="E733" s="8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3"/>
      <c r="D734" s="82"/>
      <c r="E734" s="8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3"/>
      <c r="D735" s="82"/>
      <c r="E735" s="8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3"/>
      <c r="D736" s="82"/>
      <c r="E736" s="8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3"/>
      <c r="D737" s="82"/>
      <c r="E737" s="8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3"/>
      <c r="D738" s="82"/>
      <c r="E738" s="8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3"/>
      <c r="D739" s="82"/>
      <c r="E739" s="8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3"/>
      <c r="D740" s="82"/>
      <c r="E740" s="8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3"/>
      <c r="D741" s="82"/>
      <c r="E741" s="8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3"/>
      <c r="D742" s="82"/>
      <c r="E742" s="8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3"/>
      <c r="D743" s="82"/>
      <c r="E743" s="8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3"/>
      <c r="D744" s="82"/>
      <c r="E744" s="8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3"/>
      <c r="D745" s="82"/>
      <c r="E745" s="8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3"/>
      <c r="D746" s="82"/>
      <c r="E746" s="8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3"/>
      <c r="D747" s="82"/>
      <c r="E747" s="8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3"/>
      <c r="D748" s="82"/>
      <c r="E748" s="8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3"/>
      <c r="D749" s="82"/>
      <c r="E749" s="8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3"/>
      <c r="D750" s="82"/>
      <c r="E750" s="8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3"/>
      <c r="D751" s="82"/>
      <c r="E751" s="8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3"/>
      <c r="D752" s="82"/>
      <c r="E752" s="8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3"/>
      <c r="D753" s="82"/>
      <c r="E753" s="8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3"/>
      <c r="D754" s="82"/>
      <c r="E754" s="8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3"/>
      <c r="D755" s="82"/>
      <c r="E755" s="8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3"/>
      <c r="D756" s="82"/>
      <c r="E756" s="8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3"/>
      <c r="D757" s="82"/>
      <c r="E757" s="8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3"/>
      <c r="D758" s="82"/>
      <c r="E758" s="8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3"/>
      <c r="D759" s="82"/>
      <c r="E759" s="8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3"/>
      <c r="D760" s="82"/>
      <c r="E760" s="8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3"/>
      <c r="D761" s="82"/>
      <c r="E761" s="8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3"/>
      <c r="D762" s="82"/>
      <c r="E762" s="8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3"/>
      <c r="D763" s="82"/>
      <c r="E763" s="8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3"/>
      <c r="D764" s="82"/>
      <c r="E764" s="8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3"/>
      <c r="D765" s="82"/>
      <c r="E765" s="8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3"/>
      <c r="D766" s="82"/>
      <c r="E766" s="8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3"/>
      <c r="D767" s="82"/>
      <c r="E767" s="8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3"/>
      <c r="D768" s="82"/>
      <c r="E768" s="8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3"/>
      <c r="D769" s="82"/>
      <c r="E769" s="8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3"/>
      <c r="D770" s="82"/>
      <c r="E770" s="8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3"/>
      <c r="D771" s="82"/>
      <c r="E771" s="8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3"/>
      <c r="D772" s="82"/>
      <c r="E772" s="8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3"/>
      <c r="D773" s="82"/>
      <c r="E773" s="8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3"/>
      <c r="D774" s="82"/>
      <c r="E774" s="8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3"/>
      <c r="D775" s="82"/>
      <c r="E775" s="8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3"/>
      <c r="D776" s="82"/>
      <c r="E776" s="8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3"/>
      <c r="D777" s="82"/>
      <c r="E777" s="8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3"/>
      <c r="D778" s="82"/>
      <c r="E778" s="8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3"/>
      <c r="D779" s="82"/>
      <c r="E779" s="8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3"/>
      <c r="D780" s="82"/>
      <c r="E780" s="8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3"/>
      <c r="D781" s="82"/>
      <c r="E781" s="8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3"/>
      <c r="D782" s="82"/>
      <c r="E782" s="8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3"/>
      <c r="D783" s="82"/>
      <c r="E783" s="8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3"/>
      <c r="D784" s="82"/>
      <c r="E784" s="8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3"/>
      <c r="D785" s="82"/>
      <c r="E785" s="8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3"/>
      <c r="D786" s="82"/>
      <c r="E786" s="8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3"/>
      <c r="D787" s="82"/>
      <c r="E787" s="8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3"/>
      <c r="D788" s="82"/>
      <c r="E788" s="8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3"/>
      <c r="D789" s="82"/>
      <c r="E789" s="8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3"/>
      <c r="D790" s="82"/>
      <c r="E790" s="8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3"/>
      <c r="D791" s="82"/>
      <c r="E791" s="8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3"/>
      <c r="D792" s="82"/>
      <c r="E792" s="8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3"/>
      <c r="D793" s="82"/>
      <c r="E793" s="8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3"/>
      <c r="D794" s="82"/>
      <c r="E794" s="8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3"/>
      <c r="D795" s="82"/>
      <c r="E795" s="8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3"/>
      <c r="D796" s="82"/>
      <c r="E796" s="8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3"/>
      <c r="D797" s="82"/>
      <c r="E797" s="8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3"/>
      <c r="D798" s="82"/>
      <c r="E798" s="8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3"/>
      <c r="D799" s="82"/>
      <c r="E799" s="8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3"/>
      <c r="D800" s="82"/>
      <c r="E800" s="8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3"/>
      <c r="D801" s="82"/>
      <c r="E801" s="8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3"/>
      <c r="D802" s="82"/>
      <c r="E802" s="8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3"/>
      <c r="D803" s="82"/>
      <c r="E803" s="8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3"/>
      <c r="D804" s="82"/>
      <c r="E804" s="8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3"/>
      <c r="D805" s="82"/>
      <c r="E805" s="8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3"/>
      <c r="D806" s="82"/>
      <c r="E806" s="8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3"/>
      <c r="D807" s="82"/>
      <c r="E807" s="8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3"/>
      <c r="D808" s="82"/>
      <c r="E808" s="8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3"/>
      <c r="D809" s="82"/>
      <c r="E809" s="8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3"/>
      <c r="D810" s="82"/>
      <c r="E810" s="8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3"/>
      <c r="D811" s="82"/>
      <c r="E811" s="8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3"/>
      <c r="D812" s="82"/>
      <c r="E812" s="8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3"/>
      <c r="D813" s="82"/>
      <c r="E813" s="8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3"/>
      <c r="D814" s="82"/>
      <c r="E814" s="8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3"/>
      <c r="D815" s="82"/>
      <c r="E815" s="8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3"/>
      <c r="D816" s="82"/>
      <c r="E816" s="8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3"/>
      <c r="D817" s="82"/>
      <c r="E817" s="8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3"/>
      <c r="D818" s="82"/>
      <c r="E818" s="8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3"/>
      <c r="D819" s="82"/>
      <c r="E819" s="8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3"/>
      <c r="D820" s="82"/>
      <c r="E820" s="8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3"/>
      <c r="D821" s="82"/>
      <c r="E821" s="8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3"/>
      <c r="D822" s="82"/>
      <c r="E822" s="8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3"/>
      <c r="D823" s="82"/>
      <c r="E823" s="8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3"/>
      <c r="D824" s="82"/>
      <c r="E824" s="8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3"/>
      <c r="D825" s="82"/>
      <c r="E825" s="8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3"/>
      <c r="D826" s="82"/>
      <c r="E826" s="8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3"/>
      <c r="D827" s="82"/>
      <c r="E827" s="8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3"/>
      <c r="D828" s="82"/>
      <c r="E828" s="8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3"/>
      <c r="D829" s="82"/>
      <c r="E829" s="8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3"/>
      <c r="D830" s="82"/>
      <c r="E830" s="8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3"/>
      <c r="D831" s="82"/>
      <c r="E831" s="8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3"/>
      <c r="D832" s="82"/>
      <c r="E832" s="8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3"/>
      <c r="D833" s="82"/>
      <c r="E833" s="8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3"/>
      <c r="D834" s="82"/>
      <c r="E834" s="8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3"/>
      <c r="D835" s="82"/>
      <c r="E835" s="8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3"/>
      <c r="D836" s="82"/>
      <c r="E836" s="8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3"/>
      <c r="D837" s="82"/>
      <c r="E837" s="8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3"/>
      <c r="D838" s="82"/>
      <c r="E838" s="8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3"/>
      <c r="D839" s="82"/>
      <c r="E839" s="8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3"/>
      <c r="D840" s="82"/>
      <c r="E840" s="8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3"/>
      <c r="D841" s="82"/>
      <c r="E841" s="8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3"/>
      <c r="D842" s="82"/>
      <c r="E842" s="8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3"/>
      <c r="D843" s="82"/>
      <c r="E843" s="8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3"/>
      <c r="D844" s="82"/>
      <c r="E844" s="8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3"/>
      <c r="D845" s="82"/>
      <c r="E845" s="8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3"/>
      <c r="D846" s="82"/>
      <c r="E846" s="8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3"/>
      <c r="D847" s="82"/>
      <c r="E847" s="8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3"/>
      <c r="D848" s="82"/>
      <c r="E848" s="8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3"/>
      <c r="D849" s="82"/>
      <c r="E849" s="8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3"/>
      <c r="D850" s="82"/>
      <c r="E850" s="8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3"/>
      <c r="D851" s="82"/>
      <c r="E851" s="8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3"/>
      <c r="D852" s="82"/>
      <c r="E852" s="8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3"/>
      <c r="D853" s="82"/>
      <c r="E853" s="8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3"/>
      <c r="D854" s="82"/>
      <c r="E854" s="8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3"/>
      <c r="D855" s="82"/>
      <c r="E855" s="8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3"/>
      <c r="D856" s="82"/>
      <c r="E856" s="8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3"/>
      <c r="D857" s="82"/>
      <c r="E857" s="8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3"/>
      <c r="D858" s="82"/>
      <c r="E858" s="8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3"/>
      <c r="D859" s="82"/>
      <c r="E859" s="8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3"/>
      <c r="D860" s="82"/>
      <c r="E860" s="8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3"/>
      <c r="D861" s="82"/>
      <c r="E861" s="8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3"/>
      <c r="D862" s="82"/>
      <c r="E862" s="8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3"/>
      <c r="D863" s="82"/>
      <c r="E863" s="8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3"/>
      <c r="D864" s="82"/>
      <c r="E864" s="8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3"/>
      <c r="D865" s="82"/>
      <c r="E865" s="8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3"/>
      <c r="D866" s="82"/>
      <c r="E866" s="8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3"/>
      <c r="D867" s="82"/>
      <c r="E867" s="8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3"/>
      <c r="D868" s="82"/>
      <c r="E868" s="8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3"/>
      <c r="D869" s="82"/>
      <c r="E869" s="8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3"/>
      <c r="D870" s="82"/>
      <c r="E870" s="8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3"/>
      <c r="D871" s="82"/>
      <c r="E871" s="8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3"/>
      <c r="D872" s="82"/>
      <c r="E872" s="8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3"/>
      <c r="D873" s="82"/>
      <c r="E873" s="8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3"/>
      <c r="D874" s="82"/>
      <c r="E874" s="8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3"/>
      <c r="D875" s="82"/>
      <c r="E875" s="8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3"/>
      <c r="D876" s="82"/>
      <c r="E876" s="8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3"/>
      <c r="D877" s="82"/>
      <c r="E877" s="8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3"/>
      <c r="D878" s="82"/>
      <c r="E878" s="8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3"/>
      <c r="D879" s="82"/>
      <c r="E879" s="8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3"/>
      <c r="D880" s="82"/>
      <c r="E880" s="8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3"/>
      <c r="D881" s="82"/>
      <c r="E881" s="8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3"/>
      <c r="D882" s="82"/>
      <c r="E882" s="8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3"/>
      <c r="D883" s="82"/>
      <c r="E883" s="8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3"/>
      <c r="D884" s="82"/>
      <c r="E884" s="8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3"/>
      <c r="D885" s="82"/>
      <c r="E885" s="8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3"/>
      <c r="D886" s="82"/>
      <c r="E886" s="8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3"/>
      <c r="D887" s="82"/>
      <c r="E887" s="8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3"/>
      <c r="D888" s="82"/>
      <c r="E888" s="8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3"/>
      <c r="D889" s="82"/>
      <c r="E889" s="8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3"/>
      <c r="D890" s="82"/>
      <c r="E890" s="8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3"/>
      <c r="D891" s="82"/>
      <c r="E891" s="8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3"/>
      <c r="D892" s="82"/>
      <c r="E892" s="8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3"/>
      <c r="D893" s="82"/>
      <c r="E893" s="8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3"/>
      <c r="D894" s="82"/>
      <c r="E894" s="8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3"/>
      <c r="D895" s="82"/>
      <c r="E895" s="8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3"/>
      <c r="D896" s="82"/>
      <c r="E896" s="8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3"/>
      <c r="D897" s="82"/>
      <c r="E897" s="8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3"/>
      <c r="D898" s="82"/>
      <c r="E898" s="8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3"/>
      <c r="D899" s="82"/>
      <c r="E899" s="8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3"/>
      <c r="D900" s="82"/>
      <c r="E900" s="8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3"/>
      <c r="D901" s="82"/>
      <c r="E901" s="8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3"/>
      <c r="D902" s="82"/>
      <c r="E902" s="8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3"/>
      <c r="D903" s="82"/>
      <c r="E903" s="8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3"/>
      <c r="D904" s="82"/>
      <c r="E904" s="8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3"/>
      <c r="D905" s="82"/>
      <c r="E905" s="8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3"/>
      <c r="D906" s="82"/>
      <c r="E906" s="8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3"/>
      <c r="D907" s="82"/>
      <c r="E907" s="8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3"/>
      <c r="D908" s="82"/>
      <c r="E908" s="8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3"/>
      <c r="D909" s="82"/>
      <c r="E909" s="8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3"/>
      <c r="D910" s="82"/>
      <c r="E910" s="8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3"/>
      <c r="D911" s="82"/>
      <c r="E911" s="8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3"/>
      <c r="D912" s="82"/>
      <c r="E912" s="8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3"/>
      <c r="D913" s="82"/>
      <c r="E913" s="8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3"/>
      <c r="D914" s="82"/>
      <c r="E914" s="8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3"/>
      <c r="D915" s="82"/>
      <c r="E915" s="8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3"/>
      <c r="D916" s="82"/>
      <c r="E916" s="8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3"/>
      <c r="D917" s="82"/>
      <c r="E917" s="8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3"/>
      <c r="D918" s="82"/>
      <c r="E918" s="8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3"/>
      <c r="D919" s="82"/>
      <c r="E919" s="8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3"/>
      <c r="D920" s="82"/>
      <c r="E920" s="8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3"/>
      <c r="D921" s="82"/>
      <c r="E921" s="8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3"/>
      <c r="D922" s="82"/>
      <c r="E922" s="8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3"/>
      <c r="D923" s="82"/>
      <c r="E923" s="8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3"/>
      <c r="D924" s="82"/>
      <c r="E924" s="8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3"/>
      <c r="D925" s="82"/>
      <c r="E925" s="8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3"/>
      <c r="D926" s="82"/>
      <c r="E926" s="8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3"/>
      <c r="D927" s="82"/>
      <c r="E927" s="8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3"/>
      <c r="D928" s="82"/>
      <c r="E928" s="8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3"/>
      <c r="D929" s="82"/>
      <c r="E929" s="8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3"/>
      <c r="D930" s="82"/>
      <c r="E930" s="8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3"/>
      <c r="D931" s="82"/>
      <c r="E931" s="8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3"/>
      <c r="D932" s="82"/>
      <c r="E932" s="8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3"/>
      <c r="D933" s="82"/>
      <c r="E933" s="8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3"/>
      <c r="D934" s="82"/>
      <c r="E934" s="8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3"/>
      <c r="D935" s="82"/>
      <c r="E935" s="8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3"/>
      <c r="D936" s="82"/>
      <c r="E936" s="8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3"/>
      <c r="D937" s="82"/>
      <c r="E937" s="8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3"/>
      <c r="D938" s="82"/>
      <c r="E938" s="8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3"/>
      <c r="D939" s="82"/>
      <c r="E939" s="8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3"/>
      <c r="D940" s="82"/>
      <c r="E940" s="8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3"/>
      <c r="D941" s="82"/>
      <c r="E941" s="8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3"/>
      <c r="D942" s="82"/>
      <c r="E942" s="8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3"/>
      <c r="D943" s="82"/>
      <c r="E943" s="8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3"/>
      <c r="D944" s="82"/>
      <c r="E944" s="8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3"/>
      <c r="D945" s="82"/>
      <c r="E945" s="8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3"/>
      <c r="D946" s="82"/>
      <c r="E946" s="8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3"/>
      <c r="D947" s="82"/>
      <c r="E947" s="8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3"/>
      <c r="D948" s="82"/>
      <c r="E948" s="8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3"/>
      <c r="D949" s="82"/>
      <c r="E949" s="8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3"/>
      <c r="D950" s="82"/>
      <c r="E950" s="8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3"/>
      <c r="D951" s="82"/>
      <c r="E951" s="8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3"/>
      <c r="D952" s="82"/>
      <c r="E952" s="8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3"/>
      <c r="D953" s="82"/>
      <c r="E953" s="8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3"/>
      <c r="D954" s="82"/>
      <c r="E954" s="8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3"/>
      <c r="D955" s="82"/>
      <c r="E955" s="8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3"/>
      <c r="D956" s="82"/>
      <c r="E956" s="8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3"/>
      <c r="D957" s="82"/>
      <c r="E957" s="8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3"/>
      <c r="D958" s="82"/>
      <c r="E958" s="8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3"/>
      <c r="D959" s="82"/>
      <c r="E959" s="8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83"/>
      <c r="D960" s="82"/>
      <c r="E960" s="8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4"/>
      <c r="C961" s="4"/>
      <c r="D961" s="82"/>
      <c r="E961" s="8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82"/>
      <c r="E962" s="82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82"/>
      <c r="E963" s="82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82"/>
      <c r="E964" s="82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82"/>
      <c r="E965" s="82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82"/>
      <c r="E966" s="82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82"/>
      <c r="E967" s="82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82"/>
      <c r="E968" s="82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82"/>
      <c r="E969" s="8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82"/>
      <c r="E970" s="82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82"/>
      <c r="E971" s="82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</sheetData>
  <mergeCells count="231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A20:AJ20"/>
    <mergeCell ref="AM20:AV20"/>
    <mergeCell ref="AG14:AH14"/>
    <mergeCell ref="AG15:AH15"/>
    <mergeCell ref="AI15:AJ15"/>
    <mergeCell ref="AG16:AH16"/>
    <mergeCell ref="AI16:AJ16"/>
    <mergeCell ref="AG17:AH17"/>
    <mergeCell ref="AI17:AJ17"/>
    <mergeCell ref="AS27:AT27"/>
    <mergeCell ref="AS28:AT28"/>
    <mergeCell ref="AS23:AT23"/>
    <mergeCell ref="AS24:AT24"/>
    <mergeCell ref="AS25:AT25"/>
    <mergeCell ref="AU25:AV25"/>
    <mergeCell ref="AS26:AT26"/>
    <mergeCell ref="AU26:AV26"/>
    <mergeCell ref="AU27:AV27"/>
    <mergeCell ref="AU28:AV28"/>
    <mergeCell ref="AG27:AH27"/>
    <mergeCell ref="AG28:AH28"/>
    <mergeCell ref="AG29:AH29"/>
    <mergeCell ref="AG30:AH30"/>
    <mergeCell ref="AI30:AJ30"/>
    <mergeCell ref="AA32:AJ32"/>
    <mergeCell ref="U28:V28"/>
    <mergeCell ref="W28:X28"/>
    <mergeCell ref="U29:V29"/>
    <mergeCell ref="W29:X29"/>
    <mergeCell ref="U30:V30"/>
    <mergeCell ref="W30:X30"/>
    <mergeCell ref="O32:X32"/>
    <mergeCell ref="U16:V16"/>
    <mergeCell ref="U17:V17"/>
    <mergeCell ref="U18:V18"/>
    <mergeCell ref="O20:X20"/>
    <mergeCell ref="U12:V12"/>
    <mergeCell ref="U13:V13"/>
    <mergeCell ref="U14:V14"/>
    <mergeCell ref="W14:X14"/>
    <mergeCell ref="U15:V15"/>
    <mergeCell ref="W15:X15"/>
    <mergeCell ref="W16:X16"/>
    <mergeCell ref="U23:V23"/>
    <mergeCell ref="W23:X23"/>
    <mergeCell ref="AI23:AJ23"/>
    <mergeCell ref="AU23:AV23"/>
    <mergeCell ref="W24:X24"/>
    <mergeCell ref="AI24:AJ24"/>
    <mergeCell ref="AU24:AV24"/>
    <mergeCell ref="U24:V24"/>
    <mergeCell ref="U25:V25"/>
    <mergeCell ref="W25:X25"/>
    <mergeCell ref="U26:V26"/>
    <mergeCell ref="W26:X26"/>
    <mergeCell ref="U27:V27"/>
    <mergeCell ref="W27:X27"/>
    <mergeCell ref="AI28:AJ28"/>
    <mergeCell ref="AI29:AJ29"/>
    <mergeCell ref="AS29:AT29"/>
    <mergeCell ref="AU29:AV29"/>
    <mergeCell ref="AS30:AT30"/>
    <mergeCell ref="AU30:AV30"/>
    <mergeCell ref="AM32:AV32"/>
    <mergeCell ref="AG23:AH23"/>
    <mergeCell ref="AG24:AH24"/>
    <mergeCell ref="AG25:AH25"/>
    <mergeCell ref="AI25:AJ25"/>
    <mergeCell ref="AG26:AH26"/>
    <mergeCell ref="AI26:AJ26"/>
    <mergeCell ref="AI27:AJ27"/>
    <mergeCell ref="AG35:AH35"/>
    <mergeCell ref="AG36:AH36"/>
    <mergeCell ref="U42:V42"/>
    <mergeCell ref="U43:V43"/>
    <mergeCell ref="O45:X45"/>
    <mergeCell ref="U39:V39"/>
    <mergeCell ref="W39:X39"/>
    <mergeCell ref="U40:V40"/>
    <mergeCell ref="W40:X40"/>
    <mergeCell ref="U41:V41"/>
    <mergeCell ref="W41:X41"/>
    <mergeCell ref="W42:X42"/>
    <mergeCell ref="W43:X43"/>
    <mergeCell ref="U35:V35"/>
    <mergeCell ref="W35:X35"/>
    <mergeCell ref="AI35:AJ35"/>
    <mergeCell ref="AU35:AV35"/>
    <mergeCell ref="W36:X36"/>
    <mergeCell ref="AI36:AJ36"/>
    <mergeCell ref="AU36:AV36"/>
    <mergeCell ref="U36:V36"/>
    <mergeCell ref="U37:V37"/>
    <mergeCell ref="W37:X37"/>
    <mergeCell ref="AG37:AH37"/>
    <mergeCell ref="AI37:AJ37"/>
    <mergeCell ref="U38:V38"/>
    <mergeCell ref="W38:X38"/>
    <mergeCell ref="AS39:AT39"/>
    <mergeCell ref="AS40:AT40"/>
    <mergeCell ref="AS41:AT41"/>
    <mergeCell ref="AS42:AT42"/>
    <mergeCell ref="AS43:AT43"/>
    <mergeCell ref="AU40:AV40"/>
    <mergeCell ref="AU41:AV41"/>
    <mergeCell ref="AU42:AV42"/>
    <mergeCell ref="AU43:AV43"/>
    <mergeCell ref="AS35:AT35"/>
    <mergeCell ref="AS36:AT36"/>
    <mergeCell ref="AS37:AT37"/>
    <mergeCell ref="AU37:AV37"/>
    <mergeCell ref="AS38:AT38"/>
    <mergeCell ref="AU38:AV38"/>
    <mergeCell ref="AU39:AV39"/>
    <mergeCell ref="AG41:AH41"/>
    <mergeCell ref="AG42:AH42"/>
    <mergeCell ref="AG43:AH43"/>
    <mergeCell ref="AI42:AJ42"/>
    <mergeCell ref="AI43:AJ43"/>
    <mergeCell ref="AA45:AJ45"/>
    <mergeCell ref="AM45:AV45"/>
    <mergeCell ref="AG38:AH38"/>
    <mergeCell ref="AI38:AJ38"/>
    <mergeCell ref="AG39:AH39"/>
    <mergeCell ref="AI39:AJ39"/>
    <mergeCell ref="AG40:AH40"/>
    <mergeCell ref="AI40:AJ40"/>
    <mergeCell ref="AI41:AJ41"/>
    <mergeCell ref="K40:L40"/>
    <mergeCell ref="K41:L41"/>
    <mergeCell ref="K42:L42"/>
    <mergeCell ref="K43:L43"/>
    <mergeCell ref="C45:L45"/>
    <mergeCell ref="B48:F49"/>
    <mergeCell ref="B50:D51"/>
    <mergeCell ref="E56:E57"/>
    <mergeCell ref="F56:F57"/>
    <mergeCell ref="B58:D59"/>
    <mergeCell ref="E58:E59"/>
    <mergeCell ref="F58:F59"/>
    <mergeCell ref="E50:E51"/>
    <mergeCell ref="F50:F51"/>
    <mergeCell ref="B52:F53"/>
    <mergeCell ref="B54:D55"/>
    <mergeCell ref="E54:E55"/>
    <mergeCell ref="F54:F55"/>
    <mergeCell ref="B56:D57"/>
    <mergeCell ref="I17:J17"/>
    <mergeCell ref="K17:L17"/>
    <mergeCell ref="I18:J18"/>
    <mergeCell ref="K18:L18"/>
    <mergeCell ref="C20:L20"/>
    <mergeCell ref="I13:J13"/>
    <mergeCell ref="I14:J14"/>
    <mergeCell ref="K14:L14"/>
    <mergeCell ref="I15:J15"/>
    <mergeCell ref="K15:L15"/>
    <mergeCell ref="I16:J16"/>
    <mergeCell ref="K16:L16"/>
    <mergeCell ref="K27:L27"/>
    <mergeCell ref="K28:L28"/>
    <mergeCell ref="K29:L29"/>
    <mergeCell ref="K30:L30"/>
    <mergeCell ref="C32:L32"/>
    <mergeCell ref="I23:J23"/>
    <mergeCell ref="K23:L23"/>
    <mergeCell ref="I24:J24"/>
    <mergeCell ref="K24:L24"/>
    <mergeCell ref="I25:J25"/>
    <mergeCell ref="K25:L25"/>
    <mergeCell ref="K26:L26"/>
    <mergeCell ref="I26:J26"/>
    <mergeCell ref="I27:J27"/>
    <mergeCell ref="I28:J28"/>
    <mergeCell ref="I29:J29"/>
    <mergeCell ref="I30:J30"/>
    <mergeCell ref="I35:J35"/>
    <mergeCell ref="K35:L35"/>
    <mergeCell ref="I39:J39"/>
    <mergeCell ref="I40:J40"/>
    <mergeCell ref="I41:J41"/>
    <mergeCell ref="I42:J42"/>
    <mergeCell ref="I43:J43"/>
    <mergeCell ref="I36:J36"/>
    <mergeCell ref="K36:L36"/>
    <mergeCell ref="I37:J37"/>
    <mergeCell ref="K37:L37"/>
    <mergeCell ref="I38:J38"/>
    <mergeCell ref="K38:L38"/>
    <mergeCell ref="K39:L39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0"/>
    <hyperlink r:id="rId54" ref="O30"/>
    <hyperlink r:id="rId55" ref="AA30"/>
    <hyperlink r:id="rId56" ref="AM30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C40"/>
    <hyperlink r:id="rId74" ref="O40"/>
    <hyperlink r:id="rId75" ref="AA40"/>
    <hyperlink r:id="rId76" ref="AM40"/>
    <hyperlink r:id="rId77" ref="C41"/>
    <hyperlink r:id="rId78" ref="O41"/>
    <hyperlink r:id="rId79" ref="AA41"/>
    <hyperlink r:id="rId80" ref="AM41"/>
    <hyperlink r:id="rId81" ref="C42"/>
    <hyperlink r:id="rId82" ref="O42"/>
    <hyperlink r:id="rId83" ref="AA42"/>
    <hyperlink r:id="rId84" ref="AM42"/>
    <hyperlink r:id="rId85" ref="C43"/>
    <hyperlink r:id="rId86" ref="O43"/>
    <hyperlink r:id="rId87" ref="AA43"/>
    <hyperlink r:id="rId88" ref="AM43"/>
    <hyperlink r:id="rId89" ref="B54"/>
    <hyperlink r:id="rId90" ref="B56"/>
    <hyperlink r:id="rId91" ref="B58"/>
  </hyperlinks>
  <printOptions/>
  <pageMargins bottom="0.75" footer="0.0" header="0.0" left="0.7" right="0.7" top="0.75"/>
  <pageSetup orientation="portrait"/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74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74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43" t="s">
        <v>74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43" t="s">
        <v>74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91" t="s">
        <v>6</v>
      </c>
      <c r="D11" s="91" t="s">
        <v>7</v>
      </c>
      <c r="E11" s="91" t="s">
        <v>8</v>
      </c>
      <c r="F11" s="91" t="s">
        <v>9</v>
      </c>
      <c r="G11" s="91" t="s">
        <v>10</v>
      </c>
      <c r="H11" s="92" t="s">
        <v>11</v>
      </c>
      <c r="I11" s="93" t="s">
        <v>12</v>
      </c>
      <c r="J11" s="23"/>
      <c r="K11" s="93" t="s">
        <v>13</v>
      </c>
      <c r="L11" s="23"/>
      <c r="M11" s="5"/>
      <c r="N11" s="19" t="s">
        <v>5</v>
      </c>
      <c r="O11" s="91" t="s">
        <v>6</v>
      </c>
      <c r="P11" s="91" t="s">
        <v>7</v>
      </c>
      <c r="Q11" s="91" t="s">
        <v>8</v>
      </c>
      <c r="R11" s="91" t="s">
        <v>9</v>
      </c>
      <c r="S11" s="91" t="s">
        <v>10</v>
      </c>
      <c r="T11" s="92" t="s">
        <v>11</v>
      </c>
      <c r="U11" s="93" t="s">
        <v>12</v>
      </c>
      <c r="V11" s="23"/>
      <c r="W11" s="93" t="s">
        <v>13</v>
      </c>
      <c r="X11" s="23"/>
      <c r="Y11" s="24"/>
      <c r="Z11" s="19" t="s">
        <v>5</v>
      </c>
      <c r="AA11" s="21" t="s">
        <v>6</v>
      </c>
      <c r="AB11" s="21" t="s">
        <v>7</v>
      </c>
      <c r="AC11" s="21" t="s">
        <v>8</v>
      </c>
      <c r="AD11" s="21" t="s">
        <v>9</v>
      </c>
      <c r="AE11" s="21" t="s">
        <v>10</v>
      </c>
      <c r="AF11" s="20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1" t="s">
        <v>6</v>
      </c>
      <c r="AN11" s="21" t="s">
        <v>7</v>
      </c>
      <c r="AO11" s="21" t="s">
        <v>8</v>
      </c>
      <c r="AP11" s="21" t="s">
        <v>9</v>
      </c>
      <c r="AQ11" s="21" t="s">
        <v>10</v>
      </c>
      <c r="AR11" s="20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1"/>
      <c r="B12" s="1"/>
      <c r="C12" s="94" t="s">
        <v>26</v>
      </c>
      <c r="D12" s="95">
        <v>3.0</v>
      </c>
      <c r="E12" s="96">
        <v>8.0</v>
      </c>
      <c r="F12" s="96">
        <v>8.0</v>
      </c>
      <c r="G12" s="97"/>
      <c r="H12" s="98"/>
      <c r="I12" s="99"/>
      <c r="J12" s="23"/>
      <c r="K12" s="99"/>
      <c r="L12" s="23"/>
      <c r="M12" s="33"/>
      <c r="N12" s="1"/>
      <c r="O12" s="94" t="s">
        <v>26</v>
      </c>
      <c r="P12" s="95">
        <v>3.0</v>
      </c>
      <c r="Q12" s="96">
        <v>8.0</v>
      </c>
      <c r="R12" s="96">
        <v>8.0</v>
      </c>
      <c r="S12" s="100"/>
      <c r="T12" s="98"/>
      <c r="U12" s="99"/>
      <c r="V12" s="23"/>
      <c r="W12" s="99"/>
      <c r="X12" s="23"/>
      <c r="Y12" s="1"/>
      <c r="Z12" s="11"/>
      <c r="AA12" s="101" t="s">
        <v>26</v>
      </c>
      <c r="AB12" s="28">
        <v>3.0</v>
      </c>
      <c r="AC12" s="29">
        <v>8.0</v>
      </c>
      <c r="AD12" s="29">
        <v>8.0</v>
      </c>
      <c r="AE12" s="102"/>
      <c r="AF12" s="102"/>
      <c r="AG12" s="103"/>
      <c r="AH12" s="23"/>
      <c r="AI12" s="103"/>
      <c r="AJ12" s="23"/>
      <c r="AK12" s="35"/>
      <c r="AL12" s="11"/>
      <c r="AM12" s="101" t="s">
        <v>26</v>
      </c>
      <c r="AN12" s="28">
        <v>3.0</v>
      </c>
      <c r="AO12" s="29">
        <v>8.0</v>
      </c>
      <c r="AP12" s="29">
        <v>8.0</v>
      </c>
      <c r="AQ12" s="102"/>
      <c r="AR12" s="102"/>
      <c r="AS12" s="103"/>
      <c r="AT12" s="23"/>
      <c r="AU12" s="103"/>
      <c r="AV12" s="23"/>
    </row>
    <row r="13" ht="20.25" customHeight="1">
      <c r="A13" s="4"/>
      <c r="B13" s="1"/>
      <c r="C13" s="101" t="s">
        <v>75</v>
      </c>
      <c r="D13" s="95">
        <v>3.0</v>
      </c>
      <c r="E13" s="96" t="s">
        <v>16</v>
      </c>
      <c r="F13" s="96">
        <v>8.0</v>
      </c>
      <c r="G13" s="98"/>
      <c r="H13" s="98"/>
      <c r="I13" s="99"/>
      <c r="J13" s="23"/>
      <c r="K13" s="99"/>
      <c r="L13" s="23"/>
      <c r="M13" s="33"/>
      <c r="N13" s="1"/>
      <c r="O13" s="101" t="s">
        <v>75</v>
      </c>
      <c r="P13" s="95">
        <v>3.0</v>
      </c>
      <c r="Q13" s="96" t="s">
        <v>16</v>
      </c>
      <c r="R13" s="96">
        <v>8.0</v>
      </c>
      <c r="S13" s="98"/>
      <c r="T13" s="98"/>
      <c r="U13" s="99"/>
      <c r="V13" s="23"/>
      <c r="W13" s="99"/>
      <c r="X13" s="23"/>
      <c r="Y13" s="1"/>
      <c r="Z13" s="11"/>
      <c r="AA13" s="101" t="s">
        <v>75</v>
      </c>
      <c r="AB13" s="28">
        <v>3.0</v>
      </c>
      <c r="AC13" s="29" t="s">
        <v>16</v>
      </c>
      <c r="AD13" s="29">
        <v>8.0</v>
      </c>
      <c r="AE13" s="102"/>
      <c r="AF13" s="102"/>
      <c r="AG13" s="103"/>
      <c r="AH13" s="23"/>
      <c r="AI13" s="103"/>
      <c r="AJ13" s="23"/>
      <c r="AK13" s="35"/>
      <c r="AL13" s="11"/>
      <c r="AM13" s="101" t="s">
        <v>75</v>
      </c>
      <c r="AN13" s="28">
        <v>3.0</v>
      </c>
      <c r="AO13" s="29" t="s">
        <v>16</v>
      </c>
      <c r="AP13" s="29">
        <v>8.0</v>
      </c>
      <c r="AQ13" s="102"/>
      <c r="AR13" s="102"/>
      <c r="AS13" s="103"/>
      <c r="AT13" s="23"/>
      <c r="AU13" s="103"/>
      <c r="AV13" s="23"/>
    </row>
    <row r="14" ht="20.25" customHeight="1">
      <c r="A14" s="4"/>
      <c r="B14" s="1"/>
      <c r="C14" s="101" t="s">
        <v>76</v>
      </c>
      <c r="D14" s="95">
        <v>3.0</v>
      </c>
      <c r="E14" s="96" t="s">
        <v>16</v>
      </c>
      <c r="F14" s="96">
        <v>8.0</v>
      </c>
      <c r="G14" s="98"/>
      <c r="H14" s="98"/>
      <c r="I14" s="99"/>
      <c r="J14" s="23"/>
      <c r="K14" s="99"/>
      <c r="L14" s="23"/>
      <c r="M14" s="33"/>
      <c r="N14" s="1"/>
      <c r="O14" s="101" t="s">
        <v>76</v>
      </c>
      <c r="P14" s="95">
        <v>3.0</v>
      </c>
      <c r="Q14" s="96" t="s">
        <v>16</v>
      </c>
      <c r="R14" s="96">
        <v>8.0</v>
      </c>
      <c r="S14" s="98"/>
      <c r="T14" s="98"/>
      <c r="U14" s="99"/>
      <c r="V14" s="23"/>
      <c r="W14" s="99"/>
      <c r="X14" s="23"/>
      <c r="Y14" s="24"/>
      <c r="Z14" s="104"/>
      <c r="AA14" s="101" t="s">
        <v>76</v>
      </c>
      <c r="AB14" s="28">
        <v>3.0</v>
      </c>
      <c r="AC14" s="29" t="s">
        <v>16</v>
      </c>
      <c r="AD14" s="29">
        <v>8.0</v>
      </c>
      <c r="AE14" s="102"/>
      <c r="AF14" s="102"/>
      <c r="AG14" s="103"/>
      <c r="AH14" s="23"/>
      <c r="AI14" s="103"/>
      <c r="AJ14" s="23"/>
      <c r="AK14" s="35"/>
      <c r="AL14" s="104"/>
      <c r="AM14" s="101" t="s">
        <v>76</v>
      </c>
      <c r="AN14" s="28">
        <v>3.0</v>
      </c>
      <c r="AO14" s="29" t="s">
        <v>16</v>
      </c>
      <c r="AP14" s="29">
        <v>8.0</v>
      </c>
      <c r="AQ14" s="102"/>
      <c r="AR14" s="102"/>
      <c r="AS14" s="103"/>
      <c r="AT14" s="23"/>
      <c r="AU14" s="103"/>
      <c r="AV14" s="23"/>
    </row>
    <row r="15" ht="20.25" customHeight="1">
      <c r="A15" s="1"/>
      <c r="B15" s="1"/>
      <c r="C15" s="101" t="s">
        <v>77</v>
      </c>
      <c r="D15" s="95">
        <v>3.0</v>
      </c>
      <c r="E15" s="95" t="s">
        <v>16</v>
      </c>
      <c r="F15" s="96">
        <v>8.0</v>
      </c>
      <c r="G15" s="98"/>
      <c r="H15" s="98"/>
      <c r="I15" s="99"/>
      <c r="J15" s="23"/>
      <c r="K15" s="99"/>
      <c r="L15" s="23"/>
      <c r="M15" s="33"/>
      <c r="N15" s="1"/>
      <c r="O15" s="101" t="s">
        <v>77</v>
      </c>
      <c r="P15" s="95">
        <v>3.0</v>
      </c>
      <c r="Q15" s="95" t="s">
        <v>16</v>
      </c>
      <c r="R15" s="96">
        <v>8.0</v>
      </c>
      <c r="S15" s="98"/>
      <c r="T15" s="98"/>
      <c r="U15" s="99"/>
      <c r="V15" s="23"/>
      <c r="W15" s="99"/>
      <c r="X15" s="23"/>
      <c r="Y15" s="24"/>
      <c r="Z15" s="104"/>
      <c r="AA15" s="101" t="s">
        <v>77</v>
      </c>
      <c r="AB15" s="28">
        <v>3.0</v>
      </c>
      <c r="AC15" s="28" t="s">
        <v>16</v>
      </c>
      <c r="AD15" s="29">
        <v>8.0</v>
      </c>
      <c r="AE15" s="102"/>
      <c r="AF15" s="102"/>
      <c r="AG15" s="103"/>
      <c r="AH15" s="23"/>
      <c r="AI15" s="103"/>
      <c r="AJ15" s="23"/>
      <c r="AK15" s="35"/>
      <c r="AL15" s="104"/>
      <c r="AM15" s="101" t="s">
        <v>77</v>
      </c>
      <c r="AN15" s="28">
        <v>3.0</v>
      </c>
      <c r="AO15" s="28" t="s">
        <v>16</v>
      </c>
      <c r="AP15" s="29">
        <v>8.0</v>
      </c>
      <c r="AQ15" s="102"/>
      <c r="AR15" s="102"/>
      <c r="AS15" s="103"/>
      <c r="AT15" s="23"/>
      <c r="AU15" s="103"/>
      <c r="AV15" s="23"/>
    </row>
    <row r="16">
      <c r="A16" s="1"/>
      <c r="B16" s="1"/>
      <c r="C16" s="101" t="s">
        <v>78</v>
      </c>
      <c r="D16" s="95">
        <v>3.0</v>
      </c>
      <c r="E16" s="95" t="s">
        <v>16</v>
      </c>
      <c r="F16" s="96">
        <v>8.0</v>
      </c>
      <c r="G16" s="98"/>
      <c r="H16" s="98"/>
      <c r="I16" s="99"/>
      <c r="J16" s="23"/>
      <c r="K16" s="99"/>
      <c r="L16" s="23"/>
      <c r="M16" s="33"/>
      <c r="N16" s="1"/>
      <c r="O16" s="101" t="s">
        <v>78</v>
      </c>
      <c r="P16" s="95">
        <v>3.0</v>
      </c>
      <c r="Q16" s="95" t="s">
        <v>16</v>
      </c>
      <c r="R16" s="96">
        <v>8.0</v>
      </c>
      <c r="S16" s="98"/>
      <c r="T16" s="98"/>
      <c r="U16" s="99"/>
      <c r="V16" s="23"/>
      <c r="W16" s="99"/>
      <c r="X16" s="23"/>
      <c r="Y16" s="1"/>
      <c r="Z16" s="11"/>
      <c r="AA16" s="101" t="s">
        <v>78</v>
      </c>
      <c r="AB16" s="28">
        <v>3.0</v>
      </c>
      <c r="AC16" s="28" t="s">
        <v>16</v>
      </c>
      <c r="AD16" s="29">
        <v>8.0</v>
      </c>
      <c r="AE16" s="102"/>
      <c r="AF16" s="102"/>
      <c r="AG16" s="103"/>
      <c r="AH16" s="23"/>
      <c r="AI16" s="103"/>
      <c r="AJ16" s="23"/>
      <c r="AK16" s="35"/>
      <c r="AL16" s="11"/>
      <c r="AM16" s="101" t="s">
        <v>78</v>
      </c>
      <c r="AN16" s="28">
        <v>3.0</v>
      </c>
      <c r="AO16" s="28" t="s">
        <v>16</v>
      </c>
      <c r="AP16" s="29">
        <v>8.0</v>
      </c>
      <c r="AQ16" s="102"/>
      <c r="AR16" s="102"/>
      <c r="AS16" s="103"/>
      <c r="AT16" s="23"/>
      <c r="AU16" s="103"/>
      <c r="AV16" s="23"/>
    </row>
    <row r="17" ht="20.25" customHeight="1">
      <c r="A17" s="1"/>
      <c r="B17" s="1"/>
      <c r="C17" s="101" t="s">
        <v>29</v>
      </c>
      <c r="D17" s="95">
        <v>3.0</v>
      </c>
      <c r="E17" s="96" t="s">
        <v>79</v>
      </c>
      <c r="F17" s="96">
        <v>8.0</v>
      </c>
      <c r="G17" s="98"/>
      <c r="H17" s="98"/>
      <c r="I17" s="99"/>
      <c r="J17" s="23"/>
      <c r="K17" s="99"/>
      <c r="L17" s="23"/>
      <c r="M17" s="33"/>
      <c r="N17" s="1"/>
      <c r="O17" s="101" t="s">
        <v>29</v>
      </c>
      <c r="P17" s="95">
        <v>3.0</v>
      </c>
      <c r="Q17" s="96" t="s">
        <v>79</v>
      </c>
      <c r="R17" s="96">
        <v>8.0</v>
      </c>
      <c r="S17" s="98"/>
      <c r="T17" s="98"/>
      <c r="U17" s="99"/>
      <c r="V17" s="23"/>
      <c r="W17" s="99"/>
      <c r="X17" s="23"/>
      <c r="Y17" s="24"/>
      <c r="Z17" s="104"/>
      <c r="AA17" s="101" t="s">
        <v>29</v>
      </c>
      <c r="AB17" s="28">
        <v>3.0</v>
      </c>
      <c r="AC17" s="29" t="s">
        <v>79</v>
      </c>
      <c r="AD17" s="29">
        <v>8.0</v>
      </c>
      <c r="AE17" s="102"/>
      <c r="AF17" s="102"/>
      <c r="AG17" s="103"/>
      <c r="AH17" s="23"/>
      <c r="AI17" s="103"/>
      <c r="AJ17" s="23"/>
      <c r="AK17" s="35"/>
      <c r="AL17" s="104"/>
      <c r="AM17" s="101" t="s">
        <v>29</v>
      </c>
      <c r="AN17" s="28">
        <v>3.0</v>
      </c>
      <c r="AO17" s="29" t="s">
        <v>79</v>
      </c>
      <c r="AP17" s="29">
        <v>8.0</v>
      </c>
      <c r="AQ17" s="102"/>
      <c r="AR17" s="102"/>
      <c r="AS17" s="103"/>
      <c r="AT17" s="23"/>
      <c r="AU17" s="103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05"/>
      <c r="AA18" s="106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105"/>
      <c r="AM18" s="106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80</v>
      </c>
      <c r="D19" s="82"/>
      <c r="E19" s="82"/>
      <c r="F19" s="1"/>
      <c r="G19" s="1"/>
      <c r="H19" s="1"/>
      <c r="I19" s="1"/>
      <c r="J19" s="1"/>
      <c r="K19" s="1"/>
      <c r="L19" s="1"/>
      <c r="M19" s="5"/>
      <c r="N19" s="4"/>
      <c r="O19" s="12" t="s">
        <v>80</v>
      </c>
      <c r="P19" s="82"/>
      <c r="Q19" s="82"/>
      <c r="R19" s="1"/>
      <c r="S19" s="1"/>
      <c r="T19" s="1"/>
      <c r="U19" s="1"/>
      <c r="V19" s="1"/>
      <c r="W19" s="1"/>
      <c r="X19" s="1"/>
      <c r="Y19" s="24"/>
      <c r="Z19" s="104"/>
      <c r="AA19" s="107" t="s">
        <v>80</v>
      </c>
      <c r="AB19" s="11"/>
      <c r="AC19" s="11"/>
      <c r="AD19" s="11"/>
      <c r="AE19" s="11"/>
      <c r="AF19" s="104"/>
      <c r="AG19" s="104"/>
      <c r="AH19" s="104"/>
      <c r="AI19" s="104"/>
      <c r="AJ19" s="104"/>
      <c r="AK19" s="3"/>
      <c r="AL19" s="104"/>
      <c r="AM19" s="107" t="s">
        <v>80</v>
      </c>
      <c r="AN19" s="11"/>
      <c r="AO19" s="11"/>
      <c r="AP19" s="11"/>
      <c r="AQ19" s="11"/>
      <c r="AR19" s="104"/>
      <c r="AS19" s="104"/>
      <c r="AT19" s="104"/>
      <c r="AU19" s="104"/>
      <c r="AV19" s="104"/>
    </row>
    <row r="20">
      <c r="A20" s="1"/>
      <c r="B20" s="12" t="s">
        <v>81</v>
      </c>
      <c r="C20" s="44" t="s">
        <v>6</v>
      </c>
      <c r="D20" s="92" t="s">
        <v>7</v>
      </c>
      <c r="E20" s="92" t="s">
        <v>8</v>
      </c>
      <c r="F20" s="91" t="s">
        <v>9</v>
      </c>
      <c r="G20" s="92" t="s">
        <v>10</v>
      </c>
      <c r="H20" s="92" t="s">
        <v>11</v>
      </c>
      <c r="I20" s="93" t="s">
        <v>12</v>
      </c>
      <c r="J20" s="23"/>
      <c r="K20" s="93" t="s">
        <v>13</v>
      </c>
      <c r="L20" s="23"/>
      <c r="M20" s="33"/>
      <c r="N20" s="12" t="s">
        <v>81</v>
      </c>
      <c r="O20" s="44" t="s">
        <v>6</v>
      </c>
      <c r="P20" s="92" t="s">
        <v>7</v>
      </c>
      <c r="Q20" s="92" t="s">
        <v>8</v>
      </c>
      <c r="R20" s="91" t="s">
        <v>9</v>
      </c>
      <c r="S20" s="92" t="s">
        <v>10</v>
      </c>
      <c r="T20" s="92" t="s">
        <v>11</v>
      </c>
      <c r="U20" s="93" t="s">
        <v>12</v>
      </c>
      <c r="V20" s="23"/>
      <c r="W20" s="93" t="s">
        <v>13</v>
      </c>
      <c r="X20" s="23"/>
      <c r="Y20" s="24"/>
      <c r="Z20" s="43" t="s">
        <v>81</v>
      </c>
      <c r="AA20" s="22" t="s">
        <v>6</v>
      </c>
      <c r="AB20" s="21" t="s">
        <v>7</v>
      </c>
      <c r="AC20" s="20" t="s">
        <v>8</v>
      </c>
      <c r="AD20" s="20" t="s">
        <v>9</v>
      </c>
      <c r="AE20" s="20" t="s">
        <v>10</v>
      </c>
      <c r="AF20" s="20" t="s">
        <v>11</v>
      </c>
      <c r="AG20" s="22" t="s">
        <v>12</v>
      </c>
      <c r="AH20" s="23"/>
      <c r="AI20" s="22" t="s">
        <v>13</v>
      </c>
      <c r="AJ20" s="23"/>
      <c r="AK20" s="35"/>
      <c r="AL20" s="43" t="s">
        <v>81</v>
      </c>
      <c r="AM20" s="22" t="s">
        <v>6</v>
      </c>
      <c r="AN20" s="21" t="s">
        <v>7</v>
      </c>
      <c r="AO20" s="20" t="s">
        <v>8</v>
      </c>
      <c r="AP20" s="20" t="s">
        <v>9</v>
      </c>
      <c r="AQ20" s="20" t="s">
        <v>10</v>
      </c>
      <c r="AR20" s="20" t="s">
        <v>11</v>
      </c>
      <c r="AS20" s="22" t="s">
        <v>12</v>
      </c>
      <c r="AT20" s="23"/>
      <c r="AU20" s="22" t="s">
        <v>13</v>
      </c>
      <c r="AV20" s="23"/>
    </row>
    <row r="21" ht="20.25" customHeight="1">
      <c r="A21" s="4"/>
      <c r="B21" s="1"/>
      <c r="C21" s="101" t="s">
        <v>82</v>
      </c>
      <c r="D21" s="28">
        <v>3.0</v>
      </c>
      <c r="E21" s="34">
        <v>10.0</v>
      </c>
      <c r="F21" s="34">
        <v>8.0</v>
      </c>
      <c r="G21" s="100"/>
      <c r="H21" s="108"/>
      <c r="I21" s="99"/>
      <c r="J21" s="23"/>
      <c r="K21" s="99"/>
      <c r="L21" s="23"/>
      <c r="M21" s="17"/>
      <c r="N21" s="1"/>
      <c r="O21" s="101" t="s">
        <v>82</v>
      </c>
      <c r="P21" s="28">
        <v>3.0</v>
      </c>
      <c r="Q21" s="34">
        <v>10.0</v>
      </c>
      <c r="R21" s="34">
        <v>8.0</v>
      </c>
      <c r="S21" s="100"/>
      <c r="T21" s="108"/>
      <c r="U21" s="99"/>
      <c r="V21" s="23"/>
      <c r="W21" s="99"/>
      <c r="X21" s="23"/>
      <c r="Y21" s="1"/>
      <c r="Z21" s="11"/>
      <c r="AA21" s="27" t="s">
        <v>82</v>
      </c>
      <c r="AB21" s="28">
        <v>3.0</v>
      </c>
      <c r="AC21" s="29">
        <v>10.0</v>
      </c>
      <c r="AD21" s="29">
        <v>8.0</v>
      </c>
      <c r="AE21" s="102"/>
      <c r="AF21" s="109"/>
      <c r="AG21" s="103"/>
      <c r="AH21" s="23"/>
      <c r="AI21" s="103"/>
      <c r="AJ21" s="23"/>
      <c r="AK21" s="35"/>
      <c r="AL21" s="11"/>
      <c r="AM21" s="27" t="s">
        <v>82</v>
      </c>
      <c r="AN21" s="28">
        <v>3.0</v>
      </c>
      <c r="AO21" s="29">
        <v>10.0</v>
      </c>
      <c r="AP21" s="29">
        <v>8.0</v>
      </c>
      <c r="AQ21" s="102"/>
      <c r="AR21" s="109"/>
      <c r="AS21" s="103"/>
      <c r="AT21" s="23"/>
      <c r="AU21" s="103"/>
      <c r="AV21" s="23"/>
    </row>
    <row r="22" ht="20.25" customHeight="1">
      <c r="A22" s="1"/>
      <c r="B22" s="1"/>
      <c r="C22" s="27" t="s">
        <v>83</v>
      </c>
      <c r="D22" s="28">
        <v>3.0</v>
      </c>
      <c r="E22" s="34" t="s">
        <v>16</v>
      </c>
      <c r="F22" s="34">
        <v>8.0</v>
      </c>
      <c r="G22" s="98"/>
      <c r="H22" s="98"/>
      <c r="I22" s="99"/>
      <c r="J22" s="23"/>
      <c r="K22" s="99"/>
      <c r="L22" s="23"/>
      <c r="M22" s="33"/>
      <c r="N22" s="1"/>
      <c r="O22" s="27" t="s">
        <v>83</v>
      </c>
      <c r="P22" s="28">
        <v>3.0</v>
      </c>
      <c r="Q22" s="34" t="s">
        <v>16</v>
      </c>
      <c r="R22" s="34">
        <v>8.0</v>
      </c>
      <c r="S22" s="98"/>
      <c r="T22" s="98"/>
      <c r="U22" s="99"/>
      <c r="V22" s="23"/>
      <c r="W22" s="99"/>
      <c r="X22" s="23"/>
      <c r="Y22" s="24"/>
      <c r="Z22" s="104"/>
      <c r="AA22" s="101" t="s">
        <v>83</v>
      </c>
      <c r="AB22" s="28">
        <v>3.0</v>
      </c>
      <c r="AC22" s="29" t="s">
        <v>16</v>
      </c>
      <c r="AD22" s="29">
        <v>8.0</v>
      </c>
      <c r="AE22" s="102"/>
      <c r="AF22" s="102"/>
      <c r="AG22" s="103"/>
      <c r="AH22" s="23"/>
      <c r="AI22" s="103"/>
      <c r="AJ22" s="23"/>
      <c r="AK22" s="35"/>
      <c r="AL22" s="104"/>
      <c r="AM22" s="101" t="s">
        <v>83</v>
      </c>
      <c r="AN22" s="28">
        <v>3.0</v>
      </c>
      <c r="AO22" s="29" t="s">
        <v>16</v>
      </c>
      <c r="AP22" s="29">
        <v>8.0</v>
      </c>
      <c r="AQ22" s="102"/>
      <c r="AR22" s="102"/>
      <c r="AS22" s="103"/>
      <c r="AT22" s="23"/>
      <c r="AU22" s="103"/>
      <c r="AV22" s="23"/>
    </row>
    <row r="23" ht="20.25" customHeight="1">
      <c r="A23" s="1"/>
      <c r="B23" s="1"/>
      <c r="C23" s="101" t="s">
        <v>84</v>
      </c>
      <c r="D23" s="28">
        <v>3.0</v>
      </c>
      <c r="E23" s="34" t="s">
        <v>16</v>
      </c>
      <c r="F23" s="34">
        <v>8.0</v>
      </c>
      <c r="G23" s="98"/>
      <c r="H23" s="98"/>
      <c r="I23" s="99"/>
      <c r="J23" s="23"/>
      <c r="K23" s="99"/>
      <c r="L23" s="23"/>
      <c r="M23" s="33"/>
      <c r="N23" s="1"/>
      <c r="O23" s="101" t="s">
        <v>84</v>
      </c>
      <c r="P23" s="28">
        <v>3.0</v>
      </c>
      <c r="Q23" s="34" t="s">
        <v>16</v>
      </c>
      <c r="R23" s="34">
        <v>8.0</v>
      </c>
      <c r="S23" s="98"/>
      <c r="T23" s="98"/>
      <c r="U23" s="99"/>
      <c r="V23" s="23"/>
      <c r="W23" s="99"/>
      <c r="X23" s="23"/>
      <c r="Y23" s="24"/>
      <c r="Z23" s="104"/>
      <c r="AA23" s="101" t="s">
        <v>84</v>
      </c>
      <c r="AB23" s="28">
        <v>3.0</v>
      </c>
      <c r="AC23" s="29" t="s">
        <v>16</v>
      </c>
      <c r="AD23" s="29">
        <v>8.0</v>
      </c>
      <c r="AE23" s="102"/>
      <c r="AF23" s="102"/>
      <c r="AG23" s="103"/>
      <c r="AH23" s="23"/>
      <c r="AI23" s="103"/>
      <c r="AJ23" s="23"/>
      <c r="AK23" s="35"/>
      <c r="AL23" s="104"/>
      <c r="AM23" s="101" t="s">
        <v>84</v>
      </c>
      <c r="AN23" s="28">
        <v>3.0</v>
      </c>
      <c r="AO23" s="29" t="s">
        <v>16</v>
      </c>
      <c r="AP23" s="29">
        <v>8.0</v>
      </c>
      <c r="AQ23" s="102"/>
      <c r="AR23" s="102"/>
      <c r="AS23" s="103"/>
      <c r="AT23" s="23"/>
      <c r="AU23" s="103"/>
      <c r="AV23" s="23"/>
    </row>
    <row r="24" ht="20.25" customHeight="1">
      <c r="A24" s="1"/>
      <c r="B24" s="1"/>
      <c r="C24" s="101" t="s">
        <v>85</v>
      </c>
      <c r="D24" s="28">
        <v>3.0</v>
      </c>
      <c r="E24" s="34" t="s">
        <v>16</v>
      </c>
      <c r="F24" s="34">
        <v>8.0</v>
      </c>
      <c r="G24" s="98"/>
      <c r="H24" s="98"/>
      <c r="I24" s="99"/>
      <c r="J24" s="23"/>
      <c r="K24" s="99"/>
      <c r="L24" s="23"/>
      <c r="M24" s="33"/>
      <c r="N24" s="1"/>
      <c r="O24" s="101" t="s">
        <v>85</v>
      </c>
      <c r="P24" s="28">
        <v>3.0</v>
      </c>
      <c r="Q24" s="34" t="s">
        <v>16</v>
      </c>
      <c r="R24" s="34">
        <v>8.0</v>
      </c>
      <c r="S24" s="98"/>
      <c r="T24" s="98"/>
      <c r="U24" s="99"/>
      <c r="V24" s="23"/>
      <c r="W24" s="99"/>
      <c r="X24" s="23"/>
      <c r="Y24" s="24"/>
      <c r="Z24" s="104"/>
      <c r="AA24" s="101" t="s">
        <v>85</v>
      </c>
      <c r="AB24" s="28">
        <v>3.0</v>
      </c>
      <c r="AC24" s="29" t="s">
        <v>16</v>
      </c>
      <c r="AD24" s="29">
        <v>8.0</v>
      </c>
      <c r="AE24" s="102"/>
      <c r="AF24" s="102"/>
      <c r="AG24" s="103"/>
      <c r="AH24" s="23"/>
      <c r="AI24" s="103"/>
      <c r="AJ24" s="23"/>
      <c r="AK24" s="35"/>
      <c r="AL24" s="104"/>
      <c r="AM24" s="101" t="s">
        <v>85</v>
      </c>
      <c r="AN24" s="28">
        <v>3.0</v>
      </c>
      <c r="AO24" s="29" t="s">
        <v>16</v>
      </c>
      <c r="AP24" s="29">
        <v>8.0</v>
      </c>
      <c r="AQ24" s="102"/>
      <c r="AR24" s="102"/>
      <c r="AS24" s="103"/>
      <c r="AT24" s="23"/>
      <c r="AU24" s="103"/>
      <c r="AV24" s="23"/>
    </row>
    <row r="25" ht="20.25" customHeight="1">
      <c r="A25" s="1"/>
      <c r="B25" s="1"/>
      <c r="C25" s="101" t="s">
        <v>86</v>
      </c>
      <c r="D25" s="28">
        <v>3.0</v>
      </c>
      <c r="E25" s="34" t="s">
        <v>16</v>
      </c>
      <c r="F25" s="34">
        <v>8.0</v>
      </c>
      <c r="G25" s="98"/>
      <c r="H25" s="98"/>
      <c r="I25" s="99"/>
      <c r="J25" s="23"/>
      <c r="K25" s="99"/>
      <c r="L25" s="23"/>
      <c r="M25" s="33"/>
      <c r="N25" s="1"/>
      <c r="O25" s="101" t="s">
        <v>86</v>
      </c>
      <c r="P25" s="28">
        <v>3.0</v>
      </c>
      <c r="Q25" s="34" t="s">
        <v>16</v>
      </c>
      <c r="R25" s="34">
        <v>8.0</v>
      </c>
      <c r="S25" s="98"/>
      <c r="T25" s="98"/>
      <c r="U25" s="99"/>
      <c r="V25" s="23"/>
      <c r="W25" s="99"/>
      <c r="X25" s="23"/>
      <c r="Y25" s="24"/>
      <c r="Z25" s="104"/>
      <c r="AA25" s="101" t="s">
        <v>86</v>
      </c>
      <c r="AB25" s="28">
        <v>3.0</v>
      </c>
      <c r="AC25" s="28" t="s">
        <v>16</v>
      </c>
      <c r="AD25" s="29">
        <v>8.0</v>
      </c>
      <c r="AE25" s="102"/>
      <c r="AF25" s="102"/>
      <c r="AG25" s="103"/>
      <c r="AH25" s="23"/>
      <c r="AI25" s="103"/>
      <c r="AJ25" s="23"/>
      <c r="AK25" s="35"/>
      <c r="AL25" s="104"/>
      <c r="AM25" s="101" t="s">
        <v>86</v>
      </c>
      <c r="AN25" s="28">
        <v>3.0</v>
      </c>
      <c r="AO25" s="28" t="s">
        <v>16</v>
      </c>
      <c r="AP25" s="29">
        <v>8.0</v>
      </c>
      <c r="AQ25" s="102"/>
      <c r="AR25" s="102"/>
      <c r="AS25" s="103"/>
      <c r="AT25" s="23"/>
      <c r="AU25" s="103"/>
      <c r="AV25" s="23"/>
    </row>
    <row r="26" ht="20.25" customHeight="1">
      <c r="A26" s="1"/>
      <c r="B26" s="1"/>
      <c r="C26" s="101" t="s">
        <v>87</v>
      </c>
      <c r="D26" s="28">
        <v>3.0</v>
      </c>
      <c r="E26" s="28" t="s">
        <v>16</v>
      </c>
      <c r="F26" s="34">
        <v>8.0</v>
      </c>
      <c r="G26" s="98"/>
      <c r="H26" s="98"/>
      <c r="I26" s="99"/>
      <c r="J26" s="23"/>
      <c r="K26" s="99"/>
      <c r="L26" s="23"/>
      <c r="M26" s="33"/>
      <c r="N26" s="1"/>
      <c r="O26" s="101" t="s">
        <v>87</v>
      </c>
      <c r="P26" s="28">
        <v>3.0</v>
      </c>
      <c r="Q26" s="28" t="s">
        <v>16</v>
      </c>
      <c r="R26" s="34">
        <v>8.0</v>
      </c>
      <c r="S26" s="98"/>
      <c r="T26" s="98"/>
      <c r="U26" s="99"/>
      <c r="V26" s="23"/>
      <c r="W26" s="99"/>
      <c r="X26" s="23"/>
      <c r="Y26" s="54"/>
      <c r="Z26" s="104"/>
      <c r="AA26" s="101" t="s">
        <v>87</v>
      </c>
      <c r="AB26" s="28">
        <v>3.0</v>
      </c>
      <c r="AC26" s="28" t="s">
        <v>16</v>
      </c>
      <c r="AD26" s="29">
        <v>8.0</v>
      </c>
      <c r="AE26" s="102"/>
      <c r="AF26" s="102"/>
      <c r="AG26" s="103"/>
      <c r="AH26" s="23"/>
      <c r="AI26" s="103"/>
      <c r="AJ26" s="23"/>
      <c r="AK26" s="35"/>
      <c r="AL26" s="104"/>
      <c r="AM26" s="101" t="s">
        <v>87</v>
      </c>
      <c r="AN26" s="28">
        <v>3.0</v>
      </c>
      <c r="AO26" s="28" t="s">
        <v>16</v>
      </c>
      <c r="AP26" s="29">
        <v>8.0</v>
      </c>
      <c r="AQ26" s="102"/>
      <c r="AR26" s="102"/>
      <c r="AS26" s="103"/>
      <c r="AT26" s="23"/>
      <c r="AU26" s="103"/>
      <c r="AV26" s="23"/>
    </row>
    <row r="27" ht="20.25" customHeight="1">
      <c r="A27" s="1"/>
      <c r="B27" s="16"/>
      <c r="C27" s="110" t="s">
        <v>88</v>
      </c>
      <c r="D27" s="46">
        <v>3.0</v>
      </c>
      <c r="E27" s="46" t="s">
        <v>16</v>
      </c>
      <c r="F27" s="111">
        <v>8.0</v>
      </c>
      <c r="G27" s="112"/>
      <c r="H27" s="112"/>
      <c r="I27" s="113"/>
      <c r="J27" s="10"/>
      <c r="K27" s="113"/>
      <c r="L27" s="10"/>
      <c r="M27" s="17"/>
      <c r="N27" s="16"/>
      <c r="O27" s="110" t="s">
        <v>88</v>
      </c>
      <c r="P27" s="46">
        <v>3.0</v>
      </c>
      <c r="Q27" s="46" t="s">
        <v>16</v>
      </c>
      <c r="R27" s="111">
        <v>8.0</v>
      </c>
      <c r="S27" s="112"/>
      <c r="T27" s="112"/>
      <c r="U27" s="113"/>
      <c r="V27" s="10"/>
      <c r="W27" s="113"/>
      <c r="X27" s="10"/>
      <c r="Y27" s="50"/>
      <c r="Z27" s="18"/>
      <c r="AA27" s="101" t="s">
        <v>88</v>
      </c>
      <c r="AB27" s="47">
        <v>3.0</v>
      </c>
      <c r="AC27" s="47" t="s">
        <v>16</v>
      </c>
      <c r="AD27" s="47">
        <v>8.0</v>
      </c>
      <c r="AE27" s="114"/>
      <c r="AF27" s="114"/>
      <c r="AG27" s="115"/>
      <c r="AH27" s="10"/>
      <c r="AI27" s="115"/>
      <c r="AJ27" s="10"/>
      <c r="AK27" s="51"/>
      <c r="AL27" s="18"/>
      <c r="AM27" s="101" t="s">
        <v>88</v>
      </c>
      <c r="AN27" s="47">
        <v>3.0</v>
      </c>
      <c r="AO27" s="47" t="s">
        <v>16</v>
      </c>
      <c r="AP27" s="47">
        <v>8.0</v>
      </c>
      <c r="AQ27" s="114"/>
      <c r="AR27" s="114"/>
      <c r="AS27" s="115"/>
      <c r="AT27" s="10"/>
      <c r="AU27" s="115"/>
      <c r="AV27" s="10"/>
    </row>
    <row r="28" ht="20.25" customHeight="1">
      <c r="A28" s="1"/>
      <c r="B28" s="1"/>
      <c r="C28" s="101" t="s">
        <v>89</v>
      </c>
      <c r="D28" s="34">
        <v>1.0</v>
      </c>
      <c r="E28" s="116" t="s">
        <v>90</v>
      </c>
      <c r="F28" s="116" t="s">
        <v>91</v>
      </c>
      <c r="G28" s="98"/>
      <c r="H28" s="98"/>
      <c r="I28" s="99"/>
      <c r="J28" s="23"/>
      <c r="K28" s="99"/>
      <c r="L28" s="23"/>
      <c r="M28" s="17"/>
      <c r="N28" s="1"/>
      <c r="O28" s="101" t="s">
        <v>89</v>
      </c>
      <c r="P28" s="34">
        <v>1.0</v>
      </c>
      <c r="Q28" s="116" t="s">
        <v>90</v>
      </c>
      <c r="R28" s="116" t="s">
        <v>91</v>
      </c>
      <c r="S28" s="98"/>
      <c r="T28" s="98"/>
      <c r="U28" s="99"/>
      <c r="V28" s="23"/>
      <c r="W28" s="99"/>
      <c r="X28" s="23"/>
      <c r="Y28" s="50"/>
      <c r="Z28" s="11"/>
      <c r="AA28" s="101" t="s">
        <v>89</v>
      </c>
      <c r="AB28" s="29">
        <v>1.0</v>
      </c>
      <c r="AC28" s="29" t="s">
        <v>90</v>
      </c>
      <c r="AD28" s="29" t="s">
        <v>91</v>
      </c>
      <c r="AE28" s="102"/>
      <c r="AF28" s="102"/>
      <c r="AG28" s="103"/>
      <c r="AH28" s="23"/>
      <c r="AI28" s="103"/>
      <c r="AJ28" s="23"/>
      <c r="AK28" s="51"/>
      <c r="AL28" s="11"/>
      <c r="AM28" s="101" t="s">
        <v>89</v>
      </c>
      <c r="AN28" s="29">
        <v>1.0</v>
      </c>
      <c r="AO28" s="29" t="s">
        <v>90</v>
      </c>
      <c r="AP28" s="29" t="s">
        <v>91</v>
      </c>
      <c r="AQ28" s="102"/>
      <c r="AR28" s="102"/>
      <c r="AS28" s="103"/>
      <c r="AT28" s="23"/>
      <c r="AU28" s="103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106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106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117" t="s">
        <v>21</v>
      </c>
      <c r="D30" s="41"/>
      <c r="E30" s="41"/>
      <c r="F30" s="41"/>
      <c r="G30" s="41"/>
      <c r="H30" s="41"/>
      <c r="I30" s="41"/>
      <c r="J30" s="41"/>
      <c r="K30" s="41"/>
      <c r="L30" s="23"/>
      <c r="M30" s="5"/>
      <c r="N30" s="1"/>
      <c r="O30" s="117" t="s">
        <v>21</v>
      </c>
      <c r="P30" s="41"/>
      <c r="Q30" s="41"/>
      <c r="R30" s="41"/>
      <c r="S30" s="41"/>
      <c r="T30" s="41"/>
      <c r="U30" s="41"/>
      <c r="V30" s="41"/>
      <c r="W30" s="41"/>
      <c r="X30" s="23"/>
      <c r="Y30" s="53"/>
      <c r="Z30" s="104"/>
      <c r="AA30" s="69" t="s">
        <v>21</v>
      </c>
      <c r="AB30" s="41"/>
      <c r="AC30" s="41"/>
      <c r="AD30" s="41"/>
      <c r="AE30" s="41"/>
      <c r="AF30" s="41"/>
      <c r="AG30" s="41"/>
      <c r="AH30" s="41"/>
      <c r="AI30" s="41"/>
      <c r="AJ30" s="23"/>
      <c r="AK30" s="3"/>
      <c r="AL30" s="104"/>
      <c r="AM30" s="69" t="s">
        <v>21</v>
      </c>
      <c r="AN30" s="41"/>
      <c r="AO30" s="41"/>
      <c r="AP30" s="41"/>
      <c r="AQ30" s="41"/>
      <c r="AR30" s="41"/>
      <c r="AS30" s="41"/>
      <c r="AT30" s="41"/>
      <c r="AU30" s="41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3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54"/>
      <c r="Z31" s="104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35"/>
      <c r="AL31" s="104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</row>
    <row r="32">
      <c r="A32" s="1"/>
      <c r="B32" s="16"/>
      <c r="C32" s="12" t="s">
        <v>92</v>
      </c>
      <c r="D32" s="82"/>
      <c r="E32" s="82"/>
      <c r="F32" s="1"/>
      <c r="G32" s="1"/>
      <c r="H32" s="1"/>
      <c r="I32" s="1"/>
      <c r="J32" s="1"/>
      <c r="K32" s="1"/>
      <c r="L32" s="1"/>
      <c r="M32" s="33"/>
      <c r="N32" s="16"/>
      <c r="O32" s="12" t="s">
        <v>92</v>
      </c>
      <c r="P32" s="82"/>
      <c r="Q32" s="82"/>
      <c r="R32" s="1"/>
      <c r="S32" s="1"/>
      <c r="T32" s="1"/>
      <c r="U32" s="1"/>
      <c r="V32" s="1"/>
      <c r="W32" s="1"/>
      <c r="X32" s="1"/>
      <c r="Y32" s="54"/>
      <c r="Z32" s="106"/>
      <c r="AA32" s="43" t="s">
        <v>92</v>
      </c>
      <c r="AB32" s="11"/>
      <c r="AC32" s="104"/>
      <c r="AD32" s="104"/>
      <c r="AE32" s="104"/>
      <c r="AF32" s="104"/>
      <c r="AG32" s="104"/>
      <c r="AH32" s="104"/>
      <c r="AI32" s="104"/>
      <c r="AJ32" s="104"/>
      <c r="AK32" s="35"/>
      <c r="AL32" s="106"/>
      <c r="AM32" s="43" t="s">
        <v>92</v>
      </c>
      <c r="AN32" s="11"/>
      <c r="AO32" s="104"/>
      <c r="AP32" s="104"/>
      <c r="AQ32" s="104"/>
      <c r="AR32" s="104"/>
      <c r="AS32" s="104"/>
      <c r="AT32" s="104"/>
      <c r="AU32" s="104"/>
      <c r="AV32" s="104"/>
    </row>
    <row r="33" ht="20.25" customHeight="1">
      <c r="A33" s="7"/>
      <c r="B33" s="118" t="s">
        <v>93</v>
      </c>
      <c r="C33" s="92" t="s">
        <v>6</v>
      </c>
      <c r="D33" s="92" t="s">
        <v>7</v>
      </c>
      <c r="E33" s="92" t="s">
        <v>8</v>
      </c>
      <c r="F33" s="91" t="s">
        <v>9</v>
      </c>
      <c r="G33" s="92" t="s">
        <v>10</v>
      </c>
      <c r="H33" s="92" t="s">
        <v>11</v>
      </c>
      <c r="I33" s="93" t="s">
        <v>12</v>
      </c>
      <c r="J33" s="23"/>
      <c r="K33" s="93" t="s">
        <v>13</v>
      </c>
      <c r="L33" s="23"/>
      <c r="M33" s="5"/>
      <c r="N33" s="118" t="s">
        <v>93</v>
      </c>
      <c r="O33" s="92" t="s">
        <v>6</v>
      </c>
      <c r="P33" s="92" t="s">
        <v>7</v>
      </c>
      <c r="Q33" s="92" t="s">
        <v>8</v>
      </c>
      <c r="R33" s="91" t="s">
        <v>9</v>
      </c>
      <c r="S33" s="92" t="s">
        <v>10</v>
      </c>
      <c r="T33" s="92" t="s">
        <v>11</v>
      </c>
      <c r="U33" s="93" t="s">
        <v>12</v>
      </c>
      <c r="V33" s="23"/>
      <c r="W33" s="93" t="s">
        <v>13</v>
      </c>
      <c r="X33" s="23"/>
      <c r="Y33" s="54"/>
      <c r="Z33" s="55" t="s">
        <v>93</v>
      </c>
      <c r="AA33" s="20" t="s">
        <v>6</v>
      </c>
      <c r="AB33" s="20" t="s">
        <v>7</v>
      </c>
      <c r="AC33" s="21" t="s">
        <v>8</v>
      </c>
      <c r="AD33" s="20" t="s">
        <v>9</v>
      </c>
      <c r="AE33" s="20" t="s">
        <v>10</v>
      </c>
      <c r="AF33" s="20" t="s">
        <v>11</v>
      </c>
      <c r="AG33" s="22" t="s">
        <v>12</v>
      </c>
      <c r="AH33" s="23"/>
      <c r="AI33" s="22" t="s">
        <v>13</v>
      </c>
      <c r="AJ33" s="23"/>
      <c r="AK33" s="56"/>
      <c r="AL33" s="55" t="s">
        <v>93</v>
      </c>
      <c r="AM33" s="20" t="s">
        <v>6</v>
      </c>
      <c r="AN33" s="20" t="s">
        <v>7</v>
      </c>
      <c r="AO33" s="21" t="s">
        <v>8</v>
      </c>
      <c r="AP33" s="20" t="s">
        <v>9</v>
      </c>
      <c r="AQ33" s="20" t="s">
        <v>10</v>
      </c>
      <c r="AR33" s="20" t="s">
        <v>11</v>
      </c>
      <c r="AS33" s="22" t="s">
        <v>12</v>
      </c>
      <c r="AT33" s="23"/>
      <c r="AU33" s="22" t="s">
        <v>13</v>
      </c>
      <c r="AV33" s="23"/>
    </row>
    <row r="34" ht="20.25" customHeight="1">
      <c r="A34" s="57"/>
      <c r="B34" s="1"/>
      <c r="C34" s="110" t="s">
        <v>94</v>
      </c>
      <c r="D34" s="34">
        <v>3.0</v>
      </c>
      <c r="E34" s="34">
        <v>8.0</v>
      </c>
      <c r="F34" s="34">
        <v>8.0</v>
      </c>
      <c r="G34" s="100"/>
      <c r="H34" s="98"/>
      <c r="I34" s="99"/>
      <c r="J34" s="23"/>
      <c r="K34" s="99"/>
      <c r="L34" s="23"/>
      <c r="M34" s="5"/>
      <c r="N34" s="1"/>
      <c r="O34" s="110" t="s">
        <v>94</v>
      </c>
      <c r="P34" s="34">
        <v>3.0</v>
      </c>
      <c r="Q34" s="34">
        <v>8.0</v>
      </c>
      <c r="R34" s="34">
        <v>8.0</v>
      </c>
      <c r="S34" s="100"/>
      <c r="T34" s="98"/>
      <c r="U34" s="99"/>
      <c r="V34" s="23"/>
      <c r="W34" s="99"/>
      <c r="X34" s="23"/>
      <c r="Y34" s="24"/>
      <c r="Z34" s="104"/>
      <c r="AA34" s="101" t="s">
        <v>94</v>
      </c>
      <c r="AB34" s="29">
        <v>3.0</v>
      </c>
      <c r="AC34" s="28">
        <v>8.0</v>
      </c>
      <c r="AD34" s="29">
        <v>8.0</v>
      </c>
      <c r="AE34" s="102"/>
      <c r="AF34" s="102"/>
      <c r="AG34" s="103"/>
      <c r="AH34" s="23"/>
      <c r="AI34" s="103"/>
      <c r="AJ34" s="23"/>
      <c r="AK34" s="58"/>
      <c r="AL34" s="104"/>
      <c r="AM34" s="101" t="s">
        <v>94</v>
      </c>
      <c r="AN34" s="29">
        <v>3.0</v>
      </c>
      <c r="AO34" s="28">
        <v>8.0</v>
      </c>
      <c r="AP34" s="29">
        <v>8.0</v>
      </c>
      <c r="AQ34" s="102"/>
      <c r="AR34" s="102"/>
      <c r="AS34" s="103"/>
      <c r="AT34" s="23"/>
      <c r="AU34" s="103"/>
      <c r="AV34" s="23"/>
    </row>
    <row r="35" ht="20.25" customHeight="1">
      <c r="A35" s="4"/>
      <c r="B35" s="1"/>
      <c r="C35" s="119" t="s">
        <v>95</v>
      </c>
      <c r="D35" s="28">
        <v>3.0</v>
      </c>
      <c r="E35" s="34" t="s">
        <v>16</v>
      </c>
      <c r="F35" s="34">
        <v>8.0</v>
      </c>
      <c r="G35" s="98"/>
      <c r="H35" s="98"/>
      <c r="I35" s="99"/>
      <c r="J35" s="23"/>
      <c r="K35" s="99"/>
      <c r="L35" s="23"/>
      <c r="M35" s="33"/>
      <c r="N35" s="1"/>
      <c r="O35" s="119" t="s">
        <v>95</v>
      </c>
      <c r="P35" s="28">
        <v>3.0</v>
      </c>
      <c r="Q35" s="34" t="s">
        <v>16</v>
      </c>
      <c r="R35" s="34">
        <v>8.0</v>
      </c>
      <c r="S35" s="98"/>
      <c r="T35" s="98"/>
      <c r="U35" s="99"/>
      <c r="V35" s="23"/>
      <c r="W35" s="99"/>
      <c r="X35" s="23"/>
      <c r="Y35" s="54"/>
      <c r="Z35" s="104"/>
      <c r="AA35" s="120" t="s">
        <v>95</v>
      </c>
      <c r="AB35" s="29">
        <v>3.0</v>
      </c>
      <c r="AC35" s="28" t="s">
        <v>16</v>
      </c>
      <c r="AD35" s="29">
        <v>8.0</v>
      </c>
      <c r="AE35" s="102"/>
      <c r="AF35" s="102"/>
      <c r="AG35" s="103"/>
      <c r="AH35" s="23"/>
      <c r="AI35" s="103"/>
      <c r="AJ35" s="23"/>
      <c r="AK35" s="35"/>
      <c r="AL35" s="104"/>
      <c r="AM35" s="120" t="s">
        <v>95</v>
      </c>
      <c r="AN35" s="29">
        <v>3.0</v>
      </c>
      <c r="AO35" s="28" t="s">
        <v>16</v>
      </c>
      <c r="AP35" s="29">
        <v>8.0</v>
      </c>
      <c r="AQ35" s="102"/>
      <c r="AR35" s="102"/>
      <c r="AS35" s="103"/>
      <c r="AT35" s="23"/>
      <c r="AU35" s="103"/>
      <c r="AV35" s="23"/>
    </row>
    <row r="36" ht="20.25" customHeight="1">
      <c r="A36" s="1"/>
      <c r="B36" s="1"/>
      <c r="C36" s="94" t="s">
        <v>96</v>
      </c>
      <c r="D36" s="34">
        <v>3.0</v>
      </c>
      <c r="E36" s="28" t="s">
        <v>16</v>
      </c>
      <c r="F36" s="34">
        <v>8.0</v>
      </c>
      <c r="G36" s="98"/>
      <c r="H36" s="121"/>
      <c r="I36" s="99"/>
      <c r="J36" s="23"/>
      <c r="K36" s="99"/>
      <c r="L36" s="23"/>
      <c r="M36" s="33"/>
      <c r="N36" s="1"/>
      <c r="O36" s="94" t="s">
        <v>96</v>
      </c>
      <c r="P36" s="34">
        <v>3.0</v>
      </c>
      <c r="Q36" s="28" t="s">
        <v>16</v>
      </c>
      <c r="R36" s="34">
        <v>8.0</v>
      </c>
      <c r="S36" s="98"/>
      <c r="T36" s="121"/>
      <c r="U36" s="99"/>
      <c r="V36" s="23"/>
      <c r="W36" s="99"/>
      <c r="X36" s="23"/>
      <c r="Y36" s="1"/>
      <c r="Z36" s="11"/>
      <c r="AA36" s="101" t="s">
        <v>96</v>
      </c>
      <c r="AB36" s="28">
        <v>3.0</v>
      </c>
      <c r="AC36" s="28" t="s">
        <v>16</v>
      </c>
      <c r="AD36" s="29">
        <v>8.0</v>
      </c>
      <c r="AE36" s="102"/>
      <c r="AF36" s="103"/>
      <c r="AG36" s="103"/>
      <c r="AH36" s="23"/>
      <c r="AI36" s="103"/>
      <c r="AJ36" s="23"/>
      <c r="AK36" s="35"/>
      <c r="AL36" s="11"/>
      <c r="AM36" s="101" t="s">
        <v>96</v>
      </c>
      <c r="AN36" s="28">
        <v>3.0</v>
      </c>
      <c r="AO36" s="28" t="s">
        <v>16</v>
      </c>
      <c r="AP36" s="29">
        <v>8.0</v>
      </c>
      <c r="AQ36" s="102"/>
      <c r="AR36" s="103"/>
      <c r="AS36" s="103"/>
      <c r="AT36" s="23"/>
      <c r="AU36" s="103"/>
      <c r="AV36" s="23"/>
    </row>
    <row r="37" ht="20.25" customHeight="1">
      <c r="A37" s="1"/>
      <c r="B37" s="1"/>
      <c r="C37" s="94" t="s">
        <v>97</v>
      </c>
      <c r="D37" s="34">
        <v>3.0</v>
      </c>
      <c r="E37" s="28" t="s">
        <v>16</v>
      </c>
      <c r="F37" s="34">
        <v>8.0</v>
      </c>
      <c r="G37" s="98"/>
      <c r="H37" s="121"/>
      <c r="I37" s="99"/>
      <c r="J37" s="23"/>
      <c r="K37" s="99"/>
      <c r="L37" s="23"/>
      <c r="M37" s="33"/>
      <c r="N37" s="1"/>
      <c r="O37" s="94" t="s">
        <v>97</v>
      </c>
      <c r="P37" s="34">
        <v>3.0</v>
      </c>
      <c r="Q37" s="28" t="s">
        <v>16</v>
      </c>
      <c r="R37" s="34">
        <v>8.0</v>
      </c>
      <c r="S37" s="98"/>
      <c r="T37" s="121"/>
      <c r="U37" s="99"/>
      <c r="V37" s="23"/>
      <c r="W37" s="99"/>
      <c r="X37" s="23"/>
      <c r="Y37" s="1"/>
      <c r="Z37" s="11"/>
      <c r="AA37" s="101" t="s">
        <v>97</v>
      </c>
      <c r="AB37" s="28">
        <v>3.0</v>
      </c>
      <c r="AC37" s="29" t="s">
        <v>16</v>
      </c>
      <c r="AD37" s="29">
        <v>8.0</v>
      </c>
      <c r="AE37" s="122"/>
      <c r="AF37" s="123"/>
      <c r="AG37" s="103"/>
      <c r="AH37" s="23"/>
      <c r="AI37" s="103"/>
      <c r="AJ37" s="23"/>
      <c r="AK37" s="35"/>
      <c r="AL37" s="11"/>
      <c r="AM37" s="101" t="s">
        <v>97</v>
      </c>
      <c r="AN37" s="28">
        <v>3.0</v>
      </c>
      <c r="AO37" s="29" t="s">
        <v>16</v>
      </c>
      <c r="AP37" s="29">
        <v>8.0</v>
      </c>
      <c r="AQ37" s="122"/>
      <c r="AR37" s="123"/>
      <c r="AS37" s="103"/>
      <c r="AT37" s="23"/>
      <c r="AU37" s="103"/>
      <c r="AV37" s="23"/>
    </row>
    <row r="38" ht="20.25" customHeight="1">
      <c r="A38" s="1"/>
      <c r="B38" s="1"/>
      <c r="C38" s="94" t="s">
        <v>19</v>
      </c>
      <c r="D38" s="124">
        <v>3.0</v>
      </c>
      <c r="E38" s="59" t="s">
        <v>16</v>
      </c>
      <c r="F38" s="34">
        <v>8.0</v>
      </c>
      <c r="G38" s="98"/>
      <c r="H38" s="98"/>
      <c r="I38" s="99"/>
      <c r="J38" s="23"/>
      <c r="K38" s="99"/>
      <c r="L38" s="23"/>
      <c r="M38" s="5"/>
      <c r="N38" s="1"/>
      <c r="O38" s="94" t="s">
        <v>19</v>
      </c>
      <c r="P38" s="124">
        <v>3.0</v>
      </c>
      <c r="Q38" s="59" t="s">
        <v>16</v>
      </c>
      <c r="R38" s="34">
        <v>8.0</v>
      </c>
      <c r="S38" s="98"/>
      <c r="T38" s="98"/>
      <c r="U38" s="99"/>
      <c r="V38" s="23"/>
      <c r="W38" s="99"/>
      <c r="X38" s="23"/>
      <c r="Y38" s="2"/>
      <c r="Z38" s="11"/>
      <c r="AA38" s="27" t="s">
        <v>19</v>
      </c>
      <c r="AB38" s="59">
        <v>3.0</v>
      </c>
      <c r="AC38" s="59" t="s">
        <v>16</v>
      </c>
      <c r="AD38" s="28">
        <v>8.0</v>
      </c>
      <c r="AE38" s="125"/>
      <c r="AF38" s="125"/>
      <c r="AG38" s="126"/>
      <c r="AH38" s="23"/>
      <c r="AI38" s="126"/>
      <c r="AJ38" s="23"/>
      <c r="AK38" s="2"/>
      <c r="AL38" s="11"/>
      <c r="AM38" s="27" t="s">
        <v>19</v>
      </c>
      <c r="AN38" s="59">
        <v>3.0</v>
      </c>
      <c r="AO38" s="59" t="s">
        <v>16</v>
      </c>
      <c r="AP38" s="28">
        <v>8.0</v>
      </c>
      <c r="AQ38" s="125"/>
      <c r="AR38" s="125"/>
      <c r="AS38" s="126"/>
      <c r="AT38" s="23"/>
      <c r="AU38" s="126"/>
      <c r="AV38" s="23"/>
    </row>
    <row r="39" ht="20.25" customHeight="1">
      <c r="A39" s="1"/>
      <c r="B39" s="16"/>
      <c r="C39" s="127" t="s">
        <v>98</v>
      </c>
      <c r="D39" s="28">
        <v>3.0</v>
      </c>
      <c r="E39" s="28" t="s">
        <v>16</v>
      </c>
      <c r="F39" s="34">
        <v>8.0</v>
      </c>
      <c r="G39" s="98"/>
      <c r="H39" s="98"/>
      <c r="I39" s="99"/>
      <c r="J39" s="23"/>
      <c r="K39" s="99"/>
      <c r="L39" s="23"/>
      <c r="M39" s="5"/>
      <c r="N39" s="16"/>
      <c r="O39" s="127" t="s">
        <v>98</v>
      </c>
      <c r="P39" s="28">
        <v>3.0</v>
      </c>
      <c r="Q39" s="28" t="s">
        <v>16</v>
      </c>
      <c r="R39" s="34">
        <v>8.0</v>
      </c>
      <c r="S39" s="98"/>
      <c r="T39" s="98"/>
      <c r="U39" s="99"/>
      <c r="V39" s="23"/>
      <c r="W39" s="99"/>
      <c r="X39" s="23"/>
      <c r="Y39" s="53"/>
      <c r="Z39" s="106"/>
      <c r="AA39" s="128" t="s">
        <v>98</v>
      </c>
      <c r="AB39" s="28">
        <v>3.0</v>
      </c>
      <c r="AC39" s="28" t="s">
        <v>16</v>
      </c>
      <c r="AD39" s="28">
        <v>8.0</v>
      </c>
      <c r="AE39" s="125"/>
      <c r="AF39" s="102"/>
      <c r="AG39" s="103"/>
      <c r="AH39" s="23"/>
      <c r="AI39" s="103"/>
      <c r="AJ39" s="23"/>
      <c r="AK39" s="3"/>
      <c r="AL39" s="106"/>
      <c r="AM39" s="128" t="s">
        <v>98</v>
      </c>
      <c r="AN39" s="28">
        <v>3.0</v>
      </c>
      <c r="AO39" s="28" t="s">
        <v>16</v>
      </c>
      <c r="AP39" s="28">
        <v>8.0</v>
      </c>
      <c r="AQ39" s="125"/>
      <c r="AR39" s="102"/>
      <c r="AS39" s="103"/>
      <c r="AT39" s="23"/>
      <c r="AU39" s="103"/>
      <c r="AV39" s="23"/>
    </row>
    <row r="40" ht="20.25" customHeight="1">
      <c r="A40" s="4"/>
      <c r="B40" s="16"/>
      <c r="C40" s="110" t="str">
        <f>HYPERLINK("https://youtu.be/h0XtRD5YUmo", "Overhead cable extension ")</f>
        <v>Overhead cable extension </v>
      </c>
      <c r="D40" s="28">
        <v>3.0</v>
      </c>
      <c r="E40" s="34" t="s">
        <v>16</v>
      </c>
      <c r="F40" s="34">
        <v>8.0</v>
      </c>
      <c r="G40" s="98"/>
      <c r="H40" s="129"/>
      <c r="I40" s="99"/>
      <c r="J40" s="23"/>
      <c r="K40" s="99"/>
      <c r="L40" s="23"/>
      <c r="M40" s="33"/>
      <c r="N40" s="16"/>
      <c r="O40" s="110" t="str">
        <f>HYPERLINK("https://youtu.be/h0XtRD5YUmo", "Overhead cable extension ")</f>
        <v>Overhead cable extension </v>
      </c>
      <c r="P40" s="28">
        <v>3.0</v>
      </c>
      <c r="Q40" s="34" t="s">
        <v>16</v>
      </c>
      <c r="R40" s="34">
        <v>8.0</v>
      </c>
      <c r="S40" s="98"/>
      <c r="T40" s="129"/>
      <c r="U40" s="99"/>
      <c r="V40" s="23"/>
      <c r="W40" s="99"/>
      <c r="X40" s="23"/>
      <c r="Y40" s="54"/>
      <c r="Z40" s="106"/>
      <c r="AA40" s="101" t="str">
        <f>HYPERLINK("https://youtu.be/h0XtRD5YUmo", "Overhead cable extension ")</f>
        <v>Overhead cable extension </v>
      </c>
      <c r="AB40" s="28">
        <v>3.0</v>
      </c>
      <c r="AC40" s="29" t="s">
        <v>16</v>
      </c>
      <c r="AD40" s="29">
        <v>8.0</v>
      </c>
      <c r="AE40" s="102"/>
      <c r="AF40" s="122"/>
      <c r="AG40" s="103"/>
      <c r="AH40" s="23"/>
      <c r="AI40" s="103"/>
      <c r="AJ40" s="23"/>
      <c r="AK40" s="35"/>
      <c r="AL40" s="106"/>
      <c r="AM40" s="101" t="str">
        <f>HYPERLINK("https://youtu.be/h0XtRD5YUmo", "Overhead cable extension ")</f>
        <v>Overhead cable extension </v>
      </c>
      <c r="AN40" s="28">
        <v>3.0</v>
      </c>
      <c r="AO40" s="29" t="s">
        <v>16</v>
      </c>
      <c r="AP40" s="29">
        <v>8.0</v>
      </c>
      <c r="AQ40" s="102"/>
      <c r="AR40" s="122"/>
      <c r="AS40" s="103"/>
      <c r="AT40" s="23"/>
      <c r="AU40" s="103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3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54"/>
      <c r="Z41" s="104"/>
      <c r="AA41" s="18"/>
      <c r="AB41" s="18"/>
      <c r="AC41" s="106"/>
      <c r="AD41" s="106"/>
      <c r="AE41" s="106"/>
      <c r="AF41" s="106"/>
      <c r="AG41" s="106"/>
      <c r="AH41" s="106"/>
      <c r="AI41" s="106"/>
      <c r="AJ41" s="106"/>
      <c r="AK41" s="35"/>
      <c r="AL41" s="104"/>
      <c r="AM41" s="18"/>
      <c r="AN41" s="18"/>
      <c r="AO41" s="106"/>
      <c r="AP41" s="106"/>
      <c r="AQ41" s="106"/>
      <c r="AR41" s="106"/>
      <c r="AS41" s="106"/>
      <c r="AT41" s="106"/>
      <c r="AU41" s="106"/>
      <c r="AV41" s="106"/>
    </row>
    <row r="42" ht="20.25" customHeight="1">
      <c r="A42" s="1"/>
      <c r="B42" s="16"/>
      <c r="C42" s="130" t="s">
        <v>99</v>
      </c>
      <c r="D42" s="82"/>
      <c r="E42" s="82"/>
      <c r="F42" s="1"/>
      <c r="G42" s="1"/>
      <c r="H42" s="1"/>
      <c r="I42" s="1"/>
      <c r="J42" s="1"/>
      <c r="K42" s="1"/>
      <c r="L42" s="1"/>
      <c r="M42" s="33"/>
      <c r="N42" s="16"/>
      <c r="O42" s="130" t="s">
        <v>99</v>
      </c>
      <c r="P42" s="82"/>
      <c r="Q42" s="82"/>
      <c r="R42" s="1"/>
      <c r="S42" s="1"/>
      <c r="T42" s="1"/>
      <c r="U42" s="1"/>
      <c r="V42" s="1"/>
      <c r="W42" s="1"/>
      <c r="X42" s="1"/>
      <c r="Y42" s="54"/>
      <c r="Z42" s="106"/>
      <c r="AA42" s="131" t="s">
        <v>99</v>
      </c>
      <c r="AB42" s="11"/>
      <c r="AC42" s="104"/>
      <c r="AD42" s="104"/>
      <c r="AE42" s="104"/>
      <c r="AF42" s="104"/>
      <c r="AG42" s="104"/>
      <c r="AH42" s="104"/>
      <c r="AI42" s="104"/>
      <c r="AJ42" s="104"/>
      <c r="AK42" s="35"/>
      <c r="AL42" s="106"/>
      <c r="AM42" s="131" t="s">
        <v>99</v>
      </c>
      <c r="AN42" s="11"/>
      <c r="AO42" s="104"/>
      <c r="AP42" s="104"/>
      <c r="AQ42" s="104"/>
      <c r="AR42" s="104"/>
      <c r="AS42" s="104"/>
      <c r="AT42" s="104"/>
      <c r="AU42" s="104"/>
      <c r="AV42" s="104"/>
    </row>
    <row r="43" ht="20.25" customHeight="1">
      <c r="A43" s="1"/>
      <c r="B43" s="132" t="s">
        <v>33</v>
      </c>
      <c r="C43" s="133" t="s">
        <v>6</v>
      </c>
      <c r="D43" s="92" t="s">
        <v>7</v>
      </c>
      <c r="E43" s="92" t="s">
        <v>8</v>
      </c>
      <c r="F43" s="91" t="s">
        <v>9</v>
      </c>
      <c r="G43" s="92" t="s">
        <v>10</v>
      </c>
      <c r="H43" s="92" t="s">
        <v>11</v>
      </c>
      <c r="I43" s="93" t="s">
        <v>12</v>
      </c>
      <c r="J43" s="23"/>
      <c r="K43" s="93" t="s">
        <v>13</v>
      </c>
      <c r="L43" s="23"/>
      <c r="M43" s="33"/>
      <c r="N43" s="132" t="s">
        <v>33</v>
      </c>
      <c r="O43" s="133" t="s">
        <v>6</v>
      </c>
      <c r="P43" s="92" t="s">
        <v>7</v>
      </c>
      <c r="Q43" s="92" t="s">
        <v>8</v>
      </c>
      <c r="R43" s="91" t="s">
        <v>9</v>
      </c>
      <c r="S43" s="92" t="s">
        <v>10</v>
      </c>
      <c r="T43" s="92" t="s">
        <v>11</v>
      </c>
      <c r="U43" s="93" t="s">
        <v>12</v>
      </c>
      <c r="V43" s="23"/>
      <c r="W43" s="93" t="s">
        <v>13</v>
      </c>
      <c r="X43" s="23"/>
      <c r="Y43" s="54"/>
      <c r="Z43" s="134" t="s">
        <v>33</v>
      </c>
      <c r="AA43" s="135" t="s">
        <v>6</v>
      </c>
      <c r="AB43" s="21" t="s">
        <v>7</v>
      </c>
      <c r="AC43" s="20" t="s">
        <v>8</v>
      </c>
      <c r="AD43" s="20" t="s">
        <v>9</v>
      </c>
      <c r="AE43" s="20" t="s">
        <v>10</v>
      </c>
      <c r="AF43" s="20" t="s">
        <v>11</v>
      </c>
      <c r="AG43" s="22" t="s">
        <v>12</v>
      </c>
      <c r="AH43" s="23"/>
      <c r="AI43" s="22" t="s">
        <v>13</v>
      </c>
      <c r="AJ43" s="23"/>
      <c r="AK43" s="35"/>
      <c r="AL43" s="134" t="s">
        <v>33</v>
      </c>
      <c r="AM43" s="135" t="s">
        <v>6</v>
      </c>
      <c r="AN43" s="21" t="s">
        <v>7</v>
      </c>
      <c r="AO43" s="20" t="s">
        <v>8</v>
      </c>
      <c r="AP43" s="20" t="s">
        <v>9</v>
      </c>
      <c r="AQ43" s="20" t="s">
        <v>10</v>
      </c>
      <c r="AR43" s="20" t="s">
        <v>11</v>
      </c>
      <c r="AS43" s="22" t="s">
        <v>12</v>
      </c>
      <c r="AT43" s="23"/>
      <c r="AU43" s="22" t="s">
        <v>13</v>
      </c>
      <c r="AV43" s="23"/>
    </row>
    <row r="44" ht="20.25" customHeight="1">
      <c r="A44" s="4"/>
      <c r="B44" s="1"/>
      <c r="C44" s="94" t="s">
        <v>100</v>
      </c>
      <c r="D44" s="28">
        <v>3.0</v>
      </c>
      <c r="E44" s="34">
        <v>8.0</v>
      </c>
      <c r="F44" s="34">
        <v>8.0</v>
      </c>
      <c r="G44" s="100"/>
      <c r="H44" s="98"/>
      <c r="I44" s="99"/>
      <c r="J44" s="23"/>
      <c r="K44" s="99"/>
      <c r="L44" s="23"/>
      <c r="M44" s="33"/>
      <c r="N44" s="1"/>
      <c r="O44" s="94" t="s">
        <v>100</v>
      </c>
      <c r="P44" s="28">
        <v>3.0</v>
      </c>
      <c r="Q44" s="34">
        <v>8.0</v>
      </c>
      <c r="R44" s="34">
        <v>8.0</v>
      </c>
      <c r="S44" s="100"/>
      <c r="T44" s="98"/>
      <c r="U44" s="99"/>
      <c r="V44" s="23"/>
      <c r="W44" s="99"/>
      <c r="X44" s="23"/>
      <c r="Y44" s="54"/>
      <c r="Z44" s="104"/>
      <c r="AA44" s="27" t="s">
        <v>100</v>
      </c>
      <c r="AB44" s="28">
        <v>3.0</v>
      </c>
      <c r="AC44" s="29">
        <v>8.0</v>
      </c>
      <c r="AD44" s="29">
        <v>8.0</v>
      </c>
      <c r="AE44" s="102"/>
      <c r="AF44" s="102"/>
      <c r="AG44" s="103"/>
      <c r="AH44" s="23"/>
      <c r="AI44" s="103"/>
      <c r="AJ44" s="23"/>
      <c r="AK44" s="35"/>
      <c r="AL44" s="104"/>
      <c r="AM44" s="27" t="s">
        <v>100</v>
      </c>
      <c r="AN44" s="28">
        <v>3.0</v>
      </c>
      <c r="AO44" s="29">
        <v>8.0</v>
      </c>
      <c r="AP44" s="29">
        <v>8.0</v>
      </c>
      <c r="AQ44" s="102"/>
      <c r="AR44" s="102"/>
      <c r="AS44" s="103"/>
      <c r="AT44" s="23"/>
      <c r="AU44" s="103"/>
      <c r="AV44" s="23"/>
    </row>
    <row r="45" ht="20.25" customHeight="1">
      <c r="A45" s="1"/>
      <c r="B45" s="1"/>
      <c r="C45" s="136" t="s">
        <v>86</v>
      </c>
      <c r="D45" s="28">
        <v>3.0</v>
      </c>
      <c r="E45" s="34" t="s">
        <v>101</v>
      </c>
      <c r="F45" s="34">
        <v>8.0</v>
      </c>
      <c r="G45" s="98"/>
      <c r="H45" s="98"/>
      <c r="I45" s="99"/>
      <c r="J45" s="23"/>
      <c r="K45" s="99"/>
      <c r="L45" s="23"/>
      <c r="M45" s="33"/>
      <c r="N45" s="1"/>
      <c r="O45" s="136" t="s">
        <v>86</v>
      </c>
      <c r="P45" s="28">
        <v>3.0</v>
      </c>
      <c r="Q45" s="34" t="s">
        <v>101</v>
      </c>
      <c r="R45" s="34">
        <v>8.0</v>
      </c>
      <c r="S45" s="98"/>
      <c r="T45" s="98"/>
      <c r="U45" s="99"/>
      <c r="V45" s="23"/>
      <c r="W45" s="99"/>
      <c r="X45" s="23"/>
      <c r="Y45" s="54"/>
      <c r="Z45" s="104"/>
      <c r="AA45" s="101" t="s">
        <v>86</v>
      </c>
      <c r="AB45" s="28">
        <v>3.0</v>
      </c>
      <c r="AC45" s="137" t="s">
        <v>101</v>
      </c>
      <c r="AD45" s="29">
        <v>8.0</v>
      </c>
      <c r="AE45" s="102"/>
      <c r="AF45" s="102"/>
      <c r="AG45" s="103"/>
      <c r="AH45" s="23"/>
      <c r="AI45" s="103"/>
      <c r="AJ45" s="23"/>
      <c r="AK45" s="35"/>
      <c r="AL45" s="104"/>
      <c r="AM45" s="101" t="s">
        <v>86</v>
      </c>
      <c r="AN45" s="28">
        <v>3.0</v>
      </c>
      <c r="AO45" s="137" t="s">
        <v>101</v>
      </c>
      <c r="AP45" s="29">
        <v>8.0</v>
      </c>
      <c r="AQ45" s="102"/>
      <c r="AR45" s="102"/>
      <c r="AS45" s="103"/>
      <c r="AT45" s="23"/>
      <c r="AU45" s="103"/>
      <c r="AV45" s="23"/>
    </row>
    <row r="46" ht="20.25" customHeight="1">
      <c r="A46" s="1"/>
      <c r="B46" s="1"/>
      <c r="C46" s="136" t="s">
        <v>102</v>
      </c>
      <c r="D46" s="28">
        <v>3.0</v>
      </c>
      <c r="E46" s="34" t="s">
        <v>16</v>
      </c>
      <c r="F46" s="34">
        <v>8.0</v>
      </c>
      <c r="G46" s="98"/>
      <c r="H46" s="98"/>
      <c r="I46" s="99"/>
      <c r="J46" s="23"/>
      <c r="K46" s="99"/>
      <c r="L46" s="23"/>
      <c r="M46" s="17"/>
      <c r="N46" s="1"/>
      <c r="O46" s="136" t="s">
        <v>102</v>
      </c>
      <c r="P46" s="28">
        <v>3.0</v>
      </c>
      <c r="Q46" s="34" t="s">
        <v>16</v>
      </c>
      <c r="R46" s="34">
        <v>8.0</v>
      </c>
      <c r="S46" s="98"/>
      <c r="T46" s="98"/>
      <c r="U46" s="99"/>
      <c r="V46" s="23"/>
      <c r="W46" s="99"/>
      <c r="X46" s="23"/>
      <c r="Y46" s="138"/>
      <c r="Z46" s="11"/>
      <c r="AA46" s="101" t="s">
        <v>102</v>
      </c>
      <c r="AB46" s="29">
        <v>3.0</v>
      </c>
      <c r="AC46" s="29" t="s">
        <v>16</v>
      </c>
      <c r="AD46" s="29">
        <v>8.0</v>
      </c>
      <c r="AE46" s="102"/>
      <c r="AF46" s="102"/>
      <c r="AG46" s="103"/>
      <c r="AH46" s="23"/>
      <c r="AI46" s="103"/>
      <c r="AJ46" s="23"/>
      <c r="AK46" s="4"/>
      <c r="AL46" s="11"/>
      <c r="AM46" s="101" t="s">
        <v>102</v>
      </c>
      <c r="AN46" s="29">
        <v>3.0</v>
      </c>
      <c r="AO46" s="29" t="s">
        <v>16</v>
      </c>
      <c r="AP46" s="29">
        <v>8.0</v>
      </c>
      <c r="AQ46" s="102"/>
      <c r="AR46" s="102"/>
      <c r="AS46" s="103"/>
      <c r="AT46" s="23"/>
      <c r="AU46" s="103"/>
      <c r="AV46" s="23"/>
    </row>
    <row r="47" ht="20.25" customHeight="1">
      <c r="A47" s="1"/>
      <c r="B47" s="1"/>
      <c r="C47" s="110" t="s">
        <v>103</v>
      </c>
      <c r="D47" s="28">
        <v>3.0</v>
      </c>
      <c r="E47" s="34" t="s">
        <v>16</v>
      </c>
      <c r="F47" s="34">
        <v>8.0</v>
      </c>
      <c r="G47" s="98"/>
      <c r="H47" s="98"/>
      <c r="I47" s="99"/>
      <c r="J47" s="23"/>
      <c r="K47" s="99"/>
      <c r="L47" s="23"/>
      <c r="M47" s="5"/>
      <c r="N47" s="1"/>
      <c r="O47" s="110" t="s">
        <v>103</v>
      </c>
      <c r="P47" s="28">
        <v>3.0</v>
      </c>
      <c r="Q47" s="34" t="s">
        <v>16</v>
      </c>
      <c r="R47" s="34">
        <v>8.0</v>
      </c>
      <c r="S47" s="98"/>
      <c r="T47" s="98"/>
      <c r="U47" s="99"/>
      <c r="V47" s="23"/>
      <c r="W47" s="99"/>
      <c r="X47" s="23"/>
      <c r="Y47" s="2"/>
      <c r="Z47" s="11"/>
      <c r="AA47" s="27" t="s">
        <v>103</v>
      </c>
      <c r="AB47" s="28">
        <v>3.0</v>
      </c>
      <c r="AC47" s="28" t="s">
        <v>16</v>
      </c>
      <c r="AD47" s="28">
        <v>8.0</v>
      </c>
      <c r="AE47" s="125"/>
      <c r="AF47" s="125"/>
      <c r="AG47" s="126"/>
      <c r="AH47" s="23"/>
      <c r="AI47" s="126"/>
      <c r="AJ47" s="23"/>
      <c r="AK47" s="2"/>
      <c r="AL47" s="11"/>
      <c r="AM47" s="27" t="s">
        <v>103</v>
      </c>
      <c r="AN47" s="28">
        <v>3.0</v>
      </c>
      <c r="AO47" s="28" t="s">
        <v>16</v>
      </c>
      <c r="AP47" s="28">
        <v>8.0</v>
      </c>
      <c r="AQ47" s="125"/>
      <c r="AR47" s="125"/>
      <c r="AS47" s="126"/>
      <c r="AT47" s="23"/>
      <c r="AU47" s="126"/>
      <c r="AV47" s="23"/>
    </row>
    <row r="48" ht="20.25" customHeight="1">
      <c r="A48" s="1"/>
      <c r="B48" s="1"/>
      <c r="C48" s="136" t="s">
        <v>104</v>
      </c>
      <c r="D48" s="28">
        <v>3.0</v>
      </c>
      <c r="E48" s="34" t="s">
        <v>16</v>
      </c>
      <c r="F48" s="34">
        <v>8.0</v>
      </c>
      <c r="G48" s="98"/>
      <c r="H48" s="98"/>
      <c r="I48" s="99"/>
      <c r="J48" s="23"/>
      <c r="K48" s="99"/>
      <c r="L48" s="23"/>
      <c r="M48" s="5"/>
      <c r="N48" s="1"/>
      <c r="O48" s="136" t="s">
        <v>104</v>
      </c>
      <c r="P48" s="28">
        <v>3.0</v>
      </c>
      <c r="Q48" s="34" t="s">
        <v>16</v>
      </c>
      <c r="R48" s="34">
        <v>8.0</v>
      </c>
      <c r="S48" s="98"/>
      <c r="T48" s="98"/>
      <c r="U48" s="99"/>
      <c r="V48" s="23"/>
      <c r="W48" s="99"/>
      <c r="X48" s="23"/>
      <c r="Y48" s="3"/>
      <c r="Z48" s="11"/>
      <c r="AA48" s="27" t="s">
        <v>104</v>
      </c>
      <c r="AB48" s="28">
        <v>3.0</v>
      </c>
      <c r="AC48" s="28" t="s">
        <v>16</v>
      </c>
      <c r="AD48" s="28">
        <v>8.0</v>
      </c>
      <c r="AE48" s="125"/>
      <c r="AF48" s="125"/>
      <c r="AG48" s="126"/>
      <c r="AH48" s="23"/>
      <c r="AI48" s="126"/>
      <c r="AJ48" s="23"/>
      <c r="AK48" s="2"/>
      <c r="AL48" s="11"/>
      <c r="AM48" s="27" t="s">
        <v>104</v>
      </c>
      <c r="AN48" s="28">
        <v>3.0</v>
      </c>
      <c r="AO48" s="28" t="s">
        <v>16</v>
      </c>
      <c r="AP48" s="28">
        <v>8.0</v>
      </c>
      <c r="AQ48" s="125"/>
      <c r="AR48" s="125"/>
      <c r="AS48" s="126"/>
      <c r="AT48" s="23"/>
      <c r="AU48" s="126"/>
      <c r="AV48" s="23"/>
    </row>
    <row r="49" ht="20.25" customHeight="1">
      <c r="A49" s="1"/>
      <c r="B49" s="16"/>
      <c r="C49" s="110" t="s">
        <v>105</v>
      </c>
      <c r="D49" s="28">
        <v>3.0</v>
      </c>
      <c r="E49" s="139">
        <v>45211.0</v>
      </c>
      <c r="F49" s="34">
        <v>8.0</v>
      </c>
      <c r="G49" s="98"/>
      <c r="H49" s="98"/>
      <c r="I49" s="99"/>
      <c r="J49" s="23"/>
      <c r="K49" s="99"/>
      <c r="L49" s="23"/>
      <c r="M49" s="5"/>
      <c r="N49" s="16"/>
      <c r="O49" s="110" t="s">
        <v>105</v>
      </c>
      <c r="P49" s="28">
        <v>3.0</v>
      </c>
      <c r="Q49" s="139">
        <v>45211.0</v>
      </c>
      <c r="R49" s="34">
        <v>8.0</v>
      </c>
      <c r="S49" s="98"/>
      <c r="T49" s="98"/>
      <c r="U49" s="99"/>
      <c r="V49" s="23"/>
      <c r="W49" s="99"/>
      <c r="X49" s="23"/>
      <c r="Y49" s="68"/>
      <c r="Z49" s="18"/>
      <c r="AA49" s="27" t="s">
        <v>105</v>
      </c>
      <c r="AB49" s="28">
        <v>3.0</v>
      </c>
      <c r="AC49" s="137">
        <v>45211.0</v>
      </c>
      <c r="AD49" s="28">
        <v>8.0</v>
      </c>
      <c r="AE49" s="125"/>
      <c r="AF49" s="125"/>
      <c r="AG49" s="126"/>
      <c r="AH49" s="23"/>
      <c r="AI49" s="126"/>
      <c r="AJ49" s="23"/>
      <c r="AK49" s="2"/>
      <c r="AL49" s="18"/>
      <c r="AM49" s="27" t="s">
        <v>105</v>
      </c>
      <c r="AN49" s="28">
        <v>3.0</v>
      </c>
      <c r="AO49" s="137">
        <v>45211.0</v>
      </c>
      <c r="AP49" s="28">
        <v>8.0</v>
      </c>
      <c r="AQ49" s="125"/>
      <c r="AR49" s="125"/>
      <c r="AS49" s="126"/>
      <c r="AT49" s="23"/>
      <c r="AU49" s="126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117" t="s">
        <v>21</v>
      </c>
      <c r="D51" s="41"/>
      <c r="E51" s="41"/>
      <c r="F51" s="41"/>
      <c r="G51" s="41"/>
      <c r="H51" s="41"/>
      <c r="I51" s="41"/>
      <c r="J51" s="41"/>
      <c r="K51" s="41"/>
      <c r="L51" s="23"/>
      <c r="M51" s="5"/>
      <c r="N51" s="1"/>
      <c r="O51" s="117" t="s">
        <v>21</v>
      </c>
      <c r="P51" s="41"/>
      <c r="Q51" s="41"/>
      <c r="R51" s="41"/>
      <c r="S51" s="41"/>
      <c r="T51" s="41"/>
      <c r="U51" s="41"/>
      <c r="V51" s="41"/>
      <c r="W51" s="41"/>
      <c r="X51" s="23"/>
      <c r="Y51" s="2"/>
      <c r="Z51" s="11"/>
      <c r="AA51" s="69" t="s">
        <v>21</v>
      </c>
      <c r="AB51" s="41"/>
      <c r="AC51" s="41"/>
      <c r="AD51" s="41"/>
      <c r="AE51" s="41"/>
      <c r="AF51" s="41"/>
      <c r="AG51" s="41"/>
      <c r="AH51" s="41"/>
      <c r="AI51" s="41"/>
      <c r="AJ51" s="23"/>
      <c r="AK51" s="2"/>
      <c r="AL51" s="11"/>
      <c r="AM51" s="69" t="s">
        <v>21</v>
      </c>
      <c r="AN51" s="41"/>
      <c r="AO51" s="41"/>
      <c r="AP51" s="41"/>
      <c r="AQ51" s="41"/>
      <c r="AR51" s="41"/>
      <c r="AS51" s="41"/>
      <c r="AT51" s="41"/>
      <c r="AU51" s="41"/>
      <c r="AV51" s="23"/>
    </row>
    <row r="52" ht="20.25" customHeight="1">
      <c r="A52" s="1"/>
      <c r="B52" s="16"/>
      <c r="C52" s="16"/>
      <c r="D52" s="16"/>
      <c r="E52" s="16"/>
      <c r="F52" s="16"/>
      <c r="G52" s="140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140"/>
      <c r="T52" s="1"/>
      <c r="U52" s="1"/>
      <c r="V52" s="1"/>
      <c r="W52" s="1"/>
      <c r="X52" s="1"/>
      <c r="Y52" s="68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140"/>
      <c r="H53" s="14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4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142" t="s">
        <v>42</v>
      </c>
      <c r="C54" s="9"/>
      <c r="D54" s="9"/>
      <c r="E54" s="9"/>
      <c r="F54" s="10"/>
      <c r="G54" s="143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143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144" t="s">
        <v>6</v>
      </c>
      <c r="C56" s="9"/>
      <c r="D56" s="10"/>
      <c r="E56" s="145" t="s">
        <v>7</v>
      </c>
      <c r="F56" s="145" t="s">
        <v>43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74"/>
      <c r="F57" s="74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146" t="s">
        <v>106</v>
      </c>
      <c r="C58" s="9"/>
      <c r="D58" s="9"/>
      <c r="E58" s="9"/>
      <c r="F58" s="10"/>
      <c r="G58" s="14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147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76" t="s">
        <v>45</v>
      </c>
      <c r="C60" s="9"/>
      <c r="D60" s="10"/>
      <c r="E60" s="148">
        <v>1.0</v>
      </c>
      <c r="F60" s="149" t="s">
        <v>46</v>
      </c>
      <c r="G60" s="150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74"/>
      <c r="F61" s="74"/>
      <c r="G61" s="150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76" t="s">
        <v>47</v>
      </c>
      <c r="C62" s="9"/>
      <c r="D62" s="10"/>
      <c r="E62" s="148">
        <v>1.0</v>
      </c>
      <c r="F62" s="149" t="s">
        <v>48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74"/>
      <c r="F63" s="74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9" t="s">
        <v>49</v>
      </c>
      <c r="C64" s="9"/>
      <c r="D64" s="10"/>
      <c r="E64" s="151">
        <v>1.0</v>
      </c>
      <c r="F64" s="152" t="s">
        <v>48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74"/>
      <c r="F65" s="74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53" t="s">
        <v>107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53" t="s">
        <v>108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53" t="s">
        <v>109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53"/>
      <c r="C72" s="154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53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155"/>
      <c r="E76" s="155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155"/>
      <c r="E77" s="155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155"/>
      <c r="E78" s="155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155"/>
      <c r="E79" s="155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155"/>
      <c r="E80" s="155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82"/>
      <c r="E95" s="8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82"/>
      <c r="E96" s="8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82"/>
      <c r="E97" s="8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82"/>
      <c r="E98" s="8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82"/>
      <c r="E99" s="8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82"/>
      <c r="E100" s="8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82"/>
      <c r="E101" s="8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82"/>
      <c r="E102" s="8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82"/>
      <c r="E103" s="8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82"/>
      <c r="E104" s="8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82"/>
      <c r="E105" s="8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82"/>
      <c r="E106" s="8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82"/>
      <c r="E107" s="8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82"/>
      <c r="E108" s="8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82"/>
      <c r="E109" s="8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82"/>
      <c r="E110" s="8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82"/>
      <c r="E111" s="8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82"/>
      <c r="E112" s="8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82"/>
      <c r="E113" s="8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82"/>
      <c r="E114" s="82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82"/>
      <c r="E115" s="82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82"/>
      <c r="E116" s="82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82"/>
      <c r="E117" s="82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82"/>
      <c r="E118" s="82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82"/>
      <c r="E119" s="82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82"/>
      <c r="E120" s="82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82"/>
      <c r="E121" s="82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82"/>
      <c r="E122" s="82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82"/>
      <c r="E123" s="8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82"/>
      <c r="E124" s="8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82"/>
      <c r="E125" s="8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82"/>
      <c r="E126" s="8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82"/>
      <c r="E127" s="8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82"/>
      <c r="E128" s="8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82"/>
      <c r="E129" s="8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82"/>
      <c r="E130" s="8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82"/>
      <c r="E131" s="8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82"/>
      <c r="E132" s="8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82"/>
      <c r="E133" s="8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82"/>
      <c r="E134" s="8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82"/>
      <c r="E135" s="8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82"/>
      <c r="E136" s="8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82"/>
      <c r="E137" s="8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82"/>
      <c r="E138" s="8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82"/>
      <c r="E139" s="8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82"/>
      <c r="E140" s="8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82"/>
      <c r="E141" s="8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82"/>
      <c r="E142" s="8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82"/>
      <c r="E143" s="8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82"/>
      <c r="E144" s="8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82"/>
      <c r="E145" s="8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82"/>
      <c r="E146" s="8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82"/>
      <c r="E147" s="8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82"/>
      <c r="E148" s="8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82"/>
      <c r="E149" s="8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82"/>
      <c r="E150" s="8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82"/>
      <c r="E151" s="8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82"/>
      <c r="E152" s="8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82"/>
      <c r="E153" s="8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82"/>
      <c r="E154" s="8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82"/>
      <c r="E155" s="8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82"/>
      <c r="E156" s="8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82"/>
      <c r="E157" s="8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82"/>
      <c r="E158" s="8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82"/>
      <c r="E159" s="8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83"/>
      <c r="D160" s="82"/>
      <c r="E160" s="8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83"/>
      <c r="D161" s="82"/>
      <c r="E161" s="8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83"/>
      <c r="D162" s="82"/>
      <c r="E162" s="8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83"/>
      <c r="D163" s="82"/>
      <c r="E163" s="8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83"/>
      <c r="D164" s="82"/>
      <c r="E164" s="8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83"/>
      <c r="D165" s="82"/>
      <c r="E165" s="8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83"/>
      <c r="D166" s="82"/>
      <c r="E166" s="8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83"/>
      <c r="D167" s="82"/>
      <c r="E167" s="8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83"/>
      <c r="D168" s="82"/>
      <c r="E168" s="8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83"/>
      <c r="D169" s="82"/>
      <c r="E169" s="8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56"/>
      <c r="C170" s="58"/>
      <c r="D170" s="82"/>
      <c r="E170" s="8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56"/>
      <c r="C171" s="58"/>
      <c r="D171" s="82"/>
      <c r="E171" s="8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56"/>
      <c r="C172" s="58"/>
      <c r="D172" s="82"/>
      <c r="E172" s="8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84" t="s">
        <v>50</v>
      </c>
      <c r="C173" s="85" t="s">
        <v>51</v>
      </c>
      <c r="D173" s="82"/>
      <c r="E173" s="8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84" t="s">
        <v>52</v>
      </c>
      <c r="C174" s="85" t="s">
        <v>53</v>
      </c>
      <c r="D174" s="82"/>
      <c r="E174" s="82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84" t="s">
        <v>54</v>
      </c>
      <c r="C175" s="86">
        <v>24.0</v>
      </c>
      <c r="D175" s="82"/>
      <c r="E175" s="82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84" t="s">
        <v>55</v>
      </c>
      <c r="C176" s="86">
        <v>174.5</v>
      </c>
      <c r="D176" s="82"/>
      <c r="E176" s="82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84" t="s">
        <v>56</v>
      </c>
      <c r="C177" s="86">
        <v>78.0</v>
      </c>
      <c r="D177" s="82"/>
      <c r="E177" s="82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84" t="s">
        <v>57</v>
      </c>
      <c r="C178" s="87" t="s">
        <v>58</v>
      </c>
      <c r="D178" s="82"/>
      <c r="E178" s="82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84" t="s">
        <v>59</v>
      </c>
      <c r="C179" s="87" t="s">
        <v>60</v>
      </c>
      <c r="D179" s="82"/>
      <c r="E179" s="82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84" t="s">
        <v>61</v>
      </c>
      <c r="C180" s="87" t="s">
        <v>62</v>
      </c>
      <c r="D180" s="82"/>
      <c r="E180" s="82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84" t="s">
        <v>63</v>
      </c>
      <c r="C181" s="87" t="s">
        <v>64</v>
      </c>
      <c r="D181" s="82"/>
      <c r="E181" s="82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84" t="s">
        <v>65</v>
      </c>
      <c r="C182" s="87" t="s">
        <v>66</v>
      </c>
      <c r="D182" s="82"/>
      <c r="E182" s="82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56"/>
      <c r="B183" s="84" t="s">
        <v>67</v>
      </c>
      <c r="C183" s="86" t="s">
        <v>68</v>
      </c>
      <c r="D183" s="88"/>
      <c r="E183" s="88"/>
      <c r="F183" s="56"/>
      <c r="G183" s="56"/>
      <c r="H183" s="56"/>
      <c r="I183" s="56"/>
      <c r="J183" s="56"/>
      <c r="K183" s="56"/>
      <c r="L183" s="56"/>
      <c r="M183" s="5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</row>
    <row r="184" ht="20.25" customHeight="1">
      <c r="A184" s="56"/>
      <c r="B184" s="84" t="s">
        <v>69</v>
      </c>
      <c r="C184" s="86">
        <v>0.0</v>
      </c>
      <c r="D184" s="88"/>
      <c r="E184" s="88"/>
      <c r="F184" s="56"/>
      <c r="G184" s="56"/>
      <c r="H184" s="56"/>
      <c r="I184" s="56"/>
      <c r="J184" s="56"/>
      <c r="K184" s="56"/>
      <c r="L184" s="56"/>
      <c r="M184" s="5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</row>
    <row r="185" ht="20.25" customHeight="1">
      <c r="A185" s="56"/>
      <c r="B185" s="84" t="s">
        <v>70</v>
      </c>
      <c r="C185" s="87" t="s">
        <v>71</v>
      </c>
      <c r="D185" s="88"/>
      <c r="E185" s="88"/>
      <c r="F185" s="56"/>
      <c r="G185" s="56"/>
      <c r="H185" s="56"/>
      <c r="I185" s="56"/>
      <c r="J185" s="56"/>
      <c r="K185" s="56"/>
      <c r="L185" s="56"/>
      <c r="M185" s="5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</row>
    <row r="186" ht="20.25" customHeight="1">
      <c r="A186" s="56"/>
      <c r="B186" s="84" t="s">
        <v>72</v>
      </c>
      <c r="C186" s="85" t="s">
        <v>73</v>
      </c>
      <c r="D186" s="88"/>
      <c r="E186" s="88"/>
      <c r="F186" s="56"/>
      <c r="G186" s="56"/>
      <c r="H186" s="56"/>
      <c r="I186" s="56"/>
      <c r="J186" s="56"/>
      <c r="K186" s="56"/>
      <c r="L186" s="56"/>
      <c r="M186" s="5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</row>
    <row r="187" ht="20.25" customHeight="1">
      <c r="A187" s="56"/>
      <c r="B187" s="89"/>
      <c r="C187" s="89"/>
      <c r="D187" s="88"/>
      <c r="E187" s="88"/>
      <c r="F187" s="56"/>
      <c r="G187" s="56"/>
      <c r="H187" s="56"/>
      <c r="I187" s="56"/>
      <c r="J187" s="56"/>
      <c r="K187" s="56"/>
      <c r="L187" s="56"/>
      <c r="M187" s="5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</row>
    <row r="188" ht="20.25" customHeight="1">
      <c r="A188" s="56"/>
      <c r="B188" s="89"/>
      <c r="C188" s="89"/>
      <c r="D188" s="88"/>
      <c r="E188" s="88"/>
      <c r="F188" s="56"/>
      <c r="G188" s="56"/>
      <c r="H188" s="56"/>
      <c r="I188" s="56"/>
      <c r="J188" s="56"/>
      <c r="K188" s="56"/>
      <c r="L188" s="56"/>
      <c r="M188" s="5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</row>
    <row r="189" ht="20.25" customHeight="1">
      <c r="A189" s="56"/>
      <c r="B189" s="89"/>
      <c r="C189" s="89"/>
      <c r="D189" s="88"/>
      <c r="E189" s="88"/>
      <c r="F189" s="56"/>
      <c r="G189" s="56"/>
      <c r="H189" s="56"/>
      <c r="I189" s="56"/>
      <c r="J189" s="56"/>
      <c r="K189" s="56"/>
      <c r="L189" s="56"/>
      <c r="M189" s="5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</row>
    <row r="190" ht="20.25" customHeight="1">
      <c r="A190" s="56"/>
      <c r="B190" s="89"/>
      <c r="C190" s="90"/>
      <c r="D190" s="88"/>
      <c r="E190" s="88"/>
      <c r="F190" s="56"/>
      <c r="G190" s="56"/>
      <c r="H190" s="56"/>
      <c r="I190" s="56"/>
      <c r="J190" s="56"/>
      <c r="K190" s="56"/>
      <c r="L190" s="56"/>
      <c r="M190" s="5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</row>
    <row r="191" ht="20.25" customHeight="1">
      <c r="A191" s="56"/>
      <c r="B191" s="56"/>
      <c r="C191" s="56"/>
      <c r="D191" s="88"/>
      <c r="E191" s="88"/>
      <c r="F191" s="56"/>
      <c r="G191" s="56"/>
      <c r="H191" s="56"/>
      <c r="I191" s="56"/>
      <c r="J191" s="56"/>
      <c r="K191" s="56"/>
      <c r="L191" s="56"/>
      <c r="M191" s="5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</row>
    <row r="192" ht="20.25" customHeight="1">
      <c r="A192" s="1"/>
      <c r="B192" s="56"/>
      <c r="C192" s="56"/>
      <c r="D192" s="82"/>
      <c r="E192" s="8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56"/>
      <c r="C193" s="56"/>
      <c r="D193" s="82"/>
      <c r="E193" s="8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83"/>
      <c r="D194" s="82"/>
      <c r="E194" s="8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83"/>
      <c r="D195" s="82"/>
      <c r="E195" s="8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83"/>
      <c r="D196" s="82"/>
      <c r="E196" s="8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83"/>
      <c r="D197" s="82"/>
      <c r="E197" s="8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83"/>
      <c r="D198" s="82"/>
      <c r="E198" s="8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83"/>
      <c r="D199" s="82"/>
      <c r="E199" s="8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83"/>
      <c r="D200" s="82"/>
      <c r="E200" s="8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83"/>
      <c r="D201" s="82"/>
      <c r="E201" s="8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83"/>
      <c r="D202" s="82"/>
      <c r="E202" s="8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83"/>
      <c r="D203" s="82"/>
      <c r="E203" s="8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83"/>
      <c r="D204" s="82"/>
      <c r="E204" s="8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83"/>
      <c r="D205" s="82"/>
      <c r="E205" s="8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83"/>
      <c r="D206" s="82"/>
      <c r="E206" s="8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83"/>
      <c r="D207" s="82"/>
      <c r="E207" s="8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83"/>
      <c r="D208" s="82"/>
      <c r="E208" s="8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83"/>
      <c r="D209" s="82"/>
      <c r="E209" s="8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83"/>
      <c r="D210" s="82"/>
      <c r="E210" s="8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83"/>
      <c r="D211" s="82"/>
      <c r="E211" s="8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83"/>
      <c r="D212" s="82"/>
      <c r="E212" s="8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83"/>
      <c r="D213" s="82"/>
      <c r="E213" s="8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83"/>
      <c r="D214" s="82"/>
      <c r="E214" s="8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83"/>
      <c r="D215" s="82"/>
      <c r="E215" s="8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83"/>
      <c r="D216" s="82"/>
      <c r="E216" s="8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83"/>
      <c r="D217" s="82"/>
      <c r="E217" s="8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83"/>
      <c r="D218" s="82"/>
      <c r="E218" s="8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83"/>
      <c r="D219" s="82"/>
      <c r="E219" s="8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83"/>
      <c r="D220" s="82"/>
      <c r="E220" s="8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83"/>
      <c r="D221" s="82"/>
      <c r="E221" s="8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83"/>
      <c r="D222" s="82"/>
      <c r="E222" s="8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83"/>
      <c r="D223" s="82"/>
      <c r="E223" s="8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83"/>
      <c r="D224" s="82"/>
      <c r="E224" s="8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83"/>
      <c r="D225" s="82"/>
      <c r="E225" s="8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83"/>
      <c r="D226" s="82"/>
      <c r="E226" s="8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83"/>
      <c r="D227" s="82"/>
      <c r="E227" s="8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83"/>
      <c r="D228" s="82"/>
      <c r="E228" s="8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83"/>
      <c r="D229" s="82"/>
      <c r="E229" s="8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83"/>
      <c r="D230" s="82"/>
      <c r="E230" s="8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83"/>
      <c r="D231" s="82"/>
      <c r="E231" s="8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83"/>
      <c r="D232" s="82"/>
      <c r="E232" s="8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83"/>
      <c r="D233" s="82"/>
      <c r="E233" s="8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83"/>
      <c r="D234" s="82"/>
      <c r="E234" s="8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83"/>
      <c r="D235" s="82"/>
      <c r="E235" s="8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83"/>
      <c r="D236" s="82"/>
      <c r="E236" s="8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83"/>
      <c r="D237" s="82"/>
      <c r="E237" s="8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83"/>
      <c r="D238" s="82"/>
      <c r="E238" s="8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83"/>
      <c r="D239" s="82"/>
      <c r="E239" s="8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83"/>
      <c r="D240" s="82"/>
      <c r="E240" s="8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83"/>
      <c r="D241" s="82"/>
      <c r="E241" s="8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83"/>
      <c r="D242" s="82"/>
      <c r="E242" s="8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83"/>
      <c r="D243" s="82"/>
      <c r="E243" s="8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83"/>
      <c r="D244" s="82"/>
      <c r="E244" s="8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83"/>
      <c r="D245" s="82"/>
      <c r="E245" s="8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83"/>
      <c r="D246" s="82"/>
      <c r="E246" s="8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83"/>
      <c r="D247" s="82"/>
      <c r="E247" s="8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83"/>
      <c r="D248" s="82"/>
      <c r="E248" s="8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83"/>
      <c r="D249" s="82"/>
      <c r="E249" s="8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83"/>
      <c r="D250" s="82"/>
      <c r="E250" s="8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83"/>
      <c r="D251" s="82"/>
      <c r="E251" s="8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83"/>
      <c r="D252" s="82"/>
      <c r="E252" s="8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83"/>
      <c r="D253" s="82"/>
      <c r="E253" s="8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83"/>
      <c r="D254" s="82"/>
      <c r="E254" s="8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83"/>
      <c r="D255" s="82"/>
      <c r="E255" s="8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83"/>
      <c r="D256" s="82"/>
      <c r="E256" s="8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83"/>
      <c r="D257" s="82"/>
      <c r="E257" s="8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83"/>
      <c r="D258" s="82"/>
      <c r="E258" s="8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83"/>
      <c r="D259" s="82"/>
      <c r="E259" s="8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83"/>
      <c r="D260" s="82"/>
      <c r="E260" s="8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83"/>
      <c r="D261" s="82"/>
      <c r="E261" s="8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83"/>
      <c r="D262" s="82"/>
      <c r="E262" s="8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83"/>
      <c r="D263" s="82"/>
      <c r="E263" s="8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83"/>
      <c r="D264" s="82"/>
      <c r="E264" s="8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83"/>
      <c r="D265" s="82"/>
      <c r="E265" s="8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83"/>
      <c r="D266" s="82"/>
      <c r="E266" s="8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83"/>
      <c r="D267" s="82"/>
      <c r="E267" s="8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83"/>
      <c r="D268" s="82"/>
      <c r="E268" s="8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83"/>
      <c r="D269" s="82"/>
      <c r="E269" s="8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83"/>
      <c r="D270" s="82"/>
      <c r="E270" s="8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83"/>
      <c r="D271" s="82"/>
      <c r="E271" s="8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83"/>
      <c r="D272" s="82"/>
      <c r="E272" s="8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83"/>
      <c r="D273" s="82"/>
      <c r="E273" s="8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83"/>
      <c r="D274" s="82"/>
      <c r="E274" s="8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83"/>
      <c r="D275" s="82"/>
      <c r="E275" s="8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83"/>
      <c r="D276" s="82"/>
      <c r="E276" s="8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83"/>
      <c r="D277" s="82"/>
      <c r="E277" s="8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83"/>
      <c r="D278" s="82"/>
      <c r="E278" s="8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83"/>
      <c r="D279" s="82"/>
      <c r="E279" s="8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83"/>
      <c r="D280" s="82"/>
      <c r="E280" s="8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83"/>
      <c r="D281" s="82"/>
      <c r="E281" s="8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83"/>
      <c r="D282" s="82"/>
      <c r="E282" s="8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83"/>
      <c r="D283" s="82"/>
      <c r="E283" s="8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83"/>
      <c r="D284" s="82"/>
      <c r="E284" s="8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83"/>
      <c r="D285" s="82"/>
      <c r="E285" s="8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83"/>
      <c r="D286" s="82"/>
      <c r="E286" s="8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83"/>
      <c r="D287" s="82"/>
      <c r="E287" s="8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83"/>
      <c r="D288" s="82"/>
      <c r="E288" s="8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83"/>
      <c r="D289" s="82"/>
      <c r="E289" s="8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83"/>
      <c r="D290" s="82"/>
      <c r="E290" s="8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83"/>
      <c r="D291" s="82"/>
      <c r="E291" s="8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83"/>
      <c r="D292" s="82"/>
      <c r="E292" s="8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83"/>
      <c r="D293" s="82"/>
      <c r="E293" s="8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83"/>
      <c r="D294" s="82"/>
      <c r="E294" s="8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83"/>
      <c r="D295" s="82"/>
      <c r="E295" s="8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83"/>
      <c r="D296" s="82"/>
      <c r="E296" s="8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83"/>
      <c r="D297" s="82"/>
      <c r="E297" s="8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83"/>
      <c r="D298" s="82"/>
      <c r="E298" s="8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83"/>
      <c r="D299" s="82"/>
      <c r="E299" s="8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83"/>
      <c r="D300" s="82"/>
      <c r="E300" s="8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83"/>
      <c r="D301" s="82"/>
      <c r="E301" s="8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83"/>
      <c r="D302" s="82"/>
      <c r="E302" s="8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83"/>
      <c r="D303" s="82"/>
      <c r="E303" s="8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83"/>
      <c r="D304" s="82"/>
      <c r="E304" s="8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83"/>
      <c r="D305" s="82"/>
      <c r="E305" s="8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83"/>
      <c r="D306" s="82"/>
      <c r="E306" s="8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83"/>
      <c r="D307" s="82"/>
      <c r="E307" s="8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83"/>
      <c r="D308" s="82"/>
      <c r="E308" s="8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83"/>
      <c r="D309" s="82"/>
      <c r="E309" s="8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83"/>
      <c r="D310" s="82"/>
      <c r="E310" s="8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83"/>
      <c r="D311" s="82"/>
      <c r="E311" s="8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83"/>
      <c r="D312" s="82"/>
      <c r="E312" s="8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83"/>
      <c r="D313" s="82"/>
      <c r="E313" s="8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83"/>
      <c r="D314" s="82"/>
      <c r="E314" s="8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83"/>
      <c r="D315" s="82"/>
      <c r="E315" s="8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83"/>
      <c r="D316" s="82"/>
      <c r="E316" s="8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83"/>
      <c r="D317" s="82"/>
      <c r="E317" s="8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83"/>
      <c r="D318" s="82"/>
      <c r="E318" s="8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83"/>
      <c r="D319" s="82"/>
      <c r="E319" s="8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83"/>
      <c r="D320" s="82"/>
      <c r="E320" s="8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83"/>
      <c r="D321" s="82"/>
      <c r="E321" s="8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83"/>
      <c r="D322" s="82"/>
      <c r="E322" s="8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83"/>
      <c r="D323" s="82"/>
      <c r="E323" s="8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83"/>
      <c r="D324" s="82"/>
      <c r="E324" s="8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83"/>
      <c r="D325" s="82"/>
      <c r="E325" s="8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83"/>
      <c r="D326" s="82"/>
      <c r="E326" s="8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83"/>
      <c r="D327" s="82"/>
      <c r="E327" s="8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83"/>
      <c r="D328" s="82"/>
      <c r="E328" s="8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83"/>
      <c r="D329" s="82"/>
      <c r="E329" s="8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83"/>
      <c r="D330" s="82"/>
      <c r="E330" s="8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83"/>
      <c r="D331" s="82"/>
      <c r="E331" s="8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83"/>
      <c r="D332" s="82"/>
      <c r="E332" s="8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83"/>
      <c r="D333" s="82"/>
      <c r="E333" s="8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83"/>
      <c r="D334" s="82"/>
      <c r="E334" s="8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83"/>
      <c r="D335" s="82"/>
      <c r="E335" s="8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83"/>
      <c r="D336" s="82"/>
      <c r="E336" s="8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83"/>
      <c r="D337" s="82"/>
      <c r="E337" s="8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83"/>
      <c r="D338" s="82"/>
      <c r="E338" s="8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83"/>
      <c r="D339" s="82"/>
      <c r="E339" s="8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83"/>
      <c r="D340" s="82"/>
      <c r="E340" s="8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83"/>
      <c r="D341" s="82"/>
      <c r="E341" s="8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83"/>
      <c r="D342" s="82"/>
      <c r="E342" s="8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83"/>
      <c r="D343" s="82"/>
      <c r="E343" s="8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83"/>
      <c r="D344" s="82"/>
      <c r="E344" s="8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83"/>
      <c r="D345" s="82"/>
      <c r="E345" s="8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83"/>
      <c r="D346" s="82"/>
      <c r="E346" s="8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83"/>
      <c r="D347" s="82"/>
      <c r="E347" s="8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83"/>
      <c r="D348" s="82"/>
      <c r="E348" s="8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83"/>
      <c r="D349" s="82"/>
      <c r="E349" s="8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83"/>
      <c r="D350" s="82"/>
      <c r="E350" s="8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83"/>
      <c r="D351" s="82"/>
      <c r="E351" s="8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83"/>
      <c r="D352" s="82"/>
      <c r="E352" s="8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83"/>
      <c r="D353" s="82"/>
      <c r="E353" s="8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83"/>
      <c r="D354" s="82"/>
      <c r="E354" s="8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83"/>
      <c r="D355" s="82"/>
      <c r="E355" s="8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83"/>
      <c r="D356" s="82"/>
      <c r="E356" s="8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83"/>
      <c r="D357" s="82"/>
      <c r="E357" s="8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83"/>
      <c r="D358" s="82"/>
      <c r="E358" s="8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83"/>
      <c r="D359" s="82"/>
      <c r="E359" s="8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83"/>
      <c r="D360" s="82"/>
      <c r="E360" s="8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83"/>
      <c r="D361" s="82"/>
      <c r="E361" s="8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83"/>
      <c r="D362" s="82"/>
      <c r="E362" s="8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83"/>
      <c r="D363" s="82"/>
      <c r="E363" s="8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83"/>
      <c r="D364" s="82"/>
      <c r="E364" s="8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83"/>
      <c r="D365" s="82"/>
      <c r="E365" s="8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83"/>
      <c r="D366" s="82"/>
      <c r="E366" s="8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83"/>
      <c r="D367" s="82"/>
      <c r="E367" s="8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83"/>
      <c r="D368" s="82"/>
      <c r="E368" s="8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83"/>
      <c r="D369" s="82"/>
      <c r="E369" s="8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83"/>
      <c r="D370" s="82"/>
      <c r="E370" s="8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83"/>
      <c r="D371" s="82"/>
      <c r="E371" s="8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83"/>
      <c r="D372" s="82"/>
      <c r="E372" s="8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83"/>
      <c r="D373" s="82"/>
      <c r="E373" s="8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83"/>
      <c r="D374" s="82"/>
      <c r="E374" s="8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83"/>
      <c r="D375" s="82"/>
      <c r="E375" s="8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83"/>
      <c r="D376" s="82"/>
      <c r="E376" s="8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83"/>
      <c r="D377" s="82"/>
      <c r="E377" s="8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83"/>
      <c r="D378" s="82"/>
      <c r="E378" s="8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83"/>
      <c r="D379" s="82"/>
      <c r="E379" s="8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83"/>
      <c r="D380" s="82"/>
      <c r="E380" s="8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83"/>
      <c r="D381" s="82"/>
      <c r="E381" s="8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83"/>
      <c r="D382" s="82"/>
      <c r="E382" s="8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83"/>
      <c r="D383" s="82"/>
      <c r="E383" s="8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83"/>
      <c r="D384" s="82"/>
      <c r="E384" s="8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83"/>
      <c r="D385" s="82"/>
      <c r="E385" s="8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83"/>
      <c r="D386" s="82"/>
      <c r="E386" s="8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83"/>
      <c r="D387" s="82"/>
      <c r="E387" s="8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83"/>
      <c r="D388" s="82"/>
      <c r="E388" s="8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83"/>
      <c r="D389" s="82"/>
      <c r="E389" s="8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83"/>
      <c r="D390" s="82"/>
      <c r="E390" s="8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83"/>
      <c r="D391" s="82"/>
      <c r="E391" s="8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83"/>
      <c r="D392" s="82"/>
      <c r="E392" s="8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83"/>
      <c r="D393" s="82"/>
      <c r="E393" s="8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83"/>
      <c r="D394" s="82"/>
      <c r="E394" s="8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83"/>
      <c r="D395" s="82"/>
      <c r="E395" s="8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83"/>
      <c r="D396" s="82"/>
      <c r="E396" s="8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83"/>
      <c r="D397" s="82"/>
      <c r="E397" s="8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83"/>
      <c r="D398" s="82"/>
      <c r="E398" s="8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83"/>
      <c r="D399" s="82"/>
      <c r="E399" s="8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83"/>
      <c r="D400" s="82"/>
      <c r="E400" s="8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83"/>
      <c r="D401" s="82"/>
      <c r="E401" s="8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83"/>
      <c r="D402" s="82"/>
      <c r="E402" s="8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83"/>
      <c r="D403" s="82"/>
      <c r="E403" s="8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83"/>
      <c r="D404" s="82"/>
      <c r="E404" s="8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83"/>
      <c r="D405" s="82"/>
      <c r="E405" s="8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83"/>
      <c r="D406" s="82"/>
      <c r="E406" s="8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83"/>
      <c r="D407" s="82"/>
      <c r="E407" s="8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83"/>
      <c r="D408" s="82"/>
      <c r="E408" s="8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83"/>
      <c r="D409" s="82"/>
      <c r="E409" s="8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83"/>
      <c r="D410" s="82"/>
      <c r="E410" s="8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83"/>
      <c r="D411" s="82"/>
      <c r="E411" s="8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83"/>
      <c r="D412" s="82"/>
      <c r="E412" s="8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83"/>
      <c r="D413" s="82"/>
      <c r="E413" s="8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83"/>
      <c r="D414" s="82"/>
      <c r="E414" s="8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83"/>
      <c r="D415" s="82"/>
      <c r="E415" s="8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83"/>
      <c r="D416" s="82"/>
      <c r="E416" s="8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83"/>
      <c r="D417" s="82"/>
      <c r="E417" s="8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83"/>
      <c r="D418" s="82"/>
      <c r="E418" s="8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83"/>
      <c r="D419" s="82"/>
      <c r="E419" s="8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83"/>
      <c r="D420" s="82"/>
      <c r="E420" s="8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83"/>
      <c r="D421" s="82"/>
      <c r="E421" s="8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83"/>
      <c r="D422" s="82"/>
      <c r="E422" s="8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83"/>
      <c r="D423" s="82"/>
      <c r="E423" s="8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83"/>
      <c r="D424" s="82"/>
      <c r="E424" s="8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83"/>
      <c r="D425" s="82"/>
      <c r="E425" s="8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83"/>
      <c r="D426" s="82"/>
      <c r="E426" s="8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83"/>
      <c r="D427" s="82"/>
      <c r="E427" s="8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83"/>
      <c r="D428" s="82"/>
      <c r="E428" s="8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83"/>
      <c r="D429" s="82"/>
      <c r="E429" s="8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83"/>
      <c r="D430" s="82"/>
      <c r="E430" s="8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83"/>
      <c r="D431" s="82"/>
      <c r="E431" s="8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83"/>
      <c r="D432" s="82"/>
      <c r="E432" s="8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83"/>
      <c r="D433" s="82"/>
      <c r="E433" s="8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83"/>
      <c r="D434" s="82"/>
      <c r="E434" s="8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83"/>
      <c r="D435" s="82"/>
      <c r="E435" s="8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83"/>
      <c r="D436" s="82"/>
      <c r="E436" s="8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83"/>
      <c r="D437" s="82"/>
      <c r="E437" s="8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83"/>
      <c r="D438" s="82"/>
      <c r="E438" s="8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83"/>
      <c r="D439" s="82"/>
      <c r="E439" s="8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83"/>
      <c r="D440" s="82"/>
      <c r="E440" s="8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83"/>
      <c r="D441" s="82"/>
      <c r="E441" s="8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83"/>
      <c r="D442" s="82"/>
      <c r="E442" s="8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83"/>
      <c r="D443" s="82"/>
      <c r="E443" s="8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83"/>
      <c r="D444" s="82"/>
      <c r="E444" s="8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83"/>
      <c r="D445" s="82"/>
      <c r="E445" s="8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83"/>
      <c r="D446" s="82"/>
      <c r="E446" s="8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83"/>
      <c r="D447" s="82"/>
      <c r="E447" s="8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83"/>
      <c r="D448" s="82"/>
      <c r="E448" s="8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83"/>
      <c r="D449" s="82"/>
      <c r="E449" s="8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83"/>
      <c r="D450" s="82"/>
      <c r="E450" s="8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83"/>
      <c r="D451" s="82"/>
      <c r="E451" s="8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83"/>
      <c r="D452" s="82"/>
      <c r="E452" s="8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83"/>
      <c r="D453" s="82"/>
      <c r="E453" s="8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83"/>
      <c r="D454" s="82"/>
      <c r="E454" s="8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83"/>
      <c r="D455" s="82"/>
      <c r="E455" s="8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83"/>
      <c r="D456" s="82"/>
      <c r="E456" s="8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83"/>
      <c r="D457" s="82"/>
      <c r="E457" s="8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83"/>
      <c r="D458" s="82"/>
      <c r="E458" s="8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83"/>
      <c r="D459" s="82"/>
      <c r="E459" s="8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83"/>
      <c r="D460" s="82"/>
      <c r="E460" s="8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83"/>
      <c r="D461" s="82"/>
      <c r="E461" s="8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83"/>
      <c r="D462" s="82"/>
      <c r="E462" s="8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83"/>
      <c r="D463" s="82"/>
      <c r="E463" s="8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83"/>
      <c r="D464" s="82"/>
      <c r="E464" s="8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83"/>
      <c r="D465" s="82"/>
      <c r="E465" s="8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83"/>
      <c r="D466" s="82"/>
      <c r="E466" s="8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83"/>
      <c r="D467" s="82"/>
      <c r="E467" s="8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83"/>
      <c r="D468" s="82"/>
      <c r="E468" s="8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83"/>
      <c r="D469" s="82"/>
      <c r="E469" s="8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83"/>
      <c r="D470" s="82"/>
      <c r="E470" s="8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83"/>
      <c r="D471" s="82"/>
      <c r="E471" s="8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83"/>
      <c r="D472" s="82"/>
      <c r="E472" s="8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83"/>
      <c r="D473" s="82"/>
      <c r="E473" s="8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83"/>
      <c r="D474" s="82"/>
      <c r="E474" s="8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83"/>
      <c r="D475" s="82"/>
      <c r="E475" s="8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83"/>
      <c r="D476" s="82"/>
      <c r="E476" s="8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83"/>
      <c r="D477" s="82"/>
      <c r="E477" s="8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83"/>
      <c r="D478" s="82"/>
      <c r="E478" s="8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83"/>
      <c r="D479" s="82"/>
      <c r="E479" s="8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83"/>
      <c r="D480" s="82"/>
      <c r="E480" s="8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83"/>
      <c r="D481" s="82"/>
      <c r="E481" s="8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83"/>
      <c r="D482" s="82"/>
      <c r="E482" s="8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83"/>
      <c r="D483" s="82"/>
      <c r="E483" s="8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83"/>
      <c r="D484" s="82"/>
      <c r="E484" s="8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83"/>
      <c r="D485" s="82"/>
      <c r="E485" s="8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83"/>
      <c r="D486" s="82"/>
      <c r="E486" s="8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83"/>
      <c r="D487" s="82"/>
      <c r="E487" s="8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83"/>
      <c r="D488" s="82"/>
      <c r="E488" s="8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83"/>
      <c r="D489" s="82"/>
      <c r="E489" s="8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83"/>
      <c r="D490" s="82"/>
      <c r="E490" s="8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83"/>
      <c r="D491" s="82"/>
      <c r="E491" s="8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83"/>
      <c r="D492" s="82"/>
      <c r="E492" s="8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83"/>
      <c r="D493" s="82"/>
      <c r="E493" s="8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83"/>
      <c r="D494" s="82"/>
      <c r="E494" s="8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83"/>
      <c r="D495" s="82"/>
      <c r="E495" s="8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83"/>
      <c r="D496" s="82"/>
      <c r="E496" s="8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83"/>
      <c r="D497" s="82"/>
      <c r="E497" s="8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83"/>
      <c r="D498" s="82"/>
      <c r="E498" s="8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83"/>
      <c r="D499" s="82"/>
      <c r="E499" s="8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83"/>
      <c r="D500" s="82"/>
      <c r="E500" s="8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83"/>
      <c r="D501" s="82"/>
      <c r="E501" s="8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83"/>
      <c r="D502" s="82"/>
      <c r="E502" s="8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83"/>
      <c r="D503" s="82"/>
      <c r="E503" s="8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83"/>
      <c r="D504" s="82"/>
      <c r="E504" s="8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83"/>
      <c r="D505" s="82"/>
      <c r="E505" s="8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83"/>
      <c r="D506" s="82"/>
      <c r="E506" s="8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83"/>
      <c r="D507" s="82"/>
      <c r="E507" s="8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83"/>
      <c r="D508" s="82"/>
      <c r="E508" s="8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83"/>
      <c r="D509" s="82"/>
      <c r="E509" s="8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83"/>
      <c r="D510" s="82"/>
      <c r="E510" s="8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83"/>
      <c r="D511" s="82"/>
      <c r="E511" s="8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83"/>
      <c r="D512" s="82"/>
      <c r="E512" s="8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83"/>
      <c r="D513" s="82"/>
      <c r="E513" s="8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83"/>
      <c r="D514" s="82"/>
      <c r="E514" s="8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83"/>
      <c r="D515" s="82"/>
      <c r="E515" s="8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83"/>
      <c r="D516" s="82"/>
      <c r="E516" s="8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83"/>
      <c r="D517" s="82"/>
      <c r="E517" s="8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83"/>
      <c r="D518" s="82"/>
      <c r="E518" s="8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83"/>
      <c r="D519" s="82"/>
      <c r="E519" s="8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83"/>
      <c r="D520" s="82"/>
      <c r="E520" s="8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83"/>
      <c r="D521" s="82"/>
      <c r="E521" s="8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83"/>
      <c r="D522" s="82"/>
      <c r="E522" s="8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83"/>
      <c r="D523" s="82"/>
      <c r="E523" s="8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83"/>
      <c r="D524" s="82"/>
      <c r="E524" s="8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83"/>
      <c r="D525" s="82"/>
      <c r="E525" s="8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83"/>
      <c r="D526" s="82"/>
      <c r="E526" s="8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83"/>
      <c r="D527" s="82"/>
      <c r="E527" s="8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83"/>
      <c r="D528" s="82"/>
      <c r="E528" s="8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83"/>
      <c r="D529" s="82"/>
      <c r="E529" s="8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83"/>
      <c r="D530" s="82"/>
      <c r="E530" s="8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83"/>
      <c r="D531" s="82"/>
      <c r="E531" s="8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83"/>
      <c r="D532" s="82"/>
      <c r="E532" s="8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83"/>
      <c r="D533" s="82"/>
      <c r="E533" s="8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83"/>
      <c r="D534" s="82"/>
      <c r="E534" s="8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83"/>
      <c r="D535" s="82"/>
      <c r="E535" s="8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83"/>
      <c r="D536" s="82"/>
      <c r="E536" s="8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83"/>
      <c r="D537" s="82"/>
      <c r="E537" s="8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83"/>
      <c r="D538" s="82"/>
      <c r="E538" s="8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83"/>
      <c r="D539" s="82"/>
      <c r="E539" s="8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83"/>
      <c r="D540" s="82"/>
      <c r="E540" s="8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83"/>
      <c r="D541" s="82"/>
      <c r="E541" s="8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83"/>
      <c r="D542" s="82"/>
      <c r="E542" s="8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83"/>
      <c r="D543" s="82"/>
      <c r="E543" s="8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83"/>
      <c r="D544" s="82"/>
      <c r="E544" s="8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83"/>
      <c r="D545" s="82"/>
      <c r="E545" s="8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83"/>
      <c r="D546" s="82"/>
      <c r="E546" s="8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83"/>
      <c r="D547" s="82"/>
      <c r="E547" s="8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83"/>
      <c r="D548" s="82"/>
      <c r="E548" s="8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83"/>
      <c r="D549" s="82"/>
      <c r="E549" s="8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83"/>
      <c r="D550" s="82"/>
      <c r="E550" s="8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83"/>
      <c r="D551" s="82"/>
      <c r="E551" s="8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83"/>
      <c r="D552" s="82"/>
      <c r="E552" s="8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83"/>
      <c r="D553" s="82"/>
      <c r="E553" s="8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83"/>
      <c r="D554" s="82"/>
      <c r="E554" s="8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83"/>
      <c r="D555" s="82"/>
      <c r="E555" s="8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83"/>
      <c r="D556" s="82"/>
      <c r="E556" s="8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83"/>
      <c r="D557" s="82"/>
      <c r="E557" s="8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83"/>
      <c r="D558" s="82"/>
      <c r="E558" s="8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83"/>
      <c r="D559" s="82"/>
      <c r="E559" s="8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83"/>
      <c r="D560" s="82"/>
      <c r="E560" s="8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83"/>
      <c r="D561" s="82"/>
      <c r="E561" s="8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83"/>
      <c r="D562" s="82"/>
      <c r="E562" s="8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83"/>
      <c r="D563" s="82"/>
      <c r="E563" s="8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83"/>
      <c r="D564" s="82"/>
      <c r="E564" s="8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83"/>
      <c r="D565" s="82"/>
      <c r="E565" s="8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83"/>
      <c r="D566" s="82"/>
      <c r="E566" s="8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83"/>
      <c r="D567" s="82"/>
      <c r="E567" s="8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83"/>
      <c r="D568" s="82"/>
      <c r="E568" s="8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83"/>
      <c r="D569" s="82"/>
      <c r="E569" s="8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83"/>
      <c r="D570" s="82"/>
      <c r="E570" s="8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83"/>
      <c r="D571" s="82"/>
      <c r="E571" s="8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83"/>
      <c r="D572" s="82"/>
      <c r="E572" s="8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83"/>
      <c r="D573" s="82"/>
      <c r="E573" s="8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83"/>
      <c r="D574" s="82"/>
      <c r="E574" s="8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83"/>
      <c r="D575" s="82"/>
      <c r="E575" s="8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83"/>
      <c r="D576" s="82"/>
      <c r="E576" s="8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83"/>
      <c r="D577" s="82"/>
      <c r="E577" s="8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83"/>
      <c r="D578" s="82"/>
      <c r="E578" s="8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83"/>
      <c r="D579" s="82"/>
      <c r="E579" s="8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83"/>
      <c r="D580" s="82"/>
      <c r="E580" s="8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83"/>
      <c r="D581" s="82"/>
      <c r="E581" s="8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83"/>
      <c r="D582" s="82"/>
      <c r="E582" s="8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83"/>
      <c r="D583" s="82"/>
      <c r="E583" s="8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83"/>
      <c r="D584" s="82"/>
      <c r="E584" s="8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83"/>
      <c r="D585" s="82"/>
      <c r="E585" s="8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83"/>
      <c r="D586" s="82"/>
      <c r="E586" s="8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83"/>
      <c r="D587" s="82"/>
      <c r="E587" s="8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83"/>
      <c r="D588" s="82"/>
      <c r="E588" s="8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83"/>
      <c r="D589" s="82"/>
      <c r="E589" s="8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83"/>
      <c r="D590" s="82"/>
      <c r="E590" s="8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83"/>
      <c r="D591" s="82"/>
      <c r="E591" s="8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83"/>
      <c r="D592" s="82"/>
      <c r="E592" s="8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83"/>
      <c r="D593" s="82"/>
      <c r="E593" s="8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83"/>
      <c r="D594" s="82"/>
      <c r="E594" s="8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83"/>
      <c r="D595" s="82"/>
      <c r="E595" s="8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83"/>
      <c r="D596" s="82"/>
      <c r="E596" s="8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83"/>
      <c r="D597" s="82"/>
      <c r="E597" s="8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83"/>
      <c r="D598" s="82"/>
      <c r="E598" s="8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83"/>
      <c r="D599" s="82"/>
      <c r="E599" s="8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83"/>
      <c r="D600" s="82"/>
      <c r="E600" s="8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83"/>
      <c r="D601" s="82"/>
      <c r="E601" s="8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83"/>
      <c r="D602" s="82"/>
      <c r="E602" s="8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83"/>
      <c r="D603" s="82"/>
      <c r="E603" s="8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83"/>
      <c r="D604" s="82"/>
      <c r="E604" s="8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83"/>
      <c r="D605" s="82"/>
      <c r="E605" s="8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83"/>
      <c r="D606" s="82"/>
      <c r="E606" s="8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83"/>
      <c r="D607" s="82"/>
      <c r="E607" s="8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83"/>
      <c r="D608" s="82"/>
      <c r="E608" s="8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83"/>
      <c r="D609" s="82"/>
      <c r="E609" s="8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83"/>
      <c r="D610" s="82"/>
      <c r="E610" s="8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83"/>
      <c r="D611" s="82"/>
      <c r="E611" s="8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83"/>
      <c r="D612" s="82"/>
      <c r="E612" s="8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83"/>
      <c r="D613" s="82"/>
      <c r="E613" s="8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83"/>
      <c r="D614" s="82"/>
      <c r="E614" s="8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83"/>
      <c r="D615" s="82"/>
      <c r="E615" s="8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83"/>
      <c r="D616" s="82"/>
      <c r="E616" s="8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83"/>
      <c r="D617" s="82"/>
      <c r="E617" s="8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83"/>
      <c r="D618" s="82"/>
      <c r="E618" s="8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83"/>
      <c r="D619" s="82"/>
      <c r="E619" s="8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83"/>
      <c r="D620" s="82"/>
      <c r="E620" s="8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83"/>
      <c r="D621" s="82"/>
      <c r="E621" s="8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83"/>
      <c r="D622" s="82"/>
      <c r="E622" s="8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83"/>
      <c r="D623" s="82"/>
      <c r="E623" s="8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83"/>
      <c r="D624" s="82"/>
      <c r="E624" s="8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83"/>
      <c r="D625" s="82"/>
      <c r="E625" s="8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83"/>
      <c r="D626" s="82"/>
      <c r="E626" s="8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83"/>
      <c r="D627" s="82"/>
      <c r="E627" s="8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83"/>
      <c r="D628" s="82"/>
      <c r="E628" s="8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83"/>
      <c r="D629" s="82"/>
      <c r="E629" s="8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83"/>
      <c r="D630" s="82"/>
      <c r="E630" s="8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83"/>
      <c r="D631" s="82"/>
      <c r="E631" s="8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83"/>
      <c r="D632" s="82"/>
      <c r="E632" s="8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83"/>
      <c r="D633" s="82"/>
      <c r="E633" s="8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83"/>
      <c r="D634" s="82"/>
      <c r="E634" s="8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83"/>
      <c r="D635" s="82"/>
      <c r="E635" s="8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83"/>
      <c r="D636" s="82"/>
      <c r="E636" s="8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83"/>
      <c r="D637" s="82"/>
      <c r="E637" s="8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83"/>
      <c r="D638" s="82"/>
      <c r="E638" s="8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83"/>
      <c r="D639" s="82"/>
      <c r="E639" s="8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83"/>
      <c r="D640" s="82"/>
      <c r="E640" s="8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83"/>
      <c r="D641" s="82"/>
      <c r="E641" s="8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83"/>
      <c r="D642" s="82"/>
      <c r="E642" s="8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83"/>
      <c r="D643" s="82"/>
      <c r="E643" s="8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83"/>
      <c r="D644" s="82"/>
      <c r="E644" s="8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83"/>
      <c r="D645" s="82"/>
      <c r="E645" s="8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83"/>
      <c r="D646" s="82"/>
      <c r="E646" s="8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83"/>
      <c r="D647" s="82"/>
      <c r="E647" s="8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83"/>
      <c r="D648" s="82"/>
      <c r="E648" s="8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83"/>
      <c r="D649" s="82"/>
      <c r="E649" s="8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83"/>
      <c r="D650" s="82"/>
      <c r="E650" s="8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83"/>
      <c r="D651" s="82"/>
      <c r="E651" s="8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83"/>
      <c r="D652" s="82"/>
      <c r="E652" s="8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83"/>
      <c r="D653" s="82"/>
      <c r="E653" s="8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83"/>
      <c r="D654" s="82"/>
      <c r="E654" s="8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83"/>
      <c r="D655" s="82"/>
      <c r="E655" s="8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83"/>
      <c r="D656" s="82"/>
      <c r="E656" s="8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83"/>
      <c r="D657" s="82"/>
      <c r="E657" s="8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83"/>
      <c r="D658" s="82"/>
      <c r="E658" s="8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83"/>
      <c r="D659" s="82"/>
      <c r="E659" s="8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83"/>
      <c r="D660" s="82"/>
      <c r="E660" s="8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83"/>
      <c r="D661" s="82"/>
      <c r="E661" s="8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83"/>
      <c r="D662" s="82"/>
      <c r="E662" s="8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83"/>
      <c r="D663" s="82"/>
      <c r="E663" s="8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83"/>
      <c r="D664" s="82"/>
      <c r="E664" s="8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83"/>
      <c r="D665" s="82"/>
      <c r="E665" s="8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83"/>
      <c r="D666" s="82"/>
      <c r="E666" s="8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83"/>
      <c r="D667" s="82"/>
      <c r="E667" s="8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83"/>
      <c r="D668" s="82"/>
      <c r="E668" s="8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83"/>
      <c r="D669" s="82"/>
      <c r="E669" s="8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83"/>
      <c r="D670" s="82"/>
      <c r="E670" s="8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83"/>
      <c r="D671" s="82"/>
      <c r="E671" s="8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83"/>
      <c r="D672" s="82"/>
      <c r="E672" s="8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83"/>
      <c r="D673" s="82"/>
      <c r="E673" s="8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83"/>
      <c r="D674" s="82"/>
      <c r="E674" s="8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83"/>
      <c r="D675" s="82"/>
      <c r="E675" s="8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83"/>
      <c r="D676" s="82"/>
      <c r="E676" s="8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83"/>
      <c r="D677" s="82"/>
      <c r="E677" s="8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83"/>
      <c r="D678" s="82"/>
      <c r="E678" s="8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83"/>
      <c r="D679" s="82"/>
      <c r="E679" s="8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83"/>
      <c r="D680" s="82"/>
      <c r="E680" s="8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83"/>
      <c r="D681" s="82"/>
      <c r="E681" s="8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83"/>
      <c r="D682" s="82"/>
      <c r="E682" s="8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83"/>
      <c r="D683" s="82"/>
      <c r="E683" s="8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83"/>
      <c r="D684" s="82"/>
      <c r="E684" s="8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83"/>
      <c r="D685" s="82"/>
      <c r="E685" s="8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83"/>
      <c r="D686" s="82"/>
      <c r="E686" s="8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83"/>
      <c r="D687" s="82"/>
      <c r="E687" s="8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83"/>
      <c r="D688" s="82"/>
      <c r="E688" s="8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83"/>
      <c r="D689" s="82"/>
      <c r="E689" s="8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83"/>
      <c r="D690" s="82"/>
      <c r="E690" s="8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83"/>
      <c r="D691" s="82"/>
      <c r="E691" s="8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83"/>
      <c r="D692" s="82"/>
      <c r="E692" s="8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83"/>
      <c r="D693" s="82"/>
      <c r="E693" s="8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83"/>
      <c r="D694" s="82"/>
      <c r="E694" s="8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83"/>
      <c r="D695" s="82"/>
      <c r="E695" s="8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83"/>
      <c r="D696" s="82"/>
      <c r="E696" s="8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83"/>
      <c r="D697" s="82"/>
      <c r="E697" s="8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83"/>
      <c r="D698" s="82"/>
      <c r="E698" s="8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83"/>
      <c r="D699" s="82"/>
      <c r="E699" s="8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83"/>
      <c r="D700" s="82"/>
      <c r="E700" s="8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83"/>
      <c r="D701" s="82"/>
      <c r="E701" s="8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83"/>
      <c r="D702" s="82"/>
      <c r="E702" s="8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83"/>
      <c r="D703" s="82"/>
      <c r="E703" s="8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83"/>
      <c r="D704" s="82"/>
      <c r="E704" s="8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83"/>
      <c r="D705" s="82"/>
      <c r="E705" s="8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83"/>
      <c r="D706" s="82"/>
      <c r="E706" s="8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83"/>
      <c r="D707" s="82"/>
      <c r="E707" s="8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83"/>
      <c r="D708" s="82"/>
      <c r="E708" s="8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83"/>
      <c r="D709" s="82"/>
      <c r="E709" s="8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83"/>
      <c r="D710" s="82"/>
      <c r="E710" s="8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83"/>
      <c r="D711" s="82"/>
      <c r="E711" s="8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83"/>
      <c r="D712" s="82"/>
      <c r="E712" s="8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83"/>
      <c r="D713" s="82"/>
      <c r="E713" s="8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83"/>
      <c r="D714" s="82"/>
      <c r="E714" s="8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83"/>
      <c r="D715" s="82"/>
      <c r="E715" s="8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83"/>
      <c r="D716" s="82"/>
      <c r="E716" s="8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83"/>
      <c r="D717" s="82"/>
      <c r="E717" s="8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83"/>
      <c r="D718" s="82"/>
      <c r="E718" s="8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83"/>
      <c r="D719" s="82"/>
      <c r="E719" s="8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83"/>
      <c r="D720" s="82"/>
      <c r="E720" s="8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83"/>
      <c r="D721" s="82"/>
      <c r="E721" s="8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83"/>
      <c r="D722" s="82"/>
      <c r="E722" s="8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83"/>
      <c r="D723" s="82"/>
      <c r="E723" s="8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83"/>
      <c r="D724" s="82"/>
      <c r="E724" s="8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83"/>
      <c r="D725" s="82"/>
      <c r="E725" s="8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83"/>
      <c r="D726" s="82"/>
      <c r="E726" s="8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83"/>
      <c r="D727" s="82"/>
      <c r="E727" s="8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83"/>
      <c r="D728" s="82"/>
      <c r="E728" s="8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83"/>
      <c r="D729" s="82"/>
      <c r="E729" s="8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83"/>
      <c r="D730" s="82"/>
      <c r="E730" s="8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83"/>
      <c r="D731" s="82"/>
      <c r="E731" s="8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83"/>
      <c r="D732" s="82"/>
      <c r="E732" s="8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83"/>
      <c r="D733" s="82"/>
      <c r="E733" s="8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83"/>
      <c r="D734" s="82"/>
      <c r="E734" s="8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83"/>
      <c r="D735" s="82"/>
      <c r="E735" s="8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83"/>
      <c r="D736" s="82"/>
      <c r="E736" s="8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83"/>
      <c r="D737" s="82"/>
      <c r="E737" s="8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83"/>
      <c r="D738" s="82"/>
      <c r="E738" s="8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83"/>
      <c r="D739" s="82"/>
      <c r="E739" s="8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83"/>
      <c r="D740" s="82"/>
      <c r="E740" s="8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83"/>
      <c r="D741" s="82"/>
      <c r="E741" s="8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83"/>
      <c r="D742" s="82"/>
      <c r="E742" s="8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83"/>
      <c r="D743" s="82"/>
      <c r="E743" s="8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83"/>
      <c r="D744" s="82"/>
      <c r="E744" s="8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83"/>
      <c r="D745" s="82"/>
      <c r="E745" s="8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83"/>
      <c r="D746" s="82"/>
      <c r="E746" s="8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83"/>
      <c r="D747" s="82"/>
      <c r="E747" s="8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83"/>
      <c r="D748" s="82"/>
      <c r="E748" s="8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83"/>
      <c r="D749" s="82"/>
      <c r="E749" s="8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83"/>
      <c r="D750" s="82"/>
      <c r="E750" s="8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83"/>
      <c r="D751" s="82"/>
      <c r="E751" s="8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83"/>
      <c r="D752" s="82"/>
      <c r="E752" s="8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83"/>
      <c r="D753" s="82"/>
      <c r="E753" s="8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83"/>
      <c r="D754" s="82"/>
      <c r="E754" s="8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83"/>
      <c r="D755" s="82"/>
      <c r="E755" s="8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83"/>
      <c r="D756" s="82"/>
      <c r="E756" s="8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83"/>
      <c r="D757" s="82"/>
      <c r="E757" s="8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83"/>
      <c r="D758" s="82"/>
      <c r="E758" s="8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83"/>
      <c r="D759" s="82"/>
      <c r="E759" s="8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83"/>
      <c r="D760" s="82"/>
      <c r="E760" s="8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83"/>
      <c r="D761" s="82"/>
      <c r="E761" s="8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83"/>
      <c r="D762" s="82"/>
      <c r="E762" s="8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83"/>
      <c r="D763" s="82"/>
      <c r="E763" s="8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83"/>
      <c r="D764" s="82"/>
      <c r="E764" s="8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83"/>
      <c r="D765" s="82"/>
      <c r="E765" s="8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83"/>
      <c r="D766" s="82"/>
      <c r="E766" s="8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83"/>
      <c r="D767" s="82"/>
      <c r="E767" s="8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83"/>
      <c r="D768" s="82"/>
      <c r="E768" s="8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83"/>
      <c r="D769" s="82"/>
      <c r="E769" s="8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83"/>
      <c r="D770" s="82"/>
      <c r="E770" s="8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83"/>
      <c r="D771" s="82"/>
      <c r="E771" s="8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83"/>
      <c r="D772" s="82"/>
      <c r="E772" s="8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83"/>
      <c r="D773" s="82"/>
      <c r="E773" s="8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83"/>
      <c r="D774" s="82"/>
      <c r="E774" s="8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83"/>
      <c r="D775" s="82"/>
      <c r="E775" s="8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83"/>
      <c r="D776" s="82"/>
      <c r="E776" s="8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83"/>
      <c r="D777" s="82"/>
      <c r="E777" s="8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83"/>
      <c r="D778" s="82"/>
      <c r="E778" s="8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83"/>
      <c r="D779" s="82"/>
      <c r="E779" s="8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83"/>
      <c r="D780" s="82"/>
      <c r="E780" s="8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83"/>
      <c r="D781" s="82"/>
      <c r="E781" s="8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83"/>
      <c r="D782" s="82"/>
      <c r="E782" s="8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83"/>
      <c r="D783" s="82"/>
      <c r="E783" s="8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83"/>
      <c r="D784" s="82"/>
      <c r="E784" s="8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83"/>
      <c r="D785" s="82"/>
      <c r="E785" s="8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83"/>
      <c r="D786" s="82"/>
      <c r="E786" s="8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83"/>
      <c r="D787" s="82"/>
      <c r="E787" s="8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83"/>
      <c r="D788" s="82"/>
      <c r="E788" s="8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83"/>
      <c r="D789" s="82"/>
      <c r="E789" s="8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83"/>
      <c r="D790" s="82"/>
      <c r="E790" s="8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83"/>
      <c r="D791" s="82"/>
      <c r="E791" s="8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83"/>
      <c r="D792" s="82"/>
      <c r="E792" s="8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83"/>
      <c r="D793" s="82"/>
      <c r="E793" s="8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83"/>
      <c r="D794" s="82"/>
      <c r="E794" s="8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83"/>
      <c r="D795" s="82"/>
      <c r="E795" s="8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83"/>
      <c r="D796" s="82"/>
      <c r="E796" s="8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83"/>
      <c r="D797" s="82"/>
      <c r="E797" s="8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83"/>
      <c r="D798" s="82"/>
      <c r="E798" s="8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83"/>
      <c r="D799" s="82"/>
      <c r="E799" s="8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83"/>
      <c r="D800" s="82"/>
      <c r="E800" s="8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83"/>
      <c r="D801" s="82"/>
      <c r="E801" s="8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83"/>
      <c r="D802" s="82"/>
      <c r="E802" s="8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83"/>
      <c r="D803" s="82"/>
      <c r="E803" s="8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83"/>
      <c r="D804" s="82"/>
      <c r="E804" s="8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83"/>
      <c r="D805" s="82"/>
      <c r="E805" s="8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83"/>
      <c r="D806" s="82"/>
      <c r="E806" s="8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83"/>
      <c r="D807" s="82"/>
      <c r="E807" s="8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83"/>
      <c r="D808" s="82"/>
      <c r="E808" s="8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83"/>
      <c r="D809" s="82"/>
      <c r="E809" s="8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83"/>
      <c r="D810" s="82"/>
      <c r="E810" s="8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83"/>
      <c r="D811" s="82"/>
      <c r="E811" s="8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83"/>
      <c r="D812" s="82"/>
      <c r="E812" s="8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83"/>
      <c r="D813" s="82"/>
      <c r="E813" s="8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83"/>
      <c r="D814" s="82"/>
      <c r="E814" s="8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83"/>
      <c r="D815" s="82"/>
      <c r="E815" s="8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83"/>
      <c r="D816" s="82"/>
      <c r="E816" s="8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83"/>
      <c r="D817" s="82"/>
      <c r="E817" s="8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83"/>
      <c r="D818" s="82"/>
      <c r="E818" s="8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83"/>
      <c r="D819" s="82"/>
      <c r="E819" s="8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83"/>
      <c r="D820" s="82"/>
      <c r="E820" s="8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83"/>
      <c r="D821" s="82"/>
      <c r="E821" s="8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83"/>
      <c r="D822" s="82"/>
      <c r="E822" s="8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83"/>
      <c r="D823" s="82"/>
      <c r="E823" s="8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83"/>
      <c r="D824" s="82"/>
      <c r="E824" s="8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83"/>
      <c r="D825" s="82"/>
      <c r="E825" s="8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83"/>
      <c r="D826" s="82"/>
      <c r="E826" s="8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83"/>
      <c r="D827" s="82"/>
      <c r="E827" s="8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83"/>
      <c r="D828" s="82"/>
      <c r="E828" s="8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83"/>
      <c r="D829" s="82"/>
      <c r="E829" s="8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83"/>
      <c r="D830" s="82"/>
      <c r="E830" s="8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83"/>
      <c r="D831" s="82"/>
      <c r="E831" s="8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83"/>
      <c r="D832" s="82"/>
      <c r="E832" s="8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83"/>
      <c r="D833" s="82"/>
      <c r="E833" s="8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83"/>
      <c r="D834" s="82"/>
      <c r="E834" s="8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83"/>
      <c r="D835" s="82"/>
      <c r="E835" s="8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83"/>
      <c r="D836" s="82"/>
      <c r="E836" s="8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83"/>
      <c r="D837" s="82"/>
      <c r="E837" s="8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83"/>
      <c r="D838" s="82"/>
      <c r="E838" s="8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83"/>
      <c r="D839" s="82"/>
      <c r="E839" s="8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83"/>
      <c r="D840" s="82"/>
      <c r="E840" s="8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83"/>
      <c r="D841" s="82"/>
      <c r="E841" s="8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83"/>
      <c r="D842" s="82"/>
      <c r="E842" s="8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83"/>
      <c r="D843" s="82"/>
      <c r="E843" s="8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83"/>
      <c r="D844" s="82"/>
      <c r="E844" s="8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83"/>
      <c r="D845" s="82"/>
      <c r="E845" s="8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83"/>
      <c r="D846" s="82"/>
      <c r="E846" s="8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83"/>
      <c r="D847" s="82"/>
      <c r="E847" s="8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83"/>
      <c r="D848" s="82"/>
      <c r="E848" s="8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83"/>
      <c r="D849" s="82"/>
      <c r="E849" s="8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83"/>
      <c r="D850" s="82"/>
      <c r="E850" s="8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83"/>
      <c r="D851" s="82"/>
      <c r="E851" s="8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83"/>
      <c r="D852" s="82"/>
      <c r="E852" s="8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83"/>
      <c r="D853" s="82"/>
      <c r="E853" s="8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83"/>
      <c r="D854" s="82"/>
      <c r="E854" s="8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83"/>
      <c r="D855" s="82"/>
      <c r="E855" s="8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83"/>
      <c r="D856" s="82"/>
      <c r="E856" s="8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83"/>
      <c r="D857" s="82"/>
      <c r="E857" s="8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83"/>
      <c r="D858" s="82"/>
      <c r="E858" s="8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83"/>
      <c r="D859" s="82"/>
      <c r="E859" s="8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83"/>
      <c r="D860" s="82"/>
      <c r="E860" s="8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83"/>
      <c r="D861" s="82"/>
      <c r="E861" s="8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83"/>
      <c r="D862" s="82"/>
      <c r="E862" s="8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83"/>
      <c r="D863" s="82"/>
      <c r="E863" s="8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83"/>
      <c r="D864" s="82"/>
      <c r="E864" s="8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83"/>
      <c r="D865" s="82"/>
      <c r="E865" s="8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83"/>
      <c r="D866" s="82"/>
      <c r="E866" s="8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83"/>
      <c r="D867" s="82"/>
      <c r="E867" s="8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83"/>
      <c r="D868" s="82"/>
      <c r="E868" s="8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83"/>
      <c r="D869" s="82"/>
      <c r="E869" s="8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83"/>
      <c r="D870" s="82"/>
      <c r="E870" s="8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83"/>
      <c r="D871" s="82"/>
      <c r="E871" s="8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83"/>
      <c r="D872" s="82"/>
      <c r="E872" s="8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83"/>
      <c r="D873" s="82"/>
      <c r="E873" s="8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83"/>
      <c r="D874" s="82"/>
      <c r="E874" s="8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83"/>
      <c r="D875" s="82"/>
      <c r="E875" s="8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83"/>
      <c r="D876" s="82"/>
      <c r="E876" s="8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83"/>
      <c r="D877" s="82"/>
      <c r="E877" s="8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83"/>
      <c r="D878" s="82"/>
      <c r="E878" s="8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83"/>
      <c r="D879" s="82"/>
      <c r="E879" s="8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83"/>
      <c r="D880" s="82"/>
      <c r="E880" s="8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83"/>
      <c r="D881" s="82"/>
      <c r="E881" s="8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83"/>
      <c r="D882" s="82"/>
      <c r="E882" s="8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83"/>
      <c r="D883" s="82"/>
      <c r="E883" s="8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83"/>
      <c r="D884" s="82"/>
      <c r="E884" s="8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83"/>
      <c r="D885" s="82"/>
      <c r="E885" s="8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83"/>
      <c r="D886" s="82"/>
      <c r="E886" s="8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83"/>
      <c r="D887" s="82"/>
      <c r="E887" s="8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83"/>
      <c r="D888" s="82"/>
      <c r="E888" s="8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83"/>
      <c r="D889" s="82"/>
      <c r="E889" s="8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83"/>
      <c r="D890" s="82"/>
      <c r="E890" s="8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83"/>
      <c r="D891" s="82"/>
      <c r="E891" s="8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83"/>
      <c r="D892" s="82"/>
      <c r="E892" s="8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83"/>
      <c r="D893" s="82"/>
      <c r="E893" s="8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83"/>
      <c r="D894" s="82"/>
      <c r="E894" s="8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83"/>
      <c r="D895" s="82"/>
      <c r="E895" s="8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83"/>
      <c r="D896" s="82"/>
      <c r="E896" s="8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83"/>
      <c r="D897" s="82"/>
      <c r="E897" s="8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83"/>
      <c r="D898" s="82"/>
      <c r="E898" s="8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83"/>
      <c r="D899" s="82"/>
      <c r="E899" s="8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83"/>
      <c r="D900" s="82"/>
      <c r="E900" s="8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83"/>
      <c r="D901" s="82"/>
      <c r="E901" s="8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83"/>
      <c r="D902" s="82"/>
      <c r="E902" s="8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83"/>
      <c r="D903" s="82"/>
      <c r="E903" s="8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83"/>
      <c r="D904" s="82"/>
      <c r="E904" s="8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83"/>
      <c r="D905" s="82"/>
      <c r="E905" s="8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83"/>
      <c r="D906" s="82"/>
      <c r="E906" s="8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83"/>
      <c r="D907" s="82"/>
      <c r="E907" s="8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83"/>
      <c r="D908" s="82"/>
      <c r="E908" s="8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83"/>
      <c r="D909" s="82"/>
      <c r="E909" s="8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83"/>
      <c r="D910" s="82"/>
      <c r="E910" s="8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83"/>
      <c r="D911" s="82"/>
      <c r="E911" s="8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83"/>
      <c r="D912" s="82"/>
      <c r="E912" s="8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83"/>
      <c r="D913" s="82"/>
      <c r="E913" s="8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83"/>
      <c r="D914" s="82"/>
      <c r="E914" s="8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83"/>
      <c r="D915" s="82"/>
      <c r="E915" s="8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83"/>
      <c r="D916" s="82"/>
      <c r="E916" s="8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83"/>
      <c r="D917" s="82"/>
      <c r="E917" s="8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83"/>
      <c r="D918" s="82"/>
      <c r="E918" s="8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83"/>
      <c r="D919" s="82"/>
      <c r="E919" s="8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83"/>
      <c r="D920" s="82"/>
      <c r="E920" s="8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83"/>
      <c r="D921" s="82"/>
      <c r="E921" s="8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83"/>
      <c r="D922" s="82"/>
      <c r="E922" s="8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83"/>
      <c r="D923" s="82"/>
      <c r="E923" s="8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83"/>
      <c r="D924" s="82"/>
      <c r="E924" s="8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83"/>
      <c r="D925" s="82"/>
      <c r="E925" s="8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83"/>
      <c r="D926" s="82"/>
      <c r="E926" s="8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83"/>
      <c r="D927" s="82"/>
      <c r="E927" s="8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83"/>
      <c r="D928" s="82"/>
      <c r="E928" s="8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83"/>
      <c r="D929" s="82"/>
      <c r="E929" s="8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83"/>
      <c r="D930" s="82"/>
      <c r="E930" s="8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83"/>
      <c r="D931" s="82"/>
      <c r="E931" s="8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83"/>
      <c r="D932" s="82"/>
      <c r="E932" s="8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83"/>
      <c r="D933" s="82"/>
      <c r="E933" s="8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83"/>
      <c r="D934" s="82"/>
      <c r="E934" s="8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83"/>
      <c r="D935" s="82"/>
      <c r="E935" s="8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83"/>
      <c r="D936" s="82"/>
      <c r="E936" s="8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83"/>
      <c r="D937" s="82"/>
      <c r="E937" s="8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83"/>
      <c r="D938" s="82"/>
      <c r="E938" s="8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83"/>
      <c r="D939" s="82"/>
      <c r="E939" s="8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83"/>
      <c r="D940" s="82"/>
      <c r="E940" s="8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83"/>
      <c r="D941" s="82"/>
      <c r="E941" s="8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83"/>
      <c r="D942" s="82"/>
      <c r="E942" s="8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83"/>
      <c r="D943" s="82"/>
      <c r="E943" s="8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83"/>
      <c r="D944" s="82"/>
      <c r="E944" s="8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83"/>
      <c r="D945" s="82"/>
      <c r="E945" s="8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83"/>
      <c r="D946" s="82"/>
      <c r="E946" s="8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83"/>
      <c r="D947" s="82"/>
      <c r="E947" s="8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83"/>
      <c r="D948" s="82"/>
      <c r="E948" s="8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83"/>
      <c r="D949" s="82"/>
      <c r="E949" s="8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83"/>
      <c r="D950" s="82"/>
      <c r="E950" s="8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83"/>
      <c r="D951" s="82"/>
      <c r="E951" s="8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83"/>
      <c r="D952" s="82"/>
      <c r="E952" s="8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83"/>
      <c r="D953" s="82"/>
      <c r="E953" s="8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83"/>
      <c r="D954" s="82"/>
      <c r="E954" s="8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83"/>
      <c r="D955" s="82"/>
      <c r="E955" s="8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83"/>
      <c r="D956" s="82"/>
      <c r="E956" s="8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83"/>
      <c r="D957" s="82"/>
      <c r="E957" s="8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83"/>
      <c r="D958" s="82"/>
      <c r="E958" s="8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83"/>
      <c r="D959" s="82"/>
      <c r="E959" s="8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83"/>
      <c r="D960" s="82"/>
      <c r="E960" s="82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83"/>
      <c r="D961" s="82"/>
      <c r="E961" s="82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83"/>
      <c r="D962" s="82"/>
      <c r="E962" s="82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83"/>
      <c r="D963" s="82"/>
      <c r="E963" s="82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83"/>
      <c r="D964" s="82"/>
      <c r="E964" s="82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83"/>
      <c r="D965" s="82"/>
      <c r="E965" s="82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83"/>
      <c r="D966" s="82"/>
      <c r="E966" s="82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83"/>
      <c r="D967" s="82"/>
      <c r="E967" s="82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82"/>
      <c r="E968" s="82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82"/>
      <c r="E969" s="8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82"/>
      <c r="E970" s="82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82"/>
      <c r="E971" s="82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82"/>
      <c r="E972" s="82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82"/>
      <c r="E973" s="82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82"/>
      <c r="E974" s="82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82"/>
      <c r="E975" s="82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82"/>
      <c r="E976" s="82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82"/>
      <c r="E977" s="82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82"/>
      <c r="E978" s="82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56"/>
      <c r="B1" s="156"/>
      <c r="C1" s="156"/>
      <c r="D1" s="156"/>
      <c r="E1" s="156"/>
      <c r="F1" s="157"/>
      <c r="G1" s="157"/>
      <c r="H1" s="157"/>
      <c r="I1" s="157"/>
      <c r="J1" s="157"/>
      <c r="K1" s="157"/>
      <c r="L1" s="16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</row>
    <row r="2">
      <c r="A2" s="156"/>
      <c r="B2" s="156"/>
      <c r="C2" s="156"/>
      <c r="D2" s="156"/>
      <c r="E2" s="156"/>
      <c r="F2" s="157"/>
      <c r="G2" s="157"/>
      <c r="H2" s="157"/>
      <c r="I2" s="157"/>
      <c r="J2" s="157"/>
      <c r="K2" s="157"/>
      <c r="L2" s="16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</row>
    <row r="3" ht="217.5" customHeight="1">
      <c r="A3" s="158"/>
      <c r="B3" s="158"/>
      <c r="C3" s="16"/>
      <c r="D3" s="16"/>
      <c r="E3" s="16"/>
      <c r="F3" s="16"/>
      <c r="G3" s="16"/>
      <c r="H3" s="158"/>
      <c r="I3" s="16"/>
      <c r="J3" s="16"/>
      <c r="K3" s="16"/>
      <c r="L3" s="16"/>
      <c r="M3" s="157"/>
      <c r="N3" s="159"/>
      <c r="O3" s="157"/>
      <c r="P3" s="158"/>
      <c r="Q3" s="158"/>
      <c r="R3" s="158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</row>
    <row r="4" ht="75.0" customHeight="1">
      <c r="A4" s="158"/>
      <c r="B4" s="158"/>
      <c r="C4" s="16"/>
      <c r="D4" s="16"/>
      <c r="E4" s="16"/>
      <c r="F4" s="16"/>
      <c r="G4" s="16"/>
      <c r="H4" s="158"/>
      <c r="I4" s="16"/>
      <c r="J4" s="16"/>
      <c r="K4" s="16"/>
      <c r="L4" s="16"/>
      <c r="M4" s="157"/>
      <c r="N4" s="157"/>
      <c r="O4" s="157"/>
      <c r="P4" s="158"/>
      <c r="Q4" s="16"/>
      <c r="R4" s="16"/>
      <c r="S4" s="16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</row>
    <row r="5">
      <c r="A5" s="154"/>
      <c r="B5" s="154"/>
      <c r="C5" s="160" t="s">
        <v>110</v>
      </c>
      <c r="D5" s="41"/>
      <c r="E5" s="23"/>
      <c r="F5" s="16"/>
      <c r="G5" s="154"/>
      <c r="H5" s="154"/>
      <c r="I5" s="154"/>
      <c r="J5" s="154"/>
      <c r="K5" s="154"/>
      <c r="L5" s="16"/>
      <c r="M5" s="161"/>
      <c r="N5" s="161"/>
      <c r="O5" s="161"/>
      <c r="P5" s="155"/>
      <c r="Q5" s="162"/>
      <c r="R5" s="162"/>
      <c r="S5" s="162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</row>
    <row r="6">
      <c r="A6" s="154"/>
      <c r="B6" s="154"/>
      <c r="C6" s="160" t="s">
        <v>111</v>
      </c>
      <c r="D6" s="41"/>
      <c r="E6" s="23"/>
      <c r="F6" s="16"/>
      <c r="G6" s="154"/>
      <c r="H6" s="154"/>
      <c r="I6" s="154"/>
      <c r="J6" s="154"/>
      <c r="K6" s="16"/>
      <c r="L6" s="16"/>
      <c r="M6" s="161"/>
      <c r="N6" s="161"/>
      <c r="O6" s="161"/>
      <c r="P6" s="155"/>
      <c r="Q6" s="162"/>
      <c r="R6" s="162"/>
      <c r="S6" s="162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</row>
    <row r="7">
      <c r="A7" s="154"/>
      <c r="B7" s="154"/>
      <c r="C7" s="160" t="s">
        <v>112</v>
      </c>
      <c r="D7" s="41"/>
      <c r="E7" s="23"/>
      <c r="F7" s="16"/>
      <c r="G7" s="154"/>
      <c r="H7" s="154"/>
      <c r="I7" s="154"/>
      <c r="J7" s="154"/>
      <c r="K7" s="16"/>
      <c r="L7" s="16"/>
      <c r="M7" s="16"/>
      <c r="N7" s="16"/>
      <c r="O7" s="16"/>
      <c r="P7" s="16"/>
      <c r="Q7" s="16"/>
      <c r="R7" s="16"/>
      <c r="S7" s="16"/>
      <c r="T7" s="163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</row>
    <row r="8">
      <c r="A8" s="154"/>
      <c r="B8" s="154"/>
      <c r="F8" s="16"/>
      <c r="G8" s="154"/>
      <c r="H8" s="154"/>
      <c r="I8" s="154"/>
      <c r="J8" s="154"/>
      <c r="K8" s="16"/>
      <c r="L8" s="16"/>
      <c r="M8" s="16"/>
      <c r="N8" s="16"/>
      <c r="O8" s="16"/>
      <c r="P8" s="16"/>
      <c r="Q8" s="16"/>
      <c r="R8" s="16"/>
      <c r="S8" s="16"/>
      <c r="T8" s="163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</row>
    <row r="9">
      <c r="A9" s="158"/>
      <c r="B9" s="158"/>
      <c r="C9" s="16"/>
      <c r="D9" s="16"/>
      <c r="E9" s="16"/>
      <c r="F9" s="16"/>
      <c r="G9" s="154"/>
      <c r="H9" s="154"/>
      <c r="I9" s="154"/>
      <c r="J9" s="154"/>
      <c r="K9" s="16"/>
      <c r="L9" s="16"/>
      <c r="M9" s="16"/>
      <c r="N9" s="16"/>
      <c r="O9" s="16"/>
      <c r="P9" s="16"/>
      <c r="Q9" s="16"/>
      <c r="R9" s="16"/>
      <c r="S9" s="16"/>
      <c r="T9" s="163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</row>
    <row r="10">
      <c r="A10" s="158"/>
      <c r="B10" s="158"/>
      <c r="C10" s="16"/>
      <c r="D10" s="16"/>
      <c r="E10" s="16"/>
      <c r="F10" s="16"/>
      <c r="G10" s="164"/>
      <c r="H10" s="164"/>
      <c r="I10" s="164"/>
      <c r="J10" s="164"/>
      <c r="K10" s="164"/>
      <c r="L10" s="16"/>
      <c r="M10" s="16"/>
      <c r="N10" s="16"/>
      <c r="O10" s="16"/>
      <c r="P10" s="16"/>
      <c r="Q10" s="16"/>
      <c r="R10" s="16"/>
      <c r="S10" s="16"/>
      <c r="T10" s="163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</row>
    <row r="11" ht="18.0" customHeight="1">
      <c r="A11" s="158"/>
      <c r="B11" s="158"/>
      <c r="C11" s="16"/>
      <c r="D11" s="16"/>
      <c r="E11" s="16"/>
      <c r="F11" s="16"/>
      <c r="G11" s="164"/>
      <c r="H11" s="164"/>
      <c r="I11" s="164"/>
      <c r="J11" s="164"/>
      <c r="K11" s="164"/>
      <c r="L11" s="16"/>
      <c r="M11" s="16"/>
      <c r="N11" s="16"/>
      <c r="O11" s="16"/>
      <c r="P11" s="16"/>
      <c r="Q11" s="16"/>
      <c r="R11" s="16"/>
      <c r="S11" s="16"/>
      <c r="T11" s="165"/>
      <c r="U11" s="16"/>
      <c r="V11" s="16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</row>
    <row r="12" ht="25.5" customHeight="1">
      <c r="A12" s="158"/>
      <c r="B12" s="158"/>
      <c r="C12" s="166" t="s">
        <v>113</v>
      </c>
      <c r="D12" s="41"/>
      <c r="E12" s="23"/>
      <c r="F12" s="16"/>
      <c r="G12" s="164"/>
      <c r="H12" s="158"/>
      <c r="I12" s="16"/>
      <c r="J12" s="16"/>
      <c r="K12" s="164"/>
      <c r="L12" s="16"/>
      <c r="M12" s="16"/>
      <c r="N12" s="16"/>
      <c r="O12" s="16"/>
      <c r="P12" s="16"/>
      <c r="Q12" s="16"/>
      <c r="R12" s="16"/>
      <c r="S12" s="16"/>
      <c r="T12" s="165"/>
      <c r="U12" s="16"/>
      <c r="V12" s="16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</row>
    <row r="13">
      <c r="A13" s="158"/>
      <c r="B13" s="158"/>
      <c r="C13" s="167" t="s">
        <v>114</v>
      </c>
      <c r="D13" s="168"/>
      <c r="E13" s="23"/>
      <c r="F13" s="16"/>
      <c r="G13" s="164"/>
      <c r="H13" s="158"/>
      <c r="I13" s="16"/>
      <c r="J13" s="16"/>
      <c r="K13" s="164"/>
      <c r="L13" s="16"/>
      <c r="M13" s="16"/>
      <c r="N13" s="16"/>
      <c r="O13" s="16"/>
      <c r="P13" s="16"/>
      <c r="Q13" s="16"/>
      <c r="R13" s="16"/>
      <c r="S13" s="16"/>
      <c r="T13" s="165"/>
      <c r="U13" s="16"/>
      <c r="V13" s="16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</row>
    <row r="14">
      <c r="A14" s="158"/>
      <c r="B14" s="158"/>
      <c r="C14" s="167" t="s">
        <v>54</v>
      </c>
      <c r="D14" s="168"/>
      <c r="E14" s="23"/>
      <c r="F14" s="16"/>
      <c r="G14" s="164"/>
      <c r="H14" s="158"/>
      <c r="I14" s="16"/>
      <c r="J14" s="16"/>
      <c r="K14" s="164"/>
      <c r="L14" s="16"/>
      <c r="M14" s="16"/>
      <c r="N14" s="16"/>
      <c r="O14" s="16"/>
      <c r="P14" s="16"/>
      <c r="Q14" s="16"/>
      <c r="R14" s="16"/>
      <c r="S14" s="16"/>
      <c r="T14" s="165"/>
      <c r="U14" s="16"/>
      <c r="V14" s="16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</row>
    <row r="15">
      <c r="A15" s="169"/>
      <c r="B15" s="169"/>
      <c r="C15" s="167" t="s">
        <v>55</v>
      </c>
      <c r="D15" s="168"/>
      <c r="E15" s="23"/>
      <c r="F15" s="162"/>
      <c r="G15" s="164"/>
      <c r="H15" s="158"/>
      <c r="I15" s="16"/>
      <c r="J15" s="16"/>
      <c r="K15" s="164"/>
      <c r="L15" s="16"/>
      <c r="M15" s="16"/>
      <c r="N15" s="16"/>
      <c r="O15" s="16"/>
      <c r="P15" s="16"/>
      <c r="Q15" s="16"/>
      <c r="R15" s="16"/>
      <c r="S15" s="16"/>
      <c r="T15" s="165"/>
      <c r="U15" s="16"/>
      <c r="V15" s="16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</row>
    <row r="16">
      <c r="A16" s="170"/>
      <c r="B16" s="170"/>
      <c r="C16" s="167" t="s">
        <v>115</v>
      </c>
      <c r="D16" s="171"/>
      <c r="E16" s="23"/>
      <c r="F16" s="162"/>
      <c r="G16" s="164"/>
      <c r="H16" s="158"/>
      <c r="I16" s="16"/>
      <c r="J16" s="16"/>
      <c r="K16" s="164"/>
      <c r="L16" s="16"/>
      <c r="M16" s="16"/>
      <c r="N16" s="16"/>
      <c r="O16" s="16"/>
      <c r="P16" s="16"/>
      <c r="Q16" s="16"/>
      <c r="R16" s="16"/>
      <c r="S16" s="16"/>
      <c r="T16" s="165"/>
      <c r="U16" s="16"/>
      <c r="V16" s="16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</row>
    <row r="17">
      <c r="A17" s="170"/>
      <c r="B17" s="170"/>
      <c r="C17" s="16"/>
      <c r="D17" s="16"/>
      <c r="E17" s="16"/>
      <c r="F17" s="162"/>
      <c r="G17" s="161"/>
      <c r="H17" s="161"/>
      <c r="I17" s="161"/>
      <c r="J17" s="161"/>
      <c r="K17" s="161"/>
      <c r="L17" s="16"/>
      <c r="M17" s="16"/>
      <c r="N17" s="16"/>
      <c r="O17" s="16"/>
      <c r="P17" s="16"/>
      <c r="Q17" s="16"/>
      <c r="R17" s="16"/>
      <c r="S17" s="16"/>
      <c r="T17" s="165"/>
      <c r="U17" s="16"/>
      <c r="V17" s="16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</row>
    <row r="18" ht="22.5" customHeight="1">
      <c r="A18" s="170"/>
      <c r="B18" s="170"/>
      <c r="C18" s="16"/>
      <c r="D18" s="16"/>
      <c r="E18" s="16"/>
      <c r="F18" s="161"/>
      <c r="G18" s="161"/>
      <c r="H18" s="161"/>
      <c r="I18" s="161"/>
      <c r="J18" s="161"/>
      <c r="K18" s="161"/>
      <c r="L18" s="16"/>
      <c r="M18" s="16"/>
      <c r="N18" s="16"/>
      <c r="O18" s="16"/>
      <c r="P18" s="16"/>
      <c r="Q18" s="16"/>
      <c r="R18" s="16"/>
      <c r="S18" s="16"/>
      <c r="T18" s="165"/>
      <c r="U18" s="16"/>
      <c r="V18" s="16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</row>
    <row r="19" ht="30.0" customHeight="1">
      <c r="A19" s="170"/>
      <c r="B19" s="170"/>
      <c r="C19" s="162"/>
      <c r="D19" s="172" t="s">
        <v>0</v>
      </c>
      <c r="E19" s="23"/>
      <c r="F19" s="162"/>
      <c r="G19" s="161"/>
      <c r="H19" s="161"/>
      <c r="I19" s="161"/>
      <c r="J19" s="161"/>
      <c r="K19" s="161"/>
      <c r="L19" s="173" t="s">
        <v>116</v>
      </c>
      <c r="M19" s="173" t="s">
        <v>117</v>
      </c>
      <c r="N19" s="173" t="s">
        <v>56</v>
      </c>
      <c r="O19" s="173" t="s">
        <v>118</v>
      </c>
      <c r="P19" s="173" t="s">
        <v>119</v>
      </c>
      <c r="Q19" s="173" t="s">
        <v>120</v>
      </c>
      <c r="R19" s="173" t="s">
        <v>121</v>
      </c>
      <c r="S19" s="173" t="s">
        <v>122</v>
      </c>
      <c r="T19" s="165"/>
      <c r="U19" s="16"/>
      <c r="V19" s="16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</row>
    <row r="20">
      <c r="A20" s="174"/>
      <c r="B20" s="174"/>
      <c r="C20" s="173" t="s">
        <v>123</v>
      </c>
      <c r="D20" s="173" t="s">
        <v>124</v>
      </c>
      <c r="E20" s="173" t="s">
        <v>125</v>
      </c>
      <c r="F20" s="173" t="s">
        <v>126</v>
      </c>
      <c r="G20" s="161"/>
      <c r="H20" s="175"/>
      <c r="I20" s="176" t="s">
        <v>127</v>
      </c>
      <c r="J20" s="23"/>
      <c r="K20" s="161"/>
      <c r="L20" s="177" t="s">
        <v>128</v>
      </c>
      <c r="M20" s="178">
        <v>45479.0</v>
      </c>
      <c r="N20" s="179"/>
      <c r="O20" s="179"/>
      <c r="P20" s="179"/>
      <c r="Q20" s="179"/>
      <c r="R20" s="179"/>
      <c r="S20" s="179"/>
      <c r="T20" s="165"/>
      <c r="U20" s="16"/>
      <c r="V20" s="16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</row>
    <row r="21">
      <c r="A21" s="155"/>
      <c r="B21" s="155"/>
      <c r="C21" s="180">
        <v>45703.0</v>
      </c>
      <c r="D21" s="181"/>
      <c r="E21" s="181"/>
      <c r="F21" s="181"/>
      <c r="G21" s="161"/>
      <c r="H21" s="182"/>
      <c r="I21" s="180" t="s">
        <v>129</v>
      </c>
      <c r="J21" s="183">
        <v>1530.0</v>
      </c>
      <c r="K21" s="161"/>
      <c r="L21" s="177">
        <v>1.0</v>
      </c>
      <c r="M21" s="184">
        <f t="shared" ref="M21:M32" si="2">M20+7</f>
        <v>45486</v>
      </c>
      <c r="N21" s="185" t="str">
        <f>D28</f>
        <v>#DIV/0!</v>
      </c>
      <c r="O21" s="186" t="str">
        <f t="shared" ref="O21:S21" si="1">C32</f>
        <v/>
      </c>
      <c r="P21" s="186" t="str">
        <f t="shared" si="1"/>
        <v/>
      </c>
      <c r="Q21" s="186" t="str">
        <f t="shared" si="1"/>
        <v/>
      </c>
      <c r="R21" s="186" t="str">
        <f t="shared" si="1"/>
        <v/>
      </c>
      <c r="S21" s="186" t="str">
        <f t="shared" si="1"/>
        <v/>
      </c>
      <c r="T21" s="165"/>
      <c r="U21" s="16"/>
      <c r="V21" s="16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</row>
    <row r="22">
      <c r="A22" s="175"/>
      <c r="B22" s="175"/>
      <c r="C22" s="180">
        <v>45704.0</v>
      </c>
      <c r="D22" s="181"/>
      <c r="E22" s="181"/>
      <c r="F22" s="181"/>
      <c r="G22" s="161"/>
      <c r="H22" s="182"/>
      <c r="I22" s="180" t="s">
        <v>130</v>
      </c>
      <c r="J22" s="183">
        <v>120.0</v>
      </c>
      <c r="K22" s="161"/>
      <c r="L22" s="177">
        <v>2.0</v>
      </c>
      <c r="M22" s="184">
        <f t="shared" si="2"/>
        <v>45493</v>
      </c>
      <c r="N22" s="187" t="str">
        <f>AVERAGE(D55:D61)</f>
        <v>#DIV/0!</v>
      </c>
      <c r="O22" s="188" t="str">
        <f t="shared" ref="O22:S22" si="3">C49</f>
        <v/>
      </c>
      <c r="P22" s="188" t="str">
        <f t="shared" si="3"/>
        <v/>
      </c>
      <c r="Q22" s="188" t="str">
        <f t="shared" si="3"/>
        <v/>
      </c>
      <c r="R22" s="188" t="str">
        <f t="shared" si="3"/>
        <v/>
      </c>
      <c r="S22" s="188" t="str">
        <f t="shared" si="3"/>
        <v/>
      </c>
      <c r="T22" s="165"/>
      <c r="U22" s="16"/>
      <c r="V22" s="16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</row>
    <row r="23">
      <c r="A23" s="189"/>
      <c r="B23" s="189"/>
      <c r="C23" s="180">
        <v>45705.0</v>
      </c>
      <c r="D23" s="181"/>
      <c r="E23" s="181"/>
      <c r="F23" s="181"/>
      <c r="G23" s="161"/>
      <c r="H23" s="182"/>
      <c r="I23" s="180" t="s">
        <v>131</v>
      </c>
      <c r="J23" s="183">
        <v>150.0</v>
      </c>
      <c r="K23" s="161"/>
      <c r="L23" s="177">
        <v>3.0</v>
      </c>
      <c r="M23" s="184">
        <f t="shared" si="2"/>
        <v>45500</v>
      </c>
      <c r="N23" s="181" t="str">
        <f>AVERAGE(D55:D61)</f>
        <v>#DIV/0!</v>
      </c>
      <c r="O23" s="190" t="str">
        <f t="shared" ref="O23:S23" si="4">C66</f>
        <v/>
      </c>
      <c r="P23" s="190" t="str">
        <f t="shared" si="4"/>
        <v/>
      </c>
      <c r="Q23" s="190" t="str">
        <f t="shared" si="4"/>
        <v/>
      </c>
      <c r="R23" s="190" t="str">
        <f t="shared" si="4"/>
        <v/>
      </c>
      <c r="S23" s="190" t="str">
        <f t="shared" si="4"/>
        <v/>
      </c>
      <c r="T23" s="165"/>
      <c r="U23" s="16"/>
      <c r="V23" s="16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</row>
    <row r="24">
      <c r="A24" s="161"/>
      <c r="B24" s="161"/>
      <c r="C24" s="180">
        <v>45706.0</v>
      </c>
      <c r="D24" s="181"/>
      <c r="E24" s="181"/>
      <c r="F24" s="181"/>
      <c r="G24" s="161"/>
      <c r="H24" s="182"/>
      <c r="I24" s="180" t="s">
        <v>132</v>
      </c>
      <c r="J24" s="183">
        <v>50.0</v>
      </c>
      <c r="K24" s="161"/>
      <c r="L24" s="177">
        <v>4.0</v>
      </c>
      <c r="M24" s="184">
        <f t="shared" si="2"/>
        <v>45507</v>
      </c>
      <c r="N24" s="187" t="str">
        <f>AVERAGE(D71:D77)</f>
        <v>#DIV/0!</v>
      </c>
      <c r="O24" s="188" t="str">
        <f t="shared" ref="O24:S24" si="5">C82</f>
        <v/>
      </c>
      <c r="P24" s="188" t="str">
        <f t="shared" si="5"/>
        <v/>
      </c>
      <c r="Q24" s="188" t="str">
        <f t="shared" si="5"/>
        <v/>
      </c>
      <c r="R24" s="188" t="str">
        <f t="shared" si="5"/>
        <v/>
      </c>
      <c r="S24" s="188" t="str">
        <f t="shared" si="5"/>
        <v/>
      </c>
      <c r="T24" s="165"/>
      <c r="U24" s="16"/>
      <c r="V24" s="16"/>
      <c r="W24" s="16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</row>
    <row r="25">
      <c r="A25" s="189"/>
      <c r="B25" s="189"/>
      <c r="C25" s="180">
        <v>45707.0</v>
      </c>
      <c r="D25" s="181"/>
      <c r="E25" s="181"/>
      <c r="F25" s="181"/>
      <c r="G25" s="161"/>
      <c r="H25" s="161"/>
      <c r="I25" s="161"/>
      <c r="J25" s="161"/>
      <c r="K25" s="161"/>
      <c r="L25" s="177">
        <v>5.0</v>
      </c>
      <c r="M25" s="184">
        <f t="shared" si="2"/>
        <v>45514</v>
      </c>
      <c r="N25" s="181" t="str">
        <f>AVERAGE(D87:D93)</f>
        <v>#DIV/0!</v>
      </c>
      <c r="O25" s="190" t="str">
        <f t="shared" ref="O25:S25" si="6">C98</f>
        <v/>
      </c>
      <c r="P25" s="190" t="str">
        <f t="shared" si="6"/>
        <v/>
      </c>
      <c r="Q25" s="190" t="str">
        <f t="shared" si="6"/>
        <v/>
      </c>
      <c r="R25" s="190" t="str">
        <f t="shared" si="6"/>
        <v/>
      </c>
      <c r="S25" s="190" t="str">
        <f t="shared" si="6"/>
        <v/>
      </c>
      <c r="T25" s="165"/>
      <c r="U25" s="16"/>
      <c r="V25" s="16"/>
      <c r="W25" s="16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</row>
    <row r="26">
      <c r="A26" s="189"/>
      <c r="B26" s="189"/>
      <c r="C26" s="180">
        <v>45708.0</v>
      </c>
      <c r="D26" s="191"/>
      <c r="E26" s="181"/>
      <c r="F26" s="181"/>
      <c r="G26" s="161"/>
      <c r="H26" s="161"/>
      <c r="I26" s="161"/>
      <c r="J26" s="161"/>
      <c r="K26" s="161"/>
      <c r="L26" s="177">
        <v>6.0</v>
      </c>
      <c r="M26" s="184">
        <f t="shared" si="2"/>
        <v>45521</v>
      </c>
      <c r="N26" s="187" t="str">
        <f>AVERAGE(D103:D109)</f>
        <v>#DIV/0!</v>
      </c>
      <c r="O26" s="188" t="str">
        <f t="shared" ref="O26:S26" si="7">C114</f>
        <v/>
      </c>
      <c r="P26" s="188" t="str">
        <f t="shared" si="7"/>
        <v/>
      </c>
      <c r="Q26" s="188" t="str">
        <f t="shared" si="7"/>
        <v/>
      </c>
      <c r="R26" s="188" t="str">
        <f t="shared" si="7"/>
        <v/>
      </c>
      <c r="S26" s="188" t="str">
        <f t="shared" si="7"/>
        <v/>
      </c>
      <c r="T26" s="165"/>
      <c r="U26" s="16"/>
      <c r="V26" s="16"/>
      <c r="W26" s="16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</row>
    <row r="27">
      <c r="A27" s="161"/>
      <c r="B27" s="161"/>
      <c r="C27" s="180">
        <v>45709.0</v>
      </c>
      <c r="D27" s="191"/>
      <c r="E27" s="181"/>
      <c r="F27" s="191"/>
      <c r="G27" s="161"/>
      <c r="H27" s="161"/>
      <c r="I27" s="161"/>
      <c r="J27" s="161"/>
      <c r="K27" s="161"/>
      <c r="L27" s="177">
        <v>7.0</v>
      </c>
      <c r="M27" s="184">
        <f t="shared" si="2"/>
        <v>45528</v>
      </c>
      <c r="N27" s="181" t="str">
        <f>AVERAGE(D120:D126)</f>
        <v>#DIV/0!</v>
      </c>
      <c r="O27" s="190" t="str">
        <f t="shared" ref="O27:S27" si="8">C131</f>
        <v/>
      </c>
      <c r="P27" s="190" t="str">
        <f t="shared" si="8"/>
        <v/>
      </c>
      <c r="Q27" s="190" t="str">
        <f t="shared" si="8"/>
        <v/>
      </c>
      <c r="R27" s="190" t="str">
        <f t="shared" si="8"/>
        <v/>
      </c>
      <c r="S27" s="190" t="str">
        <f t="shared" si="8"/>
        <v/>
      </c>
      <c r="T27" s="165"/>
      <c r="U27" s="16"/>
      <c r="V27" s="16"/>
      <c r="W27" s="16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</row>
    <row r="28">
      <c r="A28" s="189"/>
      <c r="B28" s="189"/>
      <c r="C28" s="192" t="s">
        <v>133</v>
      </c>
      <c r="D28" s="193" t="str">
        <f t="shared" ref="D28:F28" si="9">AVERAGE(D21:D27)</f>
        <v>#DIV/0!</v>
      </c>
      <c r="E28" s="193" t="str">
        <f t="shared" si="9"/>
        <v>#DIV/0!</v>
      </c>
      <c r="F28" s="193" t="str">
        <f t="shared" si="9"/>
        <v>#DIV/0!</v>
      </c>
      <c r="G28" s="161"/>
      <c r="H28" s="161"/>
      <c r="I28" s="161"/>
      <c r="J28" s="161"/>
      <c r="K28" s="161"/>
      <c r="L28" s="177">
        <v>8.0</v>
      </c>
      <c r="M28" s="184">
        <f t="shared" si="2"/>
        <v>45535</v>
      </c>
      <c r="N28" s="187" t="str">
        <f>AVERAGE(D137:D143)</f>
        <v>#DIV/0!</v>
      </c>
      <c r="O28" s="188" t="str">
        <f t="shared" ref="O28:S28" si="10">C148</f>
        <v/>
      </c>
      <c r="P28" s="188" t="str">
        <f t="shared" si="10"/>
        <v/>
      </c>
      <c r="Q28" s="188" t="str">
        <f t="shared" si="10"/>
        <v/>
      </c>
      <c r="R28" s="188" t="str">
        <f t="shared" si="10"/>
        <v/>
      </c>
      <c r="S28" s="188" t="str">
        <f t="shared" si="10"/>
        <v/>
      </c>
      <c r="T28" s="165"/>
      <c r="U28" s="16"/>
      <c r="V28" s="16"/>
      <c r="W28" s="16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</row>
    <row r="29">
      <c r="A29" s="189"/>
      <c r="B29" s="189"/>
      <c r="C29" s="162"/>
      <c r="D29" s="162"/>
      <c r="E29" s="162"/>
      <c r="F29" s="162"/>
      <c r="G29" s="161"/>
      <c r="H29" s="161"/>
      <c r="I29" s="161"/>
      <c r="J29" s="161"/>
      <c r="K29" s="161"/>
      <c r="L29" s="177">
        <v>9.0</v>
      </c>
      <c r="M29" s="184">
        <f t="shared" si="2"/>
        <v>45542</v>
      </c>
      <c r="N29" s="181" t="str">
        <f>AVERAGE(D153:D159)</f>
        <v>#DIV/0!</v>
      </c>
      <c r="O29" s="190" t="str">
        <f t="shared" ref="O29:S29" si="11">C164</f>
        <v/>
      </c>
      <c r="P29" s="190" t="str">
        <f t="shared" si="11"/>
        <v/>
      </c>
      <c r="Q29" s="190" t="str">
        <f t="shared" si="11"/>
        <v/>
      </c>
      <c r="R29" s="190" t="str">
        <f t="shared" si="11"/>
        <v/>
      </c>
      <c r="S29" s="190" t="str">
        <f t="shared" si="11"/>
        <v/>
      </c>
      <c r="T29" s="165"/>
      <c r="U29" s="16"/>
      <c r="V29" s="16"/>
      <c r="W29" s="16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</row>
    <row r="30">
      <c r="A30" s="194"/>
      <c r="B30" s="194"/>
      <c r="C30" s="176" t="s">
        <v>134</v>
      </c>
      <c r="D30" s="41"/>
      <c r="E30" s="41"/>
      <c r="F30" s="41"/>
      <c r="G30" s="23"/>
      <c r="H30" s="195"/>
      <c r="I30" s="195"/>
      <c r="J30" s="195"/>
      <c r="K30" s="195"/>
      <c r="L30" s="177">
        <v>10.0</v>
      </c>
      <c r="M30" s="184">
        <f t="shared" si="2"/>
        <v>45549</v>
      </c>
      <c r="N30" s="187" t="str">
        <f>AVERAGE(D169:D175)</f>
        <v>#DIV/0!</v>
      </c>
      <c r="O30" s="188" t="str">
        <f>C164</f>
        <v/>
      </c>
      <c r="P30" s="188" t="str">
        <f t="shared" ref="P30:S30" si="12">D180</f>
        <v/>
      </c>
      <c r="Q30" s="188" t="str">
        <f t="shared" si="12"/>
        <v/>
      </c>
      <c r="R30" s="188" t="str">
        <f t="shared" si="12"/>
        <v/>
      </c>
      <c r="S30" s="188" t="str">
        <f t="shared" si="12"/>
        <v/>
      </c>
      <c r="T30" s="16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</row>
    <row r="31">
      <c r="A31" s="155"/>
      <c r="B31" s="155"/>
      <c r="C31" s="180" t="s">
        <v>118</v>
      </c>
      <c r="D31" s="180" t="s">
        <v>135</v>
      </c>
      <c r="E31" s="180" t="s">
        <v>120</v>
      </c>
      <c r="F31" s="180" t="s">
        <v>121</v>
      </c>
      <c r="G31" s="180" t="s">
        <v>122</v>
      </c>
      <c r="H31" s="195"/>
      <c r="I31" s="195"/>
      <c r="J31" s="195"/>
      <c r="K31" s="195"/>
      <c r="L31" s="177">
        <v>11.0</v>
      </c>
      <c r="M31" s="184">
        <f t="shared" si="2"/>
        <v>45556</v>
      </c>
      <c r="N31" s="181" t="str">
        <f>AVERAGE(D185:D191)</f>
        <v>#DIV/0!</v>
      </c>
      <c r="O31" s="190" t="str">
        <f t="shared" ref="O31:S31" si="13">C196</f>
        <v/>
      </c>
      <c r="P31" s="190" t="str">
        <f t="shared" si="13"/>
        <v/>
      </c>
      <c r="Q31" s="190" t="str">
        <f t="shared" si="13"/>
        <v/>
      </c>
      <c r="R31" s="190" t="str">
        <f t="shared" si="13"/>
        <v/>
      </c>
      <c r="S31" s="190" t="str">
        <f t="shared" si="13"/>
        <v/>
      </c>
      <c r="T31" s="16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</row>
    <row r="32">
      <c r="A32" s="175"/>
      <c r="B32" s="175"/>
      <c r="C32" s="196"/>
      <c r="D32" s="196"/>
      <c r="E32" s="196"/>
      <c r="F32" s="196"/>
      <c r="G32" s="196"/>
      <c r="H32" s="195"/>
      <c r="I32" s="195"/>
      <c r="J32" s="195"/>
      <c r="K32" s="195"/>
      <c r="L32" s="177">
        <v>12.0</v>
      </c>
      <c r="M32" s="184">
        <f t="shared" si="2"/>
        <v>45563</v>
      </c>
      <c r="N32" s="187" t="str">
        <f>AVERAGE(D201:D207)</f>
        <v>#DIV/0!</v>
      </c>
      <c r="O32" s="188" t="str">
        <f t="shared" ref="O32:S32" si="14">C212</f>
        <v/>
      </c>
      <c r="P32" s="188" t="str">
        <f t="shared" si="14"/>
        <v/>
      </c>
      <c r="Q32" s="188" t="str">
        <f t="shared" si="14"/>
        <v/>
      </c>
      <c r="R32" s="188" t="str">
        <f t="shared" si="14"/>
        <v/>
      </c>
      <c r="S32" s="188" t="str">
        <f t="shared" si="14"/>
        <v/>
      </c>
      <c r="T32" s="16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</row>
    <row r="33">
      <c r="A33" s="182"/>
      <c r="B33" s="182"/>
      <c r="C33" s="161"/>
      <c r="D33" s="161"/>
      <c r="E33" s="161"/>
      <c r="F33" s="161"/>
      <c r="G33" s="195"/>
      <c r="H33" s="195"/>
      <c r="I33" s="195"/>
      <c r="J33" s="195"/>
      <c r="K33" s="195"/>
      <c r="L33" s="161"/>
      <c r="M33" s="161"/>
      <c r="N33" s="161"/>
      <c r="O33" s="161"/>
      <c r="P33" s="161"/>
      <c r="Q33" s="161"/>
      <c r="R33" s="161"/>
      <c r="S33" s="161"/>
      <c r="T33" s="16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</row>
    <row r="34">
      <c r="A34" s="161"/>
      <c r="B34" s="161"/>
      <c r="C34" s="16"/>
      <c r="D34" s="16"/>
      <c r="E34" s="16"/>
      <c r="F34" s="16"/>
      <c r="G34" s="195"/>
      <c r="H34" s="195"/>
      <c r="I34" s="195"/>
      <c r="J34" s="195"/>
      <c r="K34" s="195"/>
      <c r="L34" s="16"/>
      <c r="M34" s="161"/>
      <c r="N34" s="154" t="s">
        <v>136</v>
      </c>
      <c r="O34" s="161"/>
      <c r="P34" s="161"/>
      <c r="Q34" s="161"/>
      <c r="R34" s="161"/>
      <c r="S34" s="161"/>
      <c r="T34" s="165"/>
      <c r="U34" s="197" t="s">
        <v>137</v>
      </c>
      <c r="V34" s="23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</row>
    <row r="35">
      <c r="A35" s="161"/>
      <c r="B35" s="161"/>
      <c r="C35" s="16"/>
      <c r="D35" s="16"/>
      <c r="E35" s="16"/>
      <c r="F35" s="16"/>
      <c r="G35" s="195"/>
      <c r="H35" s="195"/>
      <c r="I35" s="195"/>
      <c r="J35" s="195"/>
      <c r="K35" s="195"/>
      <c r="L35" s="161"/>
      <c r="M35" s="161"/>
      <c r="N35" s="161"/>
      <c r="O35" s="161"/>
      <c r="P35" s="161"/>
      <c r="Q35" s="161"/>
      <c r="R35" s="161"/>
      <c r="S35" s="161"/>
      <c r="T35" s="165"/>
      <c r="U35" s="198" t="s">
        <v>138</v>
      </c>
      <c r="V35" s="199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ht="31.5" customHeight="1">
      <c r="A36" s="161"/>
      <c r="B36" s="161"/>
      <c r="C36" s="162"/>
      <c r="D36" s="200" t="s">
        <v>1</v>
      </c>
      <c r="E36" s="23"/>
      <c r="F36" s="162"/>
      <c r="G36" s="161"/>
      <c r="H36" s="161"/>
      <c r="I36" s="161"/>
      <c r="J36" s="161"/>
      <c r="K36" s="195"/>
      <c r="L36" s="161"/>
      <c r="M36" s="161"/>
      <c r="N36" s="161"/>
      <c r="O36" s="161"/>
      <c r="P36" s="161"/>
      <c r="Q36" s="161"/>
      <c r="R36" s="161"/>
      <c r="S36" s="161"/>
      <c r="T36" s="165"/>
      <c r="U36" s="198" t="s">
        <v>139</v>
      </c>
      <c r="V36" s="201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>
      <c r="A37" s="189"/>
      <c r="B37" s="189"/>
      <c r="C37" s="173" t="s">
        <v>123</v>
      </c>
      <c r="D37" s="173" t="s">
        <v>124</v>
      </c>
      <c r="E37" s="173" t="s">
        <v>125</v>
      </c>
      <c r="F37" s="173" t="s">
        <v>126</v>
      </c>
      <c r="G37" s="161"/>
      <c r="H37" s="175"/>
      <c r="I37" s="176" t="s">
        <v>127</v>
      </c>
      <c r="J37" s="23"/>
      <c r="K37" s="195"/>
      <c r="L37" s="161"/>
      <c r="M37" s="161"/>
      <c r="N37" s="161"/>
      <c r="O37" s="161"/>
      <c r="P37" s="161"/>
      <c r="Q37" s="161"/>
      <c r="R37" s="161"/>
      <c r="S37" s="161"/>
      <c r="T37" s="16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</row>
    <row r="38">
      <c r="A38" s="158"/>
      <c r="B38" s="158"/>
      <c r="C38" s="180">
        <v>45710.0</v>
      </c>
      <c r="D38" s="181"/>
      <c r="E38" s="181"/>
      <c r="F38" s="181"/>
      <c r="G38" s="161"/>
      <c r="H38" s="182"/>
      <c r="I38" s="180" t="s">
        <v>129</v>
      </c>
      <c r="J38" s="183">
        <v>1530.0</v>
      </c>
      <c r="K38" s="195"/>
      <c r="L38" s="161"/>
      <c r="M38" s="161"/>
      <c r="N38" s="161"/>
      <c r="O38" s="161"/>
      <c r="P38" s="161"/>
      <c r="Q38" s="161"/>
      <c r="R38" s="161"/>
      <c r="S38" s="161"/>
      <c r="T38" s="16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</row>
    <row r="39">
      <c r="A39" s="195"/>
      <c r="B39" s="195"/>
      <c r="C39" s="180">
        <v>45711.0</v>
      </c>
      <c r="D39" s="181"/>
      <c r="E39" s="181"/>
      <c r="F39" s="181"/>
      <c r="G39" s="161"/>
      <c r="H39" s="182"/>
      <c r="I39" s="180" t="s">
        <v>130</v>
      </c>
      <c r="J39" s="183">
        <v>120.0</v>
      </c>
      <c r="K39" s="195"/>
      <c r="L39" s="161"/>
      <c r="M39" s="161"/>
      <c r="N39" s="161"/>
      <c r="O39" s="161"/>
      <c r="P39" s="161"/>
      <c r="Q39" s="161"/>
      <c r="R39" s="161"/>
      <c r="S39" s="161"/>
      <c r="T39" s="16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>
      <c r="A40" s="195"/>
      <c r="B40" s="195"/>
      <c r="C40" s="180">
        <v>45712.0</v>
      </c>
      <c r="D40" s="181"/>
      <c r="E40" s="181"/>
      <c r="F40" s="181"/>
      <c r="G40" s="161"/>
      <c r="H40" s="182"/>
      <c r="I40" s="180" t="s">
        <v>131</v>
      </c>
      <c r="J40" s="183">
        <v>150.0</v>
      </c>
      <c r="K40" s="195"/>
      <c r="L40" s="161"/>
      <c r="M40" s="161"/>
      <c r="N40" s="161"/>
      <c r="O40" s="161"/>
      <c r="P40" s="161"/>
      <c r="Q40" s="161"/>
      <c r="R40" s="161"/>
      <c r="S40" s="161"/>
      <c r="T40" s="16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</row>
    <row r="41">
      <c r="A41" s="195"/>
      <c r="B41" s="195"/>
      <c r="C41" s="180">
        <v>45713.0</v>
      </c>
      <c r="D41" s="181"/>
      <c r="E41" s="181"/>
      <c r="F41" s="181"/>
      <c r="G41" s="161"/>
      <c r="H41" s="182"/>
      <c r="I41" s="180" t="s">
        <v>132</v>
      </c>
      <c r="J41" s="183">
        <v>50.0</v>
      </c>
      <c r="K41" s="195"/>
      <c r="L41" s="161"/>
      <c r="M41" s="161"/>
      <c r="N41" s="161"/>
      <c r="O41" s="161"/>
      <c r="P41" s="161"/>
      <c r="Q41" s="161"/>
      <c r="R41" s="161"/>
      <c r="S41" s="161"/>
      <c r="T41" s="16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</row>
    <row r="42">
      <c r="A42" s="195"/>
      <c r="B42" s="195"/>
      <c r="C42" s="180">
        <v>45714.0</v>
      </c>
      <c r="D42" s="181"/>
      <c r="E42" s="181"/>
      <c r="F42" s="181"/>
      <c r="G42" s="161"/>
      <c r="H42" s="161"/>
      <c r="I42" s="161"/>
      <c r="J42" s="161"/>
      <c r="K42" s="195"/>
      <c r="L42" s="161"/>
      <c r="M42" s="161"/>
      <c r="N42" s="161"/>
      <c r="O42" s="161"/>
      <c r="P42" s="161"/>
      <c r="Q42" s="161"/>
      <c r="R42" s="161"/>
      <c r="S42" s="161"/>
      <c r="T42" s="16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</row>
    <row r="43">
      <c r="A43" s="156"/>
      <c r="B43" s="156"/>
      <c r="C43" s="180">
        <v>45715.0</v>
      </c>
      <c r="D43" s="191"/>
      <c r="E43" s="181"/>
      <c r="F43" s="181"/>
      <c r="G43" s="161"/>
      <c r="H43" s="161"/>
      <c r="I43" s="161"/>
      <c r="J43" s="161"/>
      <c r="K43" s="156"/>
      <c r="L43" s="161"/>
      <c r="M43" s="161"/>
      <c r="N43" s="161"/>
      <c r="O43" s="161"/>
      <c r="P43" s="161"/>
      <c r="Q43" s="161"/>
      <c r="R43" s="161"/>
      <c r="S43" s="161"/>
      <c r="T43" s="165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</row>
    <row r="44">
      <c r="A44" s="156"/>
      <c r="B44" s="156"/>
      <c r="C44" s="180">
        <v>45716.0</v>
      </c>
      <c r="D44" s="191"/>
      <c r="E44" s="181"/>
      <c r="F44" s="191"/>
      <c r="G44" s="161"/>
      <c r="H44" s="161"/>
      <c r="I44" s="161"/>
      <c r="J44" s="161"/>
      <c r="K44" s="156"/>
      <c r="L44" s="161"/>
      <c r="M44" s="161"/>
      <c r="N44" s="161"/>
      <c r="O44" s="161"/>
      <c r="P44" s="161"/>
      <c r="Q44" s="161"/>
      <c r="R44" s="161"/>
      <c r="S44" s="161"/>
      <c r="T44" s="165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</row>
    <row r="45">
      <c r="A45" s="156"/>
      <c r="B45" s="156"/>
      <c r="C45" s="192" t="s">
        <v>133</v>
      </c>
      <c r="D45" s="193" t="str">
        <f t="shared" ref="D45:F45" si="15">AVERAGE(D38:D44)</f>
        <v>#DIV/0!</v>
      </c>
      <c r="E45" s="193" t="str">
        <f t="shared" si="15"/>
        <v>#DIV/0!</v>
      </c>
      <c r="F45" s="193" t="str">
        <f t="shared" si="15"/>
        <v>#DIV/0!</v>
      </c>
      <c r="G45" s="161"/>
      <c r="H45" s="161"/>
      <c r="I45" s="161"/>
      <c r="J45" s="161"/>
      <c r="K45" s="156"/>
      <c r="L45" s="161"/>
      <c r="M45" s="161"/>
      <c r="N45" s="161"/>
      <c r="O45" s="161"/>
      <c r="P45" s="161"/>
      <c r="Q45" s="161"/>
      <c r="R45" s="161"/>
      <c r="S45" s="161"/>
      <c r="T45" s="165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</row>
    <row r="46">
      <c r="A46" s="156"/>
      <c r="B46" s="156"/>
      <c r="C46" s="162"/>
      <c r="D46" s="162"/>
      <c r="E46" s="162"/>
      <c r="F46" s="162"/>
      <c r="G46" s="161"/>
      <c r="H46" s="161"/>
      <c r="I46" s="161"/>
      <c r="J46" s="161"/>
      <c r="K46" s="156"/>
      <c r="L46" s="161"/>
      <c r="M46" s="161"/>
      <c r="N46" s="161"/>
      <c r="O46" s="161"/>
      <c r="P46" s="161"/>
      <c r="Q46" s="161"/>
      <c r="R46" s="161"/>
      <c r="S46" s="161"/>
      <c r="T46" s="165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</row>
    <row r="47">
      <c r="A47" s="156"/>
      <c r="B47" s="156"/>
      <c r="C47" s="176" t="s">
        <v>134</v>
      </c>
      <c r="D47" s="41"/>
      <c r="E47" s="41"/>
      <c r="F47" s="41"/>
      <c r="G47" s="23"/>
      <c r="H47" s="195"/>
      <c r="I47" s="195"/>
      <c r="J47" s="195"/>
      <c r="K47" s="156"/>
      <c r="L47" s="161"/>
      <c r="M47" s="161"/>
      <c r="N47" s="161"/>
      <c r="O47" s="161"/>
      <c r="P47" s="161"/>
      <c r="Q47" s="161"/>
      <c r="R47" s="161"/>
      <c r="S47" s="161"/>
      <c r="T47" s="165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</row>
    <row r="48">
      <c r="A48" s="156"/>
      <c r="B48" s="156"/>
      <c r="C48" s="180" t="s">
        <v>118</v>
      </c>
      <c r="D48" s="180" t="s">
        <v>135</v>
      </c>
      <c r="E48" s="180" t="s">
        <v>120</v>
      </c>
      <c r="F48" s="180" t="s">
        <v>121</v>
      </c>
      <c r="G48" s="180" t="s">
        <v>122</v>
      </c>
      <c r="H48" s="195"/>
      <c r="I48" s="195"/>
      <c r="J48" s="195"/>
      <c r="K48" s="156"/>
      <c r="L48" s="165"/>
      <c r="M48" s="165"/>
      <c r="N48" s="165"/>
      <c r="O48" s="165"/>
      <c r="P48" s="165"/>
      <c r="Q48" s="165"/>
      <c r="R48" s="165"/>
      <c r="S48" s="165"/>
      <c r="T48" s="165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</row>
    <row r="49">
      <c r="A49" s="156"/>
      <c r="B49" s="156"/>
      <c r="C49" s="196"/>
      <c r="D49" s="196"/>
      <c r="E49" s="196"/>
      <c r="F49" s="196"/>
      <c r="G49" s="196"/>
      <c r="H49" s="195"/>
      <c r="I49" s="195"/>
      <c r="J49" s="195"/>
      <c r="K49" s="156"/>
      <c r="L49" s="165"/>
      <c r="M49" s="165"/>
      <c r="N49" s="165"/>
      <c r="O49" s="165"/>
      <c r="P49" s="165"/>
      <c r="Q49" s="165"/>
      <c r="R49" s="165"/>
      <c r="S49" s="165"/>
      <c r="T49" s="165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</row>
    <row r="50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</row>
    <row r="5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</row>
    <row r="52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</row>
    <row r="53" ht="30.0" customHeight="1">
      <c r="A53" s="156"/>
      <c r="B53" s="156"/>
      <c r="C53" s="162"/>
      <c r="D53" s="200" t="s">
        <v>2</v>
      </c>
      <c r="E53" s="23"/>
      <c r="F53" s="162"/>
      <c r="G53" s="161"/>
      <c r="H53" s="161"/>
      <c r="I53" s="161"/>
      <c r="J53" s="161"/>
      <c r="K53" s="156"/>
      <c r="L53" s="1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</row>
    <row r="54">
      <c r="A54" s="156"/>
      <c r="B54" s="156"/>
      <c r="C54" s="173" t="s">
        <v>123</v>
      </c>
      <c r="D54" s="173" t="s">
        <v>124</v>
      </c>
      <c r="E54" s="173" t="s">
        <v>125</v>
      </c>
      <c r="F54" s="173" t="s">
        <v>126</v>
      </c>
      <c r="G54" s="161"/>
      <c r="H54" s="175"/>
      <c r="I54" s="176" t="s">
        <v>127</v>
      </c>
      <c r="J54" s="23"/>
      <c r="K54" s="156"/>
      <c r="L54" s="1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</row>
    <row r="55">
      <c r="A55" s="156"/>
      <c r="B55" s="156"/>
      <c r="C55" s="180">
        <v>45717.0</v>
      </c>
      <c r="D55" s="181"/>
      <c r="E55" s="181"/>
      <c r="F55" s="181"/>
      <c r="G55" s="161"/>
      <c r="H55" s="182"/>
      <c r="I55" s="180" t="s">
        <v>129</v>
      </c>
      <c r="J55" s="183">
        <v>1530.0</v>
      </c>
      <c r="K55" s="156"/>
      <c r="L55" s="1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</row>
    <row r="56">
      <c r="A56" s="156"/>
      <c r="B56" s="156"/>
      <c r="C56" s="180">
        <v>45718.0</v>
      </c>
      <c r="D56" s="181"/>
      <c r="E56" s="181"/>
      <c r="F56" s="181"/>
      <c r="G56" s="161"/>
      <c r="H56" s="182"/>
      <c r="I56" s="180" t="s">
        <v>130</v>
      </c>
      <c r="J56" s="183">
        <v>120.0</v>
      </c>
      <c r="K56" s="156"/>
      <c r="L56" s="1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</row>
    <row r="57">
      <c r="A57" s="156"/>
      <c r="B57" s="156"/>
      <c r="C57" s="180">
        <v>45719.0</v>
      </c>
      <c r="D57" s="181"/>
      <c r="E57" s="181"/>
      <c r="F57" s="181"/>
      <c r="G57" s="161"/>
      <c r="H57" s="182"/>
      <c r="I57" s="180" t="s">
        <v>131</v>
      </c>
      <c r="J57" s="183">
        <v>150.0</v>
      </c>
      <c r="K57" s="156"/>
      <c r="L57" s="1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</row>
    <row r="58">
      <c r="A58" s="156"/>
      <c r="B58" s="156"/>
      <c r="C58" s="180">
        <v>45720.0</v>
      </c>
      <c r="D58" s="181"/>
      <c r="E58" s="181"/>
      <c r="F58" s="181"/>
      <c r="G58" s="161"/>
      <c r="H58" s="182"/>
      <c r="I58" s="180" t="s">
        <v>132</v>
      </c>
      <c r="J58" s="183">
        <v>50.0</v>
      </c>
      <c r="K58" s="156"/>
      <c r="L58" s="1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</row>
    <row r="59">
      <c r="A59" s="156"/>
      <c r="B59" s="156"/>
      <c r="C59" s="180">
        <v>45721.0</v>
      </c>
      <c r="D59" s="181"/>
      <c r="E59" s="181"/>
      <c r="F59" s="181"/>
      <c r="G59" s="161"/>
      <c r="H59" s="161"/>
      <c r="I59" s="161"/>
      <c r="J59" s="161"/>
      <c r="K59" s="156"/>
      <c r="L59" s="1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</row>
    <row r="60">
      <c r="A60" s="156"/>
      <c r="B60" s="156"/>
      <c r="C60" s="180">
        <v>45722.0</v>
      </c>
      <c r="D60" s="191"/>
      <c r="E60" s="181"/>
      <c r="F60" s="181"/>
      <c r="G60" s="161"/>
      <c r="H60" s="161"/>
      <c r="I60" s="161"/>
      <c r="J60" s="161"/>
      <c r="K60" s="156"/>
      <c r="L60" s="1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</row>
    <row r="61">
      <c r="A61" s="156"/>
      <c r="B61" s="156"/>
      <c r="C61" s="180">
        <v>45723.0</v>
      </c>
      <c r="D61" s="191"/>
      <c r="E61" s="181"/>
      <c r="F61" s="191"/>
      <c r="G61" s="161"/>
      <c r="H61" s="161"/>
      <c r="I61" s="161"/>
      <c r="J61" s="161"/>
      <c r="K61" s="156"/>
      <c r="L61" s="1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</row>
    <row r="62">
      <c r="A62" s="156"/>
      <c r="B62" s="156"/>
      <c r="C62" s="192" t="s">
        <v>133</v>
      </c>
      <c r="D62" s="193" t="str">
        <f t="shared" ref="D62:F62" si="16">AVERAGE(D55:D61)</f>
        <v>#DIV/0!</v>
      </c>
      <c r="E62" s="193" t="str">
        <f t="shared" si="16"/>
        <v>#DIV/0!</v>
      </c>
      <c r="F62" s="193" t="str">
        <f t="shared" si="16"/>
        <v>#DIV/0!</v>
      </c>
      <c r="G62" s="161"/>
      <c r="H62" s="161"/>
      <c r="I62" s="161"/>
      <c r="J62" s="161"/>
      <c r="K62" s="156"/>
      <c r="L62" s="1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</row>
    <row r="63">
      <c r="A63" s="156"/>
      <c r="B63" s="156"/>
      <c r="C63" s="162"/>
      <c r="D63" s="162"/>
      <c r="E63" s="162"/>
      <c r="F63" s="162"/>
      <c r="G63" s="161"/>
      <c r="H63" s="161"/>
      <c r="I63" s="161"/>
      <c r="J63" s="161"/>
      <c r="K63" s="156"/>
      <c r="L63" s="1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</row>
    <row r="64">
      <c r="A64" s="156"/>
      <c r="B64" s="156"/>
      <c r="C64" s="176" t="s">
        <v>134</v>
      </c>
      <c r="D64" s="41"/>
      <c r="E64" s="41"/>
      <c r="F64" s="41"/>
      <c r="G64" s="23"/>
      <c r="H64" s="195"/>
      <c r="I64" s="195"/>
      <c r="J64" s="195"/>
      <c r="K64" s="156"/>
      <c r="L64" s="1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</row>
    <row r="65">
      <c r="A65" s="156"/>
      <c r="B65" s="156"/>
      <c r="C65" s="180" t="s">
        <v>118</v>
      </c>
      <c r="D65" s="180" t="s">
        <v>135</v>
      </c>
      <c r="E65" s="180" t="s">
        <v>120</v>
      </c>
      <c r="F65" s="180" t="s">
        <v>121</v>
      </c>
      <c r="G65" s="180" t="s">
        <v>122</v>
      </c>
      <c r="H65" s="195"/>
      <c r="I65" s="195"/>
      <c r="J65" s="195"/>
      <c r="K65" s="156"/>
      <c r="L65" s="1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</row>
    <row r="66">
      <c r="A66" s="156"/>
      <c r="B66" s="156"/>
      <c r="C66" s="196"/>
      <c r="D66" s="196"/>
      <c r="E66" s="196"/>
      <c r="F66" s="196"/>
      <c r="G66" s="196"/>
      <c r="H66" s="195"/>
      <c r="I66" s="195"/>
      <c r="J66" s="195"/>
      <c r="K66" s="156"/>
      <c r="L66" s="1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</row>
    <row r="67" ht="21.0" customHeight="1">
      <c r="A67" s="156"/>
      <c r="B67" s="156"/>
      <c r="C67" s="156"/>
      <c r="D67" s="156"/>
      <c r="E67" s="156"/>
      <c r="F67" s="156"/>
      <c r="G67" s="156"/>
      <c r="H67" s="195"/>
      <c r="I67" s="195"/>
      <c r="J67" s="195"/>
      <c r="K67" s="156"/>
      <c r="L67" s="1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</row>
    <row r="68" ht="31.5" customHeight="1">
      <c r="A68" s="156"/>
      <c r="B68" s="156"/>
      <c r="C68" s="156"/>
      <c r="D68" s="156"/>
      <c r="E68" s="156"/>
      <c r="F68" s="156"/>
      <c r="G68" s="156"/>
      <c r="H68" s="195"/>
      <c r="I68" s="195"/>
      <c r="J68" s="195"/>
      <c r="K68" s="156"/>
      <c r="L68" s="1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</row>
    <row r="69" ht="30.0" customHeight="1">
      <c r="A69" s="156"/>
      <c r="B69" s="156"/>
      <c r="C69" s="162"/>
      <c r="D69" s="200" t="s">
        <v>3</v>
      </c>
      <c r="E69" s="23"/>
      <c r="F69" s="162"/>
      <c r="G69" s="161"/>
      <c r="H69" s="161"/>
      <c r="I69" s="161"/>
      <c r="J69" s="161"/>
      <c r="K69" s="156"/>
      <c r="L69" s="1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</row>
    <row r="70">
      <c r="A70" s="156"/>
      <c r="B70" s="156"/>
      <c r="C70" s="173" t="s">
        <v>123</v>
      </c>
      <c r="D70" s="173" t="s">
        <v>124</v>
      </c>
      <c r="E70" s="173" t="s">
        <v>125</v>
      </c>
      <c r="F70" s="173" t="s">
        <v>126</v>
      </c>
      <c r="G70" s="161"/>
      <c r="H70" s="175"/>
      <c r="I70" s="176" t="s">
        <v>127</v>
      </c>
      <c r="J70" s="23"/>
      <c r="K70" s="156"/>
      <c r="L70" s="1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</row>
    <row r="71">
      <c r="A71" s="156"/>
      <c r="B71" s="156"/>
      <c r="C71" s="180">
        <v>45724.0</v>
      </c>
      <c r="D71" s="181"/>
      <c r="E71" s="181"/>
      <c r="F71" s="181"/>
      <c r="G71" s="161"/>
      <c r="H71" s="182"/>
      <c r="I71" s="180" t="s">
        <v>129</v>
      </c>
      <c r="J71" s="183">
        <v>1530.0</v>
      </c>
      <c r="K71" s="156"/>
      <c r="L71" s="1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</row>
    <row r="72">
      <c r="A72" s="156"/>
      <c r="B72" s="156"/>
      <c r="C72" s="180">
        <v>45725.0</v>
      </c>
      <c r="D72" s="181"/>
      <c r="E72" s="181"/>
      <c r="F72" s="181"/>
      <c r="G72" s="161"/>
      <c r="H72" s="182"/>
      <c r="I72" s="180" t="s">
        <v>130</v>
      </c>
      <c r="J72" s="183">
        <v>120.0</v>
      </c>
      <c r="K72" s="156"/>
      <c r="L72" s="1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</row>
    <row r="73">
      <c r="A73" s="156"/>
      <c r="B73" s="156"/>
      <c r="C73" s="180">
        <v>45726.0</v>
      </c>
      <c r="D73" s="181"/>
      <c r="E73" s="181"/>
      <c r="F73" s="181"/>
      <c r="G73" s="161"/>
      <c r="H73" s="182"/>
      <c r="I73" s="180" t="s">
        <v>131</v>
      </c>
      <c r="J73" s="183">
        <v>150.0</v>
      </c>
      <c r="K73" s="156"/>
      <c r="L73" s="1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</row>
    <row r="74">
      <c r="A74" s="156"/>
      <c r="B74" s="156"/>
      <c r="C74" s="180">
        <v>45727.0</v>
      </c>
      <c r="D74" s="181"/>
      <c r="E74" s="181"/>
      <c r="F74" s="181"/>
      <c r="G74" s="161"/>
      <c r="H74" s="182"/>
      <c r="I74" s="180" t="s">
        <v>132</v>
      </c>
      <c r="J74" s="183">
        <v>50.0</v>
      </c>
      <c r="K74" s="156"/>
      <c r="L74" s="1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</row>
    <row r="75">
      <c r="A75" s="156"/>
      <c r="B75" s="156"/>
      <c r="C75" s="180">
        <v>45728.0</v>
      </c>
      <c r="D75" s="181"/>
      <c r="E75" s="181"/>
      <c r="F75" s="181"/>
      <c r="G75" s="161"/>
      <c r="H75" s="161"/>
      <c r="I75" s="161"/>
      <c r="J75" s="161"/>
      <c r="K75" s="156"/>
      <c r="L75" s="1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</row>
    <row r="76">
      <c r="A76" s="156"/>
      <c r="B76" s="156"/>
      <c r="C76" s="180">
        <v>45729.0</v>
      </c>
      <c r="D76" s="191"/>
      <c r="E76" s="181"/>
      <c r="F76" s="181"/>
      <c r="G76" s="161"/>
      <c r="H76" s="161"/>
      <c r="I76" s="161"/>
      <c r="J76" s="161"/>
      <c r="K76" s="156"/>
      <c r="L76" s="1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</row>
    <row r="77">
      <c r="A77" s="156"/>
      <c r="B77" s="156"/>
      <c r="C77" s="180">
        <v>45730.0</v>
      </c>
      <c r="D77" s="191"/>
      <c r="E77" s="181"/>
      <c r="F77" s="191"/>
      <c r="G77" s="161"/>
      <c r="H77" s="161"/>
      <c r="I77" s="161"/>
      <c r="J77" s="161"/>
      <c r="K77" s="156"/>
      <c r="L77" s="1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</row>
    <row r="78">
      <c r="A78" s="156"/>
      <c r="B78" s="156"/>
      <c r="C78" s="192" t="s">
        <v>133</v>
      </c>
      <c r="D78" s="193" t="str">
        <f t="shared" ref="D78:F78" si="17">AVERAGE(D71:D77)</f>
        <v>#DIV/0!</v>
      </c>
      <c r="E78" s="193" t="str">
        <f t="shared" si="17"/>
        <v>#DIV/0!</v>
      </c>
      <c r="F78" s="193" t="str">
        <f t="shared" si="17"/>
        <v>#DIV/0!</v>
      </c>
      <c r="G78" s="161"/>
      <c r="H78" s="161"/>
      <c r="I78" s="161"/>
      <c r="J78" s="161"/>
      <c r="K78" s="156"/>
      <c r="L78" s="1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</row>
    <row r="79">
      <c r="A79" s="156"/>
      <c r="B79" s="156"/>
      <c r="C79" s="162"/>
      <c r="D79" s="162"/>
      <c r="E79" s="162"/>
      <c r="F79" s="162"/>
      <c r="G79" s="161"/>
      <c r="H79" s="161"/>
      <c r="I79" s="161"/>
      <c r="J79" s="161"/>
      <c r="K79" s="156"/>
      <c r="L79" s="1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</row>
    <row r="80">
      <c r="A80" s="156"/>
      <c r="B80" s="156"/>
      <c r="C80" s="176" t="s">
        <v>134</v>
      </c>
      <c r="D80" s="41"/>
      <c r="E80" s="41"/>
      <c r="F80" s="41"/>
      <c r="G80" s="23"/>
      <c r="H80" s="195"/>
      <c r="I80" s="195"/>
      <c r="J80" s="195"/>
      <c r="K80" s="156"/>
      <c r="L80" s="1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</row>
    <row r="81">
      <c r="A81" s="156"/>
      <c r="B81" s="156"/>
      <c r="C81" s="180" t="s">
        <v>118</v>
      </c>
      <c r="D81" s="180" t="s">
        <v>135</v>
      </c>
      <c r="E81" s="180" t="s">
        <v>120</v>
      </c>
      <c r="F81" s="180" t="s">
        <v>121</v>
      </c>
      <c r="G81" s="180" t="s">
        <v>122</v>
      </c>
      <c r="H81" s="195"/>
      <c r="I81" s="195"/>
      <c r="J81" s="195"/>
      <c r="K81" s="156"/>
      <c r="L81" s="1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</row>
    <row r="82">
      <c r="A82" s="156"/>
      <c r="B82" s="156"/>
      <c r="C82" s="196"/>
      <c r="D82" s="196"/>
      <c r="E82" s="196"/>
      <c r="F82" s="196"/>
      <c r="G82" s="196"/>
      <c r="H82" s="195"/>
      <c r="I82" s="195"/>
      <c r="J82" s="195"/>
      <c r="K82" s="156"/>
      <c r="L82" s="1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</row>
    <row r="83">
      <c r="A83" s="156"/>
      <c r="B83" s="156"/>
      <c r="C83" s="156"/>
      <c r="D83" s="156"/>
      <c r="E83" s="156"/>
      <c r="F83" s="156"/>
      <c r="G83" s="156"/>
      <c r="H83" s="195"/>
      <c r="I83" s="195"/>
      <c r="J83" s="195"/>
      <c r="K83" s="156"/>
      <c r="L83" s="1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</row>
    <row r="84">
      <c r="A84" s="156"/>
      <c r="B84" s="156"/>
      <c r="C84" s="156"/>
      <c r="D84" s="156"/>
      <c r="E84" s="156"/>
      <c r="F84" s="156"/>
      <c r="G84" s="156"/>
      <c r="H84" s="195"/>
      <c r="I84" s="195"/>
      <c r="J84" s="195"/>
      <c r="K84" s="156"/>
      <c r="L84" s="1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</row>
    <row r="85" ht="30.0" customHeight="1">
      <c r="A85" s="156"/>
      <c r="B85" s="156"/>
      <c r="C85" s="162"/>
      <c r="D85" s="200" t="s">
        <v>140</v>
      </c>
      <c r="E85" s="23"/>
      <c r="F85" s="162"/>
      <c r="G85" s="161"/>
      <c r="H85" s="161"/>
      <c r="I85" s="161"/>
      <c r="J85" s="161"/>
      <c r="K85" s="156"/>
      <c r="L85" s="1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</row>
    <row r="86">
      <c r="A86" s="156"/>
      <c r="B86" s="156"/>
      <c r="C86" s="173" t="s">
        <v>123</v>
      </c>
      <c r="D86" s="173" t="s">
        <v>124</v>
      </c>
      <c r="E86" s="173" t="s">
        <v>125</v>
      </c>
      <c r="F86" s="173" t="s">
        <v>126</v>
      </c>
      <c r="G86" s="161"/>
      <c r="H86" s="175"/>
      <c r="I86" s="176" t="s">
        <v>127</v>
      </c>
      <c r="J86" s="23"/>
      <c r="K86" s="156"/>
      <c r="L86" s="1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</row>
    <row r="87">
      <c r="A87" s="156"/>
      <c r="B87" s="156"/>
      <c r="C87" s="180">
        <v>45483.0</v>
      </c>
      <c r="D87" s="181"/>
      <c r="E87" s="181"/>
      <c r="F87" s="181"/>
      <c r="G87" s="161"/>
      <c r="H87" s="182"/>
      <c r="I87" s="180" t="s">
        <v>129</v>
      </c>
      <c r="J87" s="183">
        <v>1530.0</v>
      </c>
      <c r="K87" s="156"/>
      <c r="L87" s="1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</row>
    <row r="88">
      <c r="A88" s="156"/>
      <c r="B88" s="156"/>
      <c r="C88" s="180">
        <v>45484.0</v>
      </c>
      <c r="D88" s="181"/>
      <c r="E88" s="181"/>
      <c r="F88" s="181"/>
      <c r="G88" s="161"/>
      <c r="H88" s="182"/>
      <c r="I88" s="180" t="s">
        <v>130</v>
      </c>
      <c r="J88" s="183">
        <v>120.0</v>
      </c>
      <c r="K88" s="156"/>
      <c r="L88" s="1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</row>
    <row r="89">
      <c r="A89" s="156"/>
      <c r="B89" s="156"/>
      <c r="C89" s="180">
        <v>45485.0</v>
      </c>
      <c r="D89" s="181"/>
      <c r="E89" s="181"/>
      <c r="F89" s="181"/>
      <c r="G89" s="161"/>
      <c r="H89" s="182"/>
      <c r="I89" s="180" t="s">
        <v>131</v>
      </c>
      <c r="J89" s="183">
        <v>150.0</v>
      </c>
      <c r="K89" s="156"/>
      <c r="L89" s="1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</row>
    <row r="90">
      <c r="A90" s="156"/>
      <c r="B90" s="156"/>
      <c r="C90" s="180">
        <v>45486.0</v>
      </c>
      <c r="D90" s="181"/>
      <c r="E90" s="181"/>
      <c r="F90" s="181"/>
      <c r="G90" s="161"/>
      <c r="H90" s="182"/>
      <c r="I90" s="180" t="s">
        <v>132</v>
      </c>
      <c r="J90" s="183">
        <v>50.0</v>
      </c>
      <c r="K90" s="156"/>
      <c r="L90" s="1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</row>
    <row r="91">
      <c r="A91" s="156"/>
      <c r="B91" s="156"/>
      <c r="C91" s="180">
        <v>45487.0</v>
      </c>
      <c r="D91" s="181"/>
      <c r="E91" s="181"/>
      <c r="F91" s="181"/>
      <c r="G91" s="161"/>
      <c r="H91" s="161"/>
      <c r="I91" s="161"/>
      <c r="J91" s="161"/>
      <c r="K91" s="156"/>
      <c r="L91" s="1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</row>
    <row r="92">
      <c r="A92" s="156"/>
      <c r="B92" s="156"/>
      <c r="C92" s="180">
        <v>45488.0</v>
      </c>
      <c r="D92" s="191"/>
      <c r="E92" s="181"/>
      <c r="F92" s="181"/>
      <c r="G92" s="161"/>
      <c r="H92" s="161"/>
      <c r="I92" s="161"/>
      <c r="J92" s="161"/>
      <c r="K92" s="156"/>
      <c r="L92" s="1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</row>
    <row r="93">
      <c r="A93" s="156"/>
      <c r="B93" s="156"/>
      <c r="C93" s="180">
        <v>45489.0</v>
      </c>
      <c r="D93" s="191"/>
      <c r="E93" s="181"/>
      <c r="F93" s="191"/>
      <c r="G93" s="161"/>
      <c r="H93" s="161"/>
      <c r="I93" s="161"/>
      <c r="J93" s="161"/>
      <c r="K93" s="156"/>
      <c r="L93" s="1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</row>
    <row r="94">
      <c r="A94" s="156"/>
      <c r="B94" s="156"/>
      <c r="C94" s="192" t="s">
        <v>133</v>
      </c>
      <c r="D94" s="193" t="str">
        <f t="shared" ref="D94:F94" si="18">AVERAGE(D87:D93)</f>
        <v>#DIV/0!</v>
      </c>
      <c r="E94" s="193" t="str">
        <f t="shared" si="18"/>
        <v>#DIV/0!</v>
      </c>
      <c r="F94" s="193" t="str">
        <f t="shared" si="18"/>
        <v>#DIV/0!</v>
      </c>
      <c r="G94" s="161"/>
      <c r="H94" s="161"/>
      <c r="I94" s="161"/>
      <c r="J94" s="161"/>
      <c r="K94" s="156"/>
      <c r="L94" s="1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</row>
    <row r="95">
      <c r="A95" s="156"/>
      <c r="B95" s="156"/>
      <c r="C95" s="162"/>
      <c r="D95" s="162"/>
      <c r="E95" s="162"/>
      <c r="F95" s="162"/>
      <c r="G95" s="161"/>
      <c r="H95" s="161"/>
      <c r="I95" s="161"/>
      <c r="J95" s="161"/>
      <c r="K95" s="156"/>
      <c r="L95" s="1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</row>
    <row r="96">
      <c r="A96" s="156"/>
      <c r="B96" s="156"/>
      <c r="C96" s="176" t="s">
        <v>134</v>
      </c>
      <c r="D96" s="41"/>
      <c r="E96" s="41"/>
      <c r="F96" s="41"/>
      <c r="G96" s="23"/>
      <c r="H96" s="195"/>
      <c r="I96" s="195"/>
      <c r="J96" s="195"/>
      <c r="K96" s="156"/>
      <c r="L96" s="1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</row>
    <row r="97">
      <c r="A97" s="156"/>
      <c r="B97" s="156"/>
      <c r="C97" s="180" t="s">
        <v>118</v>
      </c>
      <c r="D97" s="180" t="s">
        <v>135</v>
      </c>
      <c r="E97" s="180" t="s">
        <v>120</v>
      </c>
      <c r="F97" s="180" t="s">
        <v>121</v>
      </c>
      <c r="G97" s="180" t="s">
        <v>122</v>
      </c>
      <c r="H97" s="195"/>
      <c r="I97" s="195"/>
      <c r="J97" s="195"/>
      <c r="K97" s="156"/>
      <c r="L97" s="1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</row>
    <row r="98">
      <c r="A98" s="156"/>
      <c r="B98" s="156"/>
      <c r="C98" s="196"/>
      <c r="D98" s="196"/>
      <c r="E98" s="196"/>
      <c r="F98" s="196"/>
      <c r="G98" s="196"/>
      <c r="H98" s="195"/>
      <c r="I98" s="195"/>
      <c r="J98" s="195"/>
      <c r="K98" s="156"/>
      <c r="L98" s="1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</row>
    <row r="99">
      <c r="A99" s="156"/>
      <c r="B99" s="156"/>
      <c r="C99" s="156"/>
      <c r="D99" s="156"/>
      <c r="E99" s="156"/>
      <c r="F99" s="156"/>
      <c r="G99" s="156"/>
      <c r="H99" s="195"/>
      <c r="I99" s="195"/>
      <c r="J99" s="195"/>
      <c r="K99" s="156"/>
      <c r="L99" s="1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</row>
    <row r="100">
      <c r="A100" s="156"/>
      <c r="B100" s="156"/>
      <c r="C100" s="156"/>
      <c r="D100" s="156"/>
      <c r="E100" s="156"/>
      <c r="F100" s="156"/>
      <c r="G100" s="156"/>
      <c r="H100" s="195"/>
      <c r="I100" s="195"/>
      <c r="J100" s="195"/>
      <c r="K100" s="156"/>
      <c r="L100" s="1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</row>
    <row r="101" ht="27.0" customHeight="1">
      <c r="A101" s="156"/>
      <c r="B101" s="156"/>
      <c r="C101" s="162"/>
      <c r="D101" s="200" t="s">
        <v>141</v>
      </c>
      <c r="E101" s="23"/>
      <c r="F101" s="162"/>
      <c r="G101" s="161"/>
      <c r="H101" s="161"/>
      <c r="I101" s="161"/>
      <c r="J101" s="161"/>
      <c r="K101" s="156"/>
      <c r="L101" s="1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</row>
    <row r="102">
      <c r="A102" s="156"/>
      <c r="B102" s="156"/>
      <c r="C102" s="173" t="s">
        <v>123</v>
      </c>
      <c r="D102" s="173" t="s">
        <v>124</v>
      </c>
      <c r="E102" s="173" t="s">
        <v>125</v>
      </c>
      <c r="F102" s="173" t="s">
        <v>126</v>
      </c>
      <c r="G102" s="161"/>
      <c r="H102" s="175"/>
      <c r="I102" s="176" t="s">
        <v>127</v>
      </c>
      <c r="J102" s="23"/>
      <c r="K102" s="156"/>
      <c r="L102" s="1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</row>
    <row r="103">
      <c r="A103" s="156"/>
      <c r="B103" s="156"/>
      <c r="C103" s="180">
        <v>45483.0</v>
      </c>
      <c r="D103" s="181"/>
      <c r="E103" s="181"/>
      <c r="F103" s="181"/>
      <c r="G103" s="161"/>
      <c r="H103" s="182"/>
      <c r="I103" s="180" t="s">
        <v>129</v>
      </c>
      <c r="J103" s="183">
        <v>1530.0</v>
      </c>
      <c r="K103" s="156"/>
      <c r="L103" s="1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</row>
    <row r="104">
      <c r="A104" s="156"/>
      <c r="B104" s="156"/>
      <c r="C104" s="180">
        <v>45484.0</v>
      </c>
      <c r="D104" s="181"/>
      <c r="E104" s="181"/>
      <c r="F104" s="181"/>
      <c r="G104" s="161"/>
      <c r="H104" s="182"/>
      <c r="I104" s="180" t="s">
        <v>130</v>
      </c>
      <c r="J104" s="183">
        <v>120.0</v>
      </c>
      <c r="K104" s="156"/>
      <c r="L104" s="1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</row>
    <row r="105">
      <c r="A105" s="156"/>
      <c r="B105" s="156"/>
      <c r="C105" s="180">
        <v>45485.0</v>
      </c>
      <c r="D105" s="181"/>
      <c r="E105" s="181"/>
      <c r="F105" s="181"/>
      <c r="G105" s="161"/>
      <c r="H105" s="182"/>
      <c r="I105" s="180" t="s">
        <v>131</v>
      </c>
      <c r="J105" s="183">
        <v>150.0</v>
      </c>
      <c r="K105" s="156"/>
      <c r="L105" s="1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</row>
    <row r="106">
      <c r="A106" s="156"/>
      <c r="B106" s="156"/>
      <c r="C106" s="180">
        <v>45486.0</v>
      </c>
      <c r="D106" s="181"/>
      <c r="E106" s="181"/>
      <c r="F106" s="181"/>
      <c r="G106" s="161"/>
      <c r="H106" s="182"/>
      <c r="I106" s="180" t="s">
        <v>132</v>
      </c>
      <c r="J106" s="183">
        <v>50.0</v>
      </c>
      <c r="K106" s="156"/>
      <c r="L106" s="1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</row>
    <row r="107">
      <c r="A107" s="156"/>
      <c r="B107" s="156"/>
      <c r="C107" s="180">
        <v>45487.0</v>
      </c>
      <c r="D107" s="181"/>
      <c r="E107" s="181"/>
      <c r="F107" s="181"/>
      <c r="G107" s="161"/>
      <c r="H107" s="161"/>
      <c r="I107" s="161"/>
      <c r="J107" s="161"/>
      <c r="K107" s="156"/>
      <c r="L107" s="1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</row>
    <row r="108">
      <c r="A108" s="156"/>
      <c r="B108" s="156"/>
      <c r="C108" s="180">
        <v>45488.0</v>
      </c>
      <c r="D108" s="191"/>
      <c r="E108" s="181"/>
      <c r="F108" s="181"/>
      <c r="G108" s="161"/>
      <c r="H108" s="161"/>
      <c r="I108" s="161"/>
      <c r="J108" s="161"/>
      <c r="K108" s="156"/>
      <c r="L108" s="1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</row>
    <row r="109">
      <c r="A109" s="156"/>
      <c r="B109" s="156"/>
      <c r="C109" s="180">
        <v>45489.0</v>
      </c>
      <c r="D109" s="191"/>
      <c r="E109" s="181"/>
      <c r="F109" s="191"/>
      <c r="G109" s="161"/>
      <c r="H109" s="161"/>
      <c r="I109" s="161"/>
      <c r="J109" s="161"/>
      <c r="K109" s="156"/>
      <c r="L109" s="1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</row>
    <row r="110">
      <c r="A110" s="156"/>
      <c r="B110" s="156"/>
      <c r="C110" s="192" t="s">
        <v>133</v>
      </c>
      <c r="D110" s="193" t="str">
        <f t="shared" ref="D110:F110" si="19">AVERAGE(D103:D109)</f>
        <v>#DIV/0!</v>
      </c>
      <c r="E110" s="193" t="str">
        <f t="shared" si="19"/>
        <v>#DIV/0!</v>
      </c>
      <c r="F110" s="193" t="str">
        <f t="shared" si="19"/>
        <v>#DIV/0!</v>
      </c>
      <c r="G110" s="161"/>
      <c r="H110" s="161"/>
      <c r="I110" s="161"/>
      <c r="J110" s="161"/>
      <c r="K110" s="156"/>
      <c r="L110" s="1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</row>
    <row r="111">
      <c r="A111" s="156"/>
      <c r="B111" s="156"/>
      <c r="C111" s="162"/>
      <c r="D111" s="162"/>
      <c r="E111" s="162"/>
      <c r="F111" s="162"/>
      <c r="G111" s="161"/>
      <c r="H111" s="161"/>
      <c r="I111" s="161"/>
      <c r="J111" s="161"/>
      <c r="K111" s="156"/>
      <c r="L111" s="1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</row>
    <row r="112">
      <c r="A112" s="156"/>
      <c r="B112" s="156"/>
      <c r="C112" s="176" t="s">
        <v>134</v>
      </c>
      <c r="D112" s="41"/>
      <c r="E112" s="41"/>
      <c r="F112" s="41"/>
      <c r="G112" s="23"/>
      <c r="H112" s="195"/>
      <c r="I112" s="195"/>
      <c r="J112" s="195"/>
      <c r="K112" s="156"/>
      <c r="L112" s="1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</row>
    <row r="113">
      <c r="A113" s="156"/>
      <c r="B113" s="156"/>
      <c r="C113" s="180" t="s">
        <v>118</v>
      </c>
      <c r="D113" s="180" t="s">
        <v>135</v>
      </c>
      <c r="E113" s="180" t="s">
        <v>120</v>
      </c>
      <c r="F113" s="180" t="s">
        <v>121</v>
      </c>
      <c r="G113" s="180" t="s">
        <v>122</v>
      </c>
      <c r="H113" s="195"/>
      <c r="I113" s="195"/>
      <c r="J113" s="195"/>
      <c r="K113" s="156"/>
      <c r="L113" s="1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</row>
    <row r="114">
      <c r="A114" s="156"/>
      <c r="B114" s="156"/>
      <c r="C114" s="196"/>
      <c r="D114" s="196"/>
      <c r="E114" s="196"/>
      <c r="F114" s="196"/>
      <c r="G114" s="196"/>
      <c r="H114" s="195"/>
      <c r="I114" s="195"/>
      <c r="J114" s="195"/>
      <c r="K114" s="156"/>
      <c r="L114" s="1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</row>
    <row r="115">
      <c r="A115" s="156"/>
      <c r="B115" s="156"/>
      <c r="C115" s="161"/>
      <c r="D115" s="161"/>
      <c r="E115" s="161"/>
      <c r="F115" s="161"/>
      <c r="G115" s="156"/>
      <c r="H115" s="156"/>
      <c r="I115" s="156"/>
      <c r="J115" s="156"/>
      <c r="K115" s="156"/>
      <c r="L115" s="1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</row>
    <row r="116">
      <c r="A116" s="156"/>
      <c r="B116" s="156"/>
      <c r="C116" s="16"/>
      <c r="D116" s="16"/>
      <c r="E116" s="16"/>
      <c r="F116" s="16"/>
      <c r="G116" s="156"/>
      <c r="H116" s="156"/>
      <c r="I116" s="156"/>
      <c r="J116" s="156"/>
      <c r="K116" s="156"/>
      <c r="L116" s="1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</row>
    <row r="117">
      <c r="A117" s="156"/>
      <c r="B117" s="156"/>
      <c r="C117" s="16"/>
      <c r="D117" s="16"/>
      <c r="E117" s="16"/>
      <c r="F117" s="16"/>
      <c r="G117" s="156"/>
      <c r="H117" s="156"/>
      <c r="I117" s="156"/>
      <c r="J117" s="156"/>
      <c r="K117" s="156"/>
      <c r="L117" s="1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</row>
    <row r="118" ht="30.0" customHeight="1">
      <c r="A118" s="156"/>
      <c r="B118" s="156"/>
      <c r="C118" s="162"/>
      <c r="D118" s="200" t="s">
        <v>142</v>
      </c>
      <c r="E118" s="23"/>
      <c r="F118" s="162"/>
      <c r="G118" s="161"/>
      <c r="H118" s="161"/>
      <c r="I118" s="161"/>
      <c r="J118" s="161"/>
      <c r="K118" s="156"/>
      <c r="L118" s="1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</row>
    <row r="119">
      <c r="A119" s="156"/>
      <c r="B119" s="156"/>
      <c r="C119" s="173" t="s">
        <v>123</v>
      </c>
      <c r="D119" s="173" t="s">
        <v>124</v>
      </c>
      <c r="E119" s="173" t="s">
        <v>125</v>
      </c>
      <c r="F119" s="173" t="s">
        <v>126</v>
      </c>
      <c r="G119" s="161"/>
      <c r="H119" s="175"/>
      <c r="I119" s="176" t="s">
        <v>127</v>
      </c>
      <c r="J119" s="23"/>
      <c r="K119" s="156"/>
      <c r="L119" s="1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</row>
    <row r="120">
      <c r="A120" s="156"/>
      <c r="B120" s="156"/>
      <c r="C120" s="180">
        <v>45483.0</v>
      </c>
      <c r="D120" s="181"/>
      <c r="E120" s="181"/>
      <c r="F120" s="181"/>
      <c r="G120" s="161"/>
      <c r="H120" s="182"/>
      <c r="I120" s="180" t="s">
        <v>129</v>
      </c>
      <c r="J120" s="183">
        <v>1530.0</v>
      </c>
      <c r="K120" s="156"/>
      <c r="L120" s="1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</row>
    <row r="121">
      <c r="A121" s="156"/>
      <c r="B121" s="156"/>
      <c r="C121" s="180">
        <v>45484.0</v>
      </c>
      <c r="D121" s="181"/>
      <c r="E121" s="181"/>
      <c r="F121" s="181"/>
      <c r="G121" s="161"/>
      <c r="H121" s="182"/>
      <c r="I121" s="180" t="s">
        <v>130</v>
      </c>
      <c r="J121" s="183">
        <v>120.0</v>
      </c>
      <c r="K121" s="156"/>
      <c r="L121" s="1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</row>
    <row r="122">
      <c r="A122" s="156"/>
      <c r="B122" s="156"/>
      <c r="C122" s="180">
        <v>45485.0</v>
      </c>
      <c r="D122" s="181"/>
      <c r="E122" s="181"/>
      <c r="F122" s="181"/>
      <c r="G122" s="161"/>
      <c r="H122" s="182"/>
      <c r="I122" s="180" t="s">
        <v>131</v>
      </c>
      <c r="J122" s="183">
        <v>150.0</v>
      </c>
      <c r="K122" s="156"/>
      <c r="L122" s="1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</row>
    <row r="123">
      <c r="A123" s="156"/>
      <c r="B123" s="156"/>
      <c r="C123" s="180">
        <v>45486.0</v>
      </c>
      <c r="D123" s="181"/>
      <c r="E123" s="181"/>
      <c r="F123" s="181"/>
      <c r="G123" s="161"/>
      <c r="H123" s="182"/>
      <c r="I123" s="180" t="s">
        <v>132</v>
      </c>
      <c r="J123" s="183">
        <v>50.0</v>
      </c>
      <c r="K123" s="156"/>
      <c r="L123" s="1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</row>
    <row r="124">
      <c r="A124" s="156"/>
      <c r="B124" s="156"/>
      <c r="C124" s="180">
        <v>45487.0</v>
      </c>
      <c r="D124" s="181"/>
      <c r="E124" s="181"/>
      <c r="F124" s="181"/>
      <c r="G124" s="161"/>
      <c r="H124" s="161"/>
      <c r="I124" s="161"/>
      <c r="J124" s="161"/>
      <c r="K124" s="156"/>
      <c r="L124" s="1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</row>
    <row r="125">
      <c r="A125" s="156"/>
      <c r="B125" s="156"/>
      <c r="C125" s="180">
        <v>45488.0</v>
      </c>
      <c r="D125" s="191"/>
      <c r="E125" s="181"/>
      <c r="F125" s="181"/>
      <c r="G125" s="161"/>
      <c r="H125" s="161"/>
      <c r="I125" s="161"/>
      <c r="J125" s="161"/>
      <c r="K125" s="156"/>
      <c r="L125" s="1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</row>
    <row r="126">
      <c r="A126" s="156"/>
      <c r="B126" s="156"/>
      <c r="C126" s="180">
        <v>45489.0</v>
      </c>
      <c r="D126" s="191"/>
      <c r="E126" s="181"/>
      <c r="F126" s="191"/>
      <c r="G126" s="161"/>
      <c r="H126" s="161"/>
      <c r="I126" s="161"/>
      <c r="J126" s="161"/>
      <c r="K126" s="156"/>
      <c r="L126" s="1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</row>
    <row r="127">
      <c r="A127" s="156"/>
      <c r="B127" s="156"/>
      <c r="C127" s="192" t="s">
        <v>133</v>
      </c>
      <c r="D127" s="193" t="str">
        <f t="shared" ref="D127:F127" si="20">AVERAGE(D120:D126)</f>
        <v>#DIV/0!</v>
      </c>
      <c r="E127" s="193" t="str">
        <f t="shared" si="20"/>
        <v>#DIV/0!</v>
      </c>
      <c r="F127" s="193" t="str">
        <f t="shared" si="20"/>
        <v>#DIV/0!</v>
      </c>
      <c r="G127" s="161"/>
      <c r="H127" s="161"/>
      <c r="I127" s="161"/>
      <c r="J127" s="161"/>
      <c r="K127" s="156"/>
      <c r="L127" s="1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</row>
    <row r="128">
      <c r="A128" s="156"/>
      <c r="B128" s="156"/>
      <c r="C128" s="162"/>
      <c r="D128" s="162"/>
      <c r="E128" s="162"/>
      <c r="F128" s="162"/>
      <c r="G128" s="161"/>
      <c r="H128" s="161"/>
      <c r="I128" s="161"/>
      <c r="J128" s="161"/>
      <c r="K128" s="156"/>
      <c r="L128" s="1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</row>
    <row r="129">
      <c r="A129" s="156"/>
      <c r="B129" s="156"/>
      <c r="C129" s="176" t="s">
        <v>134</v>
      </c>
      <c r="D129" s="41"/>
      <c r="E129" s="41"/>
      <c r="F129" s="41"/>
      <c r="G129" s="23"/>
      <c r="H129" s="195"/>
      <c r="I129" s="195"/>
      <c r="J129" s="195"/>
      <c r="K129" s="156"/>
      <c r="L129" s="1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</row>
    <row r="130">
      <c r="A130" s="156"/>
      <c r="B130" s="156"/>
      <c r="C130" s="180" t="s">
        <v>118</v>
      </c>
      <c r="D130" s="180" t="s">
        <v>135</v>
      </c>
      <c r="E130" s="180" t="s">
        <v>120</v>
      </c>
      <c r="F130" s="180" t="s">
        <v>121</v>
      </c>
      <c r="G130" s="180" t="s">
        <v>122</v>
      </c>
      <c r="H130" s="195"/>
      <c r="I130" s="195"/>
      <c r="J130" s="195"/>
      <c r="K130" s="156"/>
      <c r="L130" s="1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</row>
    <row r="131">
      <c r="A131" s="156"/>
      <c r="B131" s="156"/>
      <c r="C131" s="196"/>
      <c r="D131" s="196"/>
      <c r="E131" s="196"/>
      <c r="F131" s="196"/>
      <c r="G131" s="196"/>
      <c r="H131" s="195"/>
      <c r="I131" s="195"/>
      <c r="J131" s="195"/>
      <c r="K131" s="156"/>
      <c r="L131" s="1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</row>
    <row r="132">
      <c r="A132" s="156"/>
      <c r="B132" s="156"/>
      <c r="C132" s="156"/>
      <c r="D132" s="156"/>
      <c r="E132" s="156"/>
      <c r="F132" s="156"/>
      <c r="G132" s="156"/>
      <c r="H132" s="195"/>
      <c r="I132" s="195"/>
      <c r="J132" s="195"/>
      <c r="K132" s="156"/>
      <c r="L132" s="1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</row>
    <row r="133">
      <c r="A133" s="156"/>
      <c r="B133" s="156"/>
      <c r="C133" s="156"/>
      <c r="D133" s="156"/>
      <c r="E133" s="156"/>
      <c r="F133" s="156"/>
      <c r="G133" s="156"/>
      <c r="H133" s="195"/>
      <c r="I133" s="195"/>
      <c r="J133" s="195"/>
      <c r="K133" s="156"/>
      <c r="L133" s="1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</row>
    <row r="134">
      <c r="A134" s="156"/>
      <c r="B134" s="156"/>
      <c r="C134" s="156"/>
      <c r="D134" s="156"/>
      <c r="E134" s="156"/>
      <c r="F134" s="156"/>
      <c r="G134" s="156"/>
      <c r="H134" s="195"/>
      <c r="I134" s="195"/>
      <c r="J134" s="195"/>
      <c r="K134" s="156"/>
      <c r="L134" s="1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</row>
    <row r="135" ht="31.5" customHeight="1">
      <c r="A135" s="156"/>
      <c r="B135" s="156"/>
      <c r="C135" s="162"/>
      <c r="D135" s="200" t="s">
        <v>143</v>
      </c>
      <c r="E135" s="23"/>
      <c r="F135" s="162"/>
      <c r="G135" s="161"/>
      <c r="H135" s="161"/>
      <c r="I135" s="161"/>
      <c r="J135" s="161"/>
      <c r="K135" s="156"/>
      <c r="L135" s="1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</row>
    <row r="136">
      <c r="A136" s="156"/>
      <c r="B136" s="156"/>
      <c r="C136" s="173" t="s">
        <v>123</v>
      </c>
      <c r="D136" s="173" t="s">
        <v>124</v>
      </c>
      <c r="E136" s="173" t="s">
        <v>125</v>
      </c>
      <c r="F136" s="173" t="s">
        <v>126</v>
      </c>
      <c r="G136" s="161"/>
      <c r="H136" s="175"/>
      <c r="I136" s="176" t="s">
        <v>127</v>
      </c>
      <c r="J136" s="23"/>
      <c r="K136" s="156"/>
      <c r="L136" s="1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</row>
    <row r="137">
      <c r="A137" s="156"/>
      <c r="B137" s="156"/>
      <c r="C137" s="180">
        <v>45483.0</v>
      </c>
      <c r="D137" s="181"/>
      <c r="E137" s="181"/>
      <c r="F137" s="181"/>
      <c r="G137" s="161"/>
      <c r="H137" s="182"/>
      <c r="I137" s="180" t="s">
        <v>129</v>
      </c>
      <c r="J137" s="183">
        <v>1530.0</v>
      </c>
      <c r="K137" s="156"/>
      <c r="L137" s="1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</row>
    <row r="138">
      <c r="A138" s="156"/>
      <c r="B138" s="156"/>
      <c r="C138" s="180">
        <v>45484.0</v>
      </c>
      <c r="D138" s="181"/>
      <c r="E138" s="181"/>
      <c r="F138" s="181"/>
      <c r="G138" s="161"/>
      <c r="H138" s="182"/>
      <c r="I138" s="180" t="s">
        <v>130</v>
      </c>
      <c r="J138" s="183">
        <v>120.0</v>
      </c>
      <c r="K138" s="156"/>
      <c r="L138" s="1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</row>
    <row r="139">
      <c r="A139" s="156"/>
      <c r="B139" s="156"/>
      <c r="C139" s="180">
        <v>45485.0</v>
      </c>
      <c r="D139" s="181"/>
      <c r="E139" s="181"/>
      <c r="F139" s="181"/>
      <c r="G139" s="161"/>
      <c r="H139" s="182"/>
      <c r="I139" s="180" t="s">
        <v>131</v>
      </c>
      <c r="J139" s="183">
        <v>150.0</v>
      </c>
      <c r="K139" s="156"/>
      <c r="L139" s="1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</row>
    <row r="140">
      <c r="A140" s="156"/>
      <c r="B140" s="156"/>
      <c r="C140" s="180">
        <v>45486.0</v>
      </c>
      <c r="D140" s="181"/>
      <c r="E140" s="181"/>
      <c r="F140" s="181"/>
      <c r="G140" s="161"/>
      <c r="H140" s="182"/>
      <c r="I140" s="180" t="s">
        <v>132</v>
      </c>
      <c r="J140" s="183">
        <v>50.0</v>
      </c>
      <c r="K140" s="156"/>
      <c r="L140" s="1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</row>
    <row r="141">
      <c r="A141" s="156"/>
      <c r="B141" s="156"/>
      <c r="C141" s="180">
        <v>45487.0</v>
      </c>
      <c r="D141" s="181"/>
      <c r="E141" s="181"/>
      <c r="F141" s="181"/>
      <c r="G141" s="161"/>
      <c r="H141" s="161"/>
      <c r="I141" s="161"/>
      <c r="J141" s="161"/>
      <c r="K141" s="156"/>
      <c r="L141" s="1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</row>
    <row r="142">
      <c r="A142" s="156"/>
      <c r="B142" s="156"/>
      <c r="C142" s="180">
        <v>45488.0</v>
      </c>
      <c r="D142" s="191"/>
      <c r="E142" s="181"/>
      <c r="F142" s="181"/>
      <c r="G142" s="161"/>
      <c r="H142" s="161"/>
      <c r="I142" s="161"/>
      <c r="J142" s="161"/>
      <c r="K142" s="156"/>
      <c r="L142" s="1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</row>
    <row r="143">
      <c r="A143" s="156"/>
      <c r="B143" s="156"/>
      <c r="C143" s="180">
        <v>45489.0</v>
      </c>
      <c r="D143" s="191"/>
      <c r="E143" s="181"/>
      <c r="F143" s="191"/>
      <c r="G143" s="161"/>
      <c r="H143" s="161"/>
      <c r="I143" s="161"/>
      <c r="J143" s="161"/>
      <c r="K143" s="156"/>
      <c r="L143" s="1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</row>
    <row r="144">
      <c r="A144" s="156"/>
      <c r="B144" s="156"/>
      <c r="C144" s="192" t="s">
        <v>133</v>
      </c>
      <c r="D144" s="193" t="str">
        <f t="shared" ref="D144:F144" si="21">AVERAGE(D137:D143)</f>
        <v>#DIV/0!</v>
      </c>
      <c r="E144" s="193" t="str">
        <f t="shared" si="21"/>
        <v>#DIV/0!</v>
      </c>
      <c r="F144" s="193" t="str">
        <f t="shared" si="21"/>
        <v>#DIV/0!</v>
      </c>
      <c r="G144" s="161"/>
      <c r="H144" s="161"/>
      <c r="I144" s="161"/>
      <c r="J144" s="161"/>
      <c r="K144" s="156"/>
      <c r="L144" s="1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</row>
    <row r="145">
      <c r="A145" s="156"/>
      <c r="B145" s="156"/>
      <c r="C145" s="162"/>
      <c r="D145" s="162"/>
      <c r="E145" s="162"/>
      <c r="F145" s="162"/>
      <c r="G145" s="161"/>
      <c r="H145" s="161"/>
      <c r="I145" s="161"/>
      <c r="J145" s="161"/>
      <c r="K145" s="156"/>
      <c r="L145" s="1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</row>
    <row r="146">
      <c r="A146" s="156"/>
      <c r="B146" s="156"/>
      <c r="C146" s="176" t="s">
        <v>134</v>
      </c>
      <c r="D146" s="41"/>
      <c r="E146" s="41"/>
      <c r="F146" s="41"/>
      <c r="G146" s="23"/>
      <c r="H146" s="195"/>
      <c r="I146" s="195"/>
      <c r="J146" s="195"/>
      <c r="K146" s="156"/>
      <c r="L146" s="1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</row>
    <row r="147">
      <c r="A147" s="156"/>
      <c r="B147" s="156"/>
      <c r="C147" s="180" t="s">
        <v>118</v>
      </c>
      <c r="D147" s="180" t="s">
        <v>135</v>
      </c>
      <c r="E147" s="180" t="s">
        <v>120</v>
      </c>
      <c r="F147" s="180" t="s">
        <v>121</v>
      </c>
      <c r="G147" s="180" t="s">
        <v>122</v>
      </c>
      <c r="H147" s="195"/>
      <c r="I147" s="195"/>
      <c r="J147" s="195"/>
      <c r="K147" s="156"/>
      <c r="L147" s="1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</row>
    <row r="148">
      <c r="A148" s="156"/>
      <c r="B148" s="156"/>
      <c r="C148" s="196"/>
      <c r="D148" s="196"/>
      <c r="E148" s="196"/>
      <c r="F148" s="196"/>
      <c r="G148" s="196"/>
      <c r="H148" s="195"/>
      <c r="I148" s="195"/>
      <c r="J148" s="195"/>
      <c r="K148" s="156"/>
      <c r="L148" s="1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</row>
    <row r="151" ht="28.5" customHeight="1">
      <c r="A151" s="156"/>
      <c r="B151" s="156"/>
      <c r="C151" s="162"/>
      <c r="D151" s="200" t="s">
        <v>144</v>
      </c>
      <c r="E151" s="23"/>
      <c r="F151" s="162"/>
      <c r="G151" s="161"/>
      <c r="H151" s="161"/>
      <c r="I151" s="161"/>
      <c r="J151" s="161"/>
      <c r="K151" s="156"/>
      <c r="L151" s="1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</row>
    <row r="152">
      <c r="A152" s="156"/>
      <c r="B152" s="156"/>
      <c r="C152" s="173" t="s">
        <v>123</v>
      </c>
      <c r="D152" s="173" t="s">
        <v>124</v>
      </c>
      <c r="E152" s="173" t="s">
        <v>125</v>
      </c>
      <c r="F152" s="173" t="s">
        <v>126</v>
      </c>
      <c r="G152" s="161"/>
      <c r="H152" s="175"/>
      <c r="I152" s="176" t="s">
        <v>127</v>
      </c>
      <c r="J152" s="23"/>
      <c r="K152" s="156"/>
      <c r="L152" s="1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</row>
    <row r="153">
      <c r="A153" s="156"/>
      <c r="B153" s="156"/>
      <c r="C153" s="180">
        <v>45483.0</v>
      </c>
      <c r="D153" s="181"/>
      <c r="E153" s="181"/>
      <c r="F153" s="181"/>
      <c r="G153" s="161"/>
      <c r="H153" s="182"/>
      <c r="I153" s="180" t="s">
        <v>129</v>
      </c>
      <c r="J153" s="183">
        <v>1530.0</v>
      </c>
      <c r="K153" s="156"/>
      <c r="L153" s="1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</row>
    <row r="154">
      <c r="A154" s="156"/>
      <c r="B154" s="156"/>
      <c r="C154" s="180">
        <v>45484.0</v>
      </c>
      <c r="D154" s="181"/>
      <c r="E154" s="181"/>
      <c r="F154" s="181"/>
      <c r="G154" s="161"/>
      <c r="H154" s="182"/>
      <c r="I154" s="180" t="s">
        <v>130</v>
      </c>
      <c r="J154" s="183">
        <v>120.0</v>
      </c>
      <c r="K154" s="156"/>
      <c r="L154" s="1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</row>
    <row r="155">
      <c r="A155" s="156"/>
      <c r="B155" s="156"/>
      <c r="C155" s="180">
        <v>45485.0</v>
      </c>
      <c r="D155" s="181"/>
      <c r="E155" s="181"/>
      <c r="F155" s="181"/>
      <c r="G155" s="161"/>
      <c r="H155" s="182"/>
      <c r="I155" s="180" t="s">
        <v>131</v>
      </c>
      <c r="J155" s="183">
        <v>150.0</v>
      </c>
      <c r="K155" s="156"/>
      <c r="L155" s="1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</row>
    <row r="156">
      <c r="A156" s="156"/>
      <c r="B156" s="156"/>
      <c r="C156" s="180">
        <v>45486.0</v>
      </c>
      <c r="D156" s="181"/>
      <c r="E156" s="181"/>
      <c r="F156" s="181"/>
      <c r="G156" s="161"/>
      <c r="H156" s="182"/>
      <c r="I156" s="180" t="s">
        <v>132</v>
      </c>
      <c r="J156" s="183">
        <v>50.0</v>
      </c>
      <c r="K156" s="156"/>
      <c r="L156" s="1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</row>
    <row r="157">
      <c r="A157" s="156"/>
      <c r="B157" s="156"/>
      <c r="C157" s="180">
        <v>45487.0</v>
      </c>
      <c r="D157" s="181"/>
      <c r="E157" s="181"/>
      <c r="F157" s="181"/>
      <c r="G157" s="161"/>
      <c r="H157" s="161"/>
      <c r="I157" s="161"/>
      <c r="J157" s="161"/>
      <c r="K157" s="156"/>
      <c r="L157" s="1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</row>
    <row r="158">
      <c r="A158" s="156"/>
      <c r="B158" s="156"/>
      <c r="C158" s="180">
        <v>45488.0</v>
      </c>
      <c r="D158" s="191"/>
      <c r="E158" s="181"/>
      <c r="F158" s="181"/>
      <c r="G158" s="161"/>
      <c r="H158" s="161"/>
      <c r="I158" s="161"/>
      <c r="J158" s="161"/>
      <c r="K158" s="156"/>
      <c r="L158" s="1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</row>
    <row r="159">
      <c r="A159" s="156"/>
      <c r="B159" s="156"/>
      <c r="C159" s="180">
        <v>45489.0</v>
      </c>
      <c r="D159" s="191"/>
      <c r="E159" s="181"/>
      <c r="F159" s="191"/>
      <c r="G159" s="161"/>
      <c r="H159" s="161"/>
      <c r="I159" s="161"/>
      <c r="J159" s="161"/>
      <c r="K159" s="156"/>
      <c r="L159" s="1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</row>
    <row r="160">
      <c r="A160" s="156"/>
      <c r="B160" s="156"/>
      <c r="C160" s="192" t="s">
        <v>133</v>
      </c>
      <c r="D160" s="193" t="str">
        <f t="shared" ref="D160:F160" si="22">AVERAGE(D153:D159)</f>
        <v>#DIV/0!</v>
      </c>
      <c r="E160" s="193" t="str">
        <f t="shared" si="22"/>
        <v>#DIV/0!</v>
      </c>
      <c r="F160" s="193" t="str">
        <f t="shared" si="22"/>
        <v>#DIV/0!</v>
      </c>
      <c r="G160" s="161"/>
      <c r="H160" s="161"/>
      <c r="I160" s="161"/>
      <c r="J160" s="161"/>
      <c r="K160" s="156"/>
      <c r="L160" s="1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</row>
    <row r="161">
      <c r="A161" s="156"/>
      <c r="B161" s="156"/>
      <c r="C161" s="162"/>
      <c r="D161" s="162"/>
      <c r="E161" s="162"/>
      <c r="F161" s="162"/>
      <c r="G161" s="161"/>
      <c r="H161" s="161"/>
      <c r="I161" s="161"/>
      <c r="J161" s="161"/>
      <c r="K161" s="156"/>
      <c r="L161" s="1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</row>
    <row r="162">
      <c r="A162" s="156"/>
      <c r="B162" s="156"/>
      <c r="C162" s="176" t="s">
        <v>134</v>
      </c>
      <c r="D162" s="41"/>
      <c r="E162" s="41"/>
      <c r="F162" s="41"/>
      <c r="G162" s="23"/>
      <c r="H162" s="195"/>
      <c r="I162" s="195"/>
      <c r="J162" s="195"/>
      <c r="K162" s="156"/>
      <c r="L162" s="1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</row>
    <row r="163">
      <c r="A163" s="156"/>
      <c r="B163" s="156"/>
      <c r="C163" s="180" t="s">
        <v>118</v>
      </c>
      <c r="D163" s="180" t="s">
        <v>135</v>
      </c>
      <c r="E163" s="180" t="s">
        <v>120</v>
      </c>
      <c r="F163" s="180" t="s">
        <v>121</v>
      </c>
      <c r="G163" s="180" t="s">
        <v>122</v>
      </c>
      <c r="H163" s="195"/>
      <c r="I163" s="195"/>
      <c r="J163" s="195"/>
      <c r="K163" s="156"/>
      <c r="L163" s="1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</row>
    <row r="164">
      <c r="A164" s="156"/>
      <c r="B164" s="156"/>
      <c r="C164" s="196"/>
      <c r="D164" s="196"/>
      <c r="E164" s="196"/>
      <c r="F164" s="196"/>
      <c r="G164" s="196"/>
      <c r="H164" s="195"/>
      <c r="I164" s="195"/>
      <c r="J164" s="195"/>
      <c r="K164" s="156"/>
      <c r="L164" s="1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</row>
    <row r="165">
      <c r="A165" s="156"/>
      <c r="B165" s="156"/>
      <c r="C165" s="156"/>
      <c r="D165" s="156"/>
      <c r="E165" s="156"/>
      <c r="F165" s="156"/>
      <c r="G165" s="156"/>
      <c r="H165" s="195"/>
      <c r="I165" s="195"/>
      <c r="J165" s="195"/>
      <c r="K165" s="156"/>
      <c r="L165" s="1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</row>
    <row r="166">
      <c r="A166" s="156"/>
      <c r="B166" s="156"/>
      <c r="C166" s="156"/>
      <c r="D166" s="156"/>
      <c r="E166" s="156"/>
      <c r="F166" s="156"/>
      <c r="G166" s="156"/>
      <c r="H166" s="195"/>
      <c r="I166" s="195"/>
      <c r="J166" s="195"/>
      <c r="K166" s="156"/>
      <c r="L166" s="1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</row>
    <row r="167" ht="31.5" customHeight="1">
      <c r="A167" s="156"/>
      <c r="B167" s="156"/>
      <c r="C167" s="162"/>
      <c r="D167" s="200" t="s">
        <v>145</v>
      </c>
      <c r="E167" s="23"/>
      <c r="F167" s="162"/>
      <c r="G167" s="161"/>
      <c r="H167" s="161"/>
      <c r="I167" s="161"/>
      <c r="J167" s="161"/>
      <c r="K167" s="156"/>
      <c r="L167" s="1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</row>
    <row r="168">
      <c r="A168" s="156"/>
      <c r="B168" s="156"/>
      <c r="C168" s="173" t="s">
        <v>123</v>
      </c>
      <c r="D168" s="173" t="s">
        <v>124</v>
      </c>
      <c r="E168" s="173" t="s">
        <v>125</v>
      </c>
      <c r="F168" s="173" t="s">
        <v>126</v>
      </c>
      <c r="G168" s="161"/>
      <c r="H168" s="175"/>
      <c r="I168" s="176" t="s">
        <v>127</v>
      </c>
      <c r="J168" s="23"/>
      <c r="K168" s="156"/>
      <c r="L168" s="1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</row>
    <row r="169">
      <c r="A169" s="156"/>
      <c r="B169" s="156"/>
      <c r="C169" s="180">
        <v>45483.0</v>
      </c>
      <c r="D169" s="181"/>
      <c r="E169" s="181"/>
      <c r="F169" s="181"/>
      <c r="G169" s="161"/>
      <c r="H169" s="182"/>
      <c r="I169" s="180" t="s">
        <v>129</v>
      </c>
      <c r="J169" s="183">
        <v>1530.0</v>
      </c>
      <c r="K169" s="156"/>
      <c r="L169" s="1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</row>
    <row r="170">
      <c r="A170" s="156"/>
      <c r="B170" s="156"/>
      <c r="C170" s="180">
        <v>45484.0</v>
      </c>
      <c r="D170" s="181"/>
      <c r="E170" s="181"/>
      <c r="F170" s="181"/>
      <c r="G170" s="161"/>
      <c r="H170" s="182"/>
      <c r="I170" s="180" t="s">
        <v>130</v>
      </c>
      <c r="J170" s="183">
        <v>120.0</v>
      </c>
      <c r="K170" s="156"/>
      <c r="L170" s="1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</row>
    <row r="171">
      <c r="A171" s="156"/>
      <c r="B171" s="156"/>
      <c r="C171" s="180">
        <v>45485.0</v>
      </c>
      <c r="D171" s="181"/>
      <c r="E171" s="181"/>
      <c r="F171" s="181"/>
      <c r="G171" s="161"/>
      <c r="H171" s="182"/>
      <c r="I171" s="180" t="s">
        <v>131</v>
      </c>
      <c r="J171" s="183">
        <v>150.0</v>
      </c>
      <c r="K171" s="156"/>
      <c r="L171" s="1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</row>
    <row r="172">
      <c r="A172" s="156"/>
      <c r="B172" s="156"/>
      <c r="C172" s="180">
        <v>45486.0</v>
      </c>
      <c r="D172" s="181"/>
      <c r="E172" s="181"/>
      <c r="F172" s="181"/>
      <c r="G172" s="161"/>
      <c r="H172" s="182"/>
      <c r="I172" s="180" t="s">
        <v>132</v>
      </c>
      <c r="J172" s="183">
        <v>50.0</v>
      </c>
      <c r="K172" s="156"/>
      <c r="L172" s="1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</row>
    <row r="173">
      <c r="A173" s="156"/>
      <c r="B173" s="156"/>
      <c r="C173" s="180">
        <v>45487.0</v>
      </c>
      <c r="D173" s="181"/>
      <c r="E173" s="181"/>
      <c r="F173" s="181"/>
      <c r="G173" s="161"/>
      <c r="H173" s="161"/>
      <c r="I173" s="161"/>
      <c r="J173" s="161"/>
      <c r="K173" s="156"/>
      <c r="L173" s="1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</row>
    <row r="174">
      <c r="A174" s="156"/>
      <c r="B174" s="156"/>
      <c r="C174" s="180">
        <v>45488.0</v>
      </c>
      <c r="D174" s="191"/>
      <c r="E174" s="181"/>
      <c r="F174" s="181"/>
      <c r="G174" s="161"/>
      <c r="H174" s="161"/>
      <c r="I174" s="161"/>
      <c r="J174" s="161"/>
      <c r="K174" s="156"/>
      <c r="L174" s="1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</row>
    <row r="175">
      <c r="A175" s="156"/>
      <c r="B175" s="156"/>
      <c r="C175" s="180">
        <v>45489.0</v>
      </c>
      <c r="D175" s="191"/>
      <c r="E175" s="181"/>
      <c r="F175" s="191"/>
      <c r="G175" s="161"/>
      <c r="H175" s="161"/>
      <c r="I175" s="161"/>
      <c r="J175" s="161"/>
      <c r="K175" s="156"/>
      <c r="L175" s="1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</row>
    <row r="176">
      <c r="A176" s="156"/>
      <c r="B176" s="156"/>
      <c r="C176" s="192" t="s">
        <v>133</v>
      </c>
      <c r="D176" s="193" t="str">
        <f t="shared" ref="D176:F176" si="23">AVERAGE(D169:D175)</f>
        <v>#DIV/0!</v>
      </c>
      <c r="E176" s="193" t="str">
        <f t="shared" si="23"/>
        <v>#DIV/0!</v>
      </c>
      <c r="F176" s="193" t="str">
        <f t="shared" si="23"/>
        <v>#DIV/0!</v>
      </c>
      <c r="G176" s="161"/>
      <c r="H176" s="161"/>
      <c r="I176" s="161"/>
      <c r="J176" s="161"/>
      <c r="K176" s="156"/>
      <c r="L176" s="1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</row>
    <row r="177">
      <c r="A177" s="156"/>
      <c r="B177" s="156"/>
      <c r="C177" s="162"/>
      <c r="D177" s="162"/>
      <c r="E177" s="162"/>
      <c r="F177" s="162"/>
      <c r="G177" s="161"/>
      <c r="H177" s="161"/>
      <c r="I177" s="161"/>
      <c r="J177" s="161"/>
      <c r="K177" s="156"/>
      <c r="L177" s="1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</row>
    <row r="178">
      <c r="A178" s="156"/>
      <c r="B178" s="156"/>
      <c r="C178" s="176" t="s">
        <v>134</v>
      </c>
      <c r="D178" s="41"/>
      <c r="E178" s="41"/>
      <c r="F178" s="41"/>
      <c r="G178" s="23"/>
      <c r="H178" s="195"/>
      <c r="I178" s="195"/>
      <c r="J178" s="195"/>
      <c r="K178" s="156"/>
      <c r="L178" s="1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</row>
    <row r="179">
      <c r="A179" s="156"/>
      <c r="B179" s="156"/>
      <c r="C179" s="180" t="s">
        <v>118</v>
      </c>
      <c r="D179" s="180" t="s">
        <v>135</v>
      </c>
      <c r="E179" s="180" t="s">
        <v>120</v>
      </c>
      <c r="F179" s="180" t="s">
        <v>121</v>
      </c>
      <c r="G179" s="180" t="s">
        <v>122</v>
      </c>
      <c r="H179" s="195"/>
      <c r="I179" s="195"/>
      <c r="J179" s="195"/>
      <c r="K179" s="156"/>
      <c r="L179" s="1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</row>
    <row r="180">
      <c r="A180" s="156"/>
      <c r="B180" s="156"/>
      <c r="C180" s="196"/>
      <c r="D180" s="196"/>
      <c r="E180" s="196"/>
      <c r="F180" s="196"/>
      <c r="G180" s="196"/>
      <c r="H180" s="195"/>
      <c r="I180" s="195"/>
      <c r="J180" s="195"/>
      <c r="K180" s="156"/>
      <c r="L180" s="1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</row>
    <row r="181">
      <c r="A181" s="156"/>
      <c r="B181" s="156"/>
      <c r="C181" s="156"/>
      <c r="D181" s="156"/>
      <c r="E181" s="156"/>
      <c r="F181" s="156"/>
      <c r="G181" s="156"/>
      <c r="H181" s="195"/>
      <c r="I181" s="195"/>
      <c r="J181" s="195"/>
      <c r="K181" s="156"/>
      <c r="L181" s="1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</row>
    <row r="182">
      <c r="A182" s="156"/>
      <c r="B182" s="156"/>
      <c r="C182" s="156"/>
      <c r="D182" s="156"/>
      <c r="E182" s="156"/>
      <c r="F182" s="156"/>
      <c r="G182" s="156"/>
      <c r="H182" s="195"/>
      <c r="I182" s="195"/>
      <c r="J182" s="195"/>
      <c r="K182" s="156"/>
      <c r="L182" s="1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</row>
    <row r="183" ht="30.0" customHeight="1">
      <c r="A183" s="156"/>
      <c r="B183" s="156"/>
      <c r="C183" s="162"/>
      <c r="D183" s="200" t="s">
        <v>146</v>
      </c>
      <c r="E183" s="23"/>
      <c r="F183" s="162"/>
      <c r="G183" s="161"/>
      <c r="H183" s="161"/>
      <c r="I183" s="161"/>
      <c r="J183" s="161"/>
      <c r="K183" s="156"/>
      <c r="L183" s="1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</row>
    <row r="184">
      <c r="A184" s="156"/>
      <c r="B184" s="156"/>
      <c r="C184" s="173" t="s">
        <v>123</v>
      </c>
      <c r="D184" s="173" t="s">
        <v>124</v>
      </c>
      <c r="E184" s="173" t="s">
        <v>125</v>
      </c>
      <c r="F184" s="173" t="s">
        <v>126</v>
      </c>
      <c r="G184" s="161"/>
      <c r="H184" s="175"/>
      <c r="I184" s="176" t="s">
        <v>127</v>
      </c>
      <c r="J184" s="23"/>
      <c r="K184" s="156"/>
      <c r="L184" s="1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</row>
    <row r="185">
      <c r="A185" s="156"/>
      <c r="B185" s="156"/>
      <c r="C185" s="180">
        <v>45483.0</v>
      </c>
      <c r="D185" s="181"/>
      <c r="E185" s="181"/>
      <c r="F185" s="181"/>
      <c r="G185" s="161"/>
      <c r="H185" s="182"/>
      <c r="I185" s="180" t="s">
        <v>129</v>
      </c>
      <c r="J185" s="183">
        <v>1530.0</v>
      </c>
      <c r="K185" s="156"/>
      <c r="L185" s="1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</row>
    <row r="186">
      <c r="A186" s="156"/>
      <c r="B186" s="156"/>
      <c r="C186" s="180">
        <v>45484.0</v>
      </c>
      <c r="D186" s="181"/>
      <c r="E186" s="181"/>
      <c r="F186" s="181"/>
      <c r="G186" s="161"/>
      <c r="H186" s="182"/>
      <c r="I186" s="180" t="s">
        <v>130</v>
      </c>
      <c r="J186" s="183">
        <v>120.0</v>
      </c>
      <c r="K186" s="156"/>
      <c r="L186" s="1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</row>
    <row r="187">
      <c r="A187" s="156"/>
      <c r="B187" s="156"/>
      <c r="C187" s="180">
        <v>45485.0</v>
      </c>
      <c r="D187" s="181"/>
      <c r="E187" s="181"/>
      <c r="F187" s="181"/>
      <c r="G187" s="161"/>
      <c r="H187" s="182"/>
      <c r="I187" s="180" t="s">
        <v>131</v>
      </c>
      <c r="J187" s="183">
        <v>150.0</v>
      </c>
      <c r="K187" s="156"/>
      <c r="L187" s="1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</row>
    <row r="188">
      <c r="A188" s="156"/>
      <c r="B188" s="156"/>
      <c r="C188" s="180">
        <v>45486.0</v>
      </c>
      <c r="D188" s="181"/>
      <c r="E188" s="181"/>
      <c r="F188" s="181"/>
      <c r="G188" s="161"/>
      <c r="H188" s="182"/>
      <c r="I188" s="180" t="s">
        <v>132</v>
      </c>
      <c r="J188" s="183">
        <v>50.0</v>
      </c>
      <c r="K188" s="156"/>
      <c r="L188" s="1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</row>
    <row r="189">
      <c r="A189" s="156"/>
      <c r="B189" s="156"/>
      <c r="C189" s="180">
        <v>45487.0</v>
      </c>
      <c r="D189" s="181"/>
      <c r="E189" s="181"/>
      <c r="F189" s="181"/>
      <c r="G189" s="161"/>
      <c r="H189" s="161"/>
      <c r="I189" s="161"/>
      <c r="J189" s="161"/>
      <c r="K189" s="156"/>
      <c r="L189" s="1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</row>
    <row r="190">
      <c r="A190" s="156"/>
      <c r="B190" s="156"/>
      <c r="C190" s="180">
        <v>45488.0</v>
      </c>
      <c r="D190" s="191"/>
      <c r="E190" s="181"/>
      <c r="F190" s="181"/>
      <c r="G190" s="161"/>
      <c r="H190" s="161"/>
      <c r="I190" s="161"/>
      <c r="J190" s="161"/>
      <c r="K190" s="156"/>
      <c r="L190" s="1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</row>
    <row r="191">
      <c r="A191" s="156"/>
      <c r="B191" s="156"/>
      <c r="C191" s="180">
        <v>45489.0</v>
      </c>
      <c r="D191" s="191"/>
      <c r="E191" s="181"/>
      <c r="F191" s="191"/>
      <c r="G191" s="161"/>
      <c r="H191" s="161"/>
      <c r="I191" s="161"/>
      <c r="J191" s="161"/>
      <c r="K191" s="156"/>
      <c r="L191" s="1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</row>
    <row r="192">
      <c r="A192" s="156"/>
      <c r="B192" s="156"/>
      <c r="C192" s="192" t="s">
        <v>133</v>
      </c>
      <c r="D192" s="193" t="str">
        <f t="shared" ref="D192:F192" si="24">AVERAGE(D185:D191)</f>
        <v>#DIV/0!</v>
      </c>
      <c r="E192" s="193" t="str">
        <f t="shared" si="24"/>
        <v>#DIV/0!</v>
      </c>
      <c r="F192" s="193" t="str">
        <f t="shared" si="24"/>
        <v>#DIV/0!</v>
      </c>
      <c r="G192" s="161"/>
      <c r="H192" s="161"/>
      <c r="I192" s="161"/>
      <c r="J192" s="161"/>
      <c r="K192" s="156"/>
      <c r="L192" s="1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</row>
    <row r="193">
      <c r="A193" s="156"/>
      <c r="B193" s="156"/>
      <c r="C193" s="162"/>
      <c r="D193" s="162"/>
      <c r="E193" s="162"/>
      <c r="F193" s="162"/>
      <c r="G193" s="161"/>
      <c r="H193" s="161"/>
      <c r="I193" s="161"/>
      <c r="J193" s="161"/>
      <c r="K193" s="156"/>
      <c r="L193" s="1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</row>
    <row r="194">
      <c r="A194" s="156"/>
      <c r="B194" s="156"/>
      <c r="C194" s="176" t="s">
        <v>134</v>
      </c>
      <c r="D194" s="41"/>
      <c r="E194" s="41"/>
      <c r="F194" s="41"/>
      <c r="G194" s="23"/>
      <c r="H194" s="195"/>
      <c r="I194" s="195"/>
      <c r="J194" s="195"/>
      <c r="K194" s="156"/>
      <c r="L194" s="1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</row>
    <row r="195">
      <c r="A195" s="156"/>
      <c r="B195" s="156"/>
      <c r="C195" s="180" t="s">
        <v>118</v>
      </c>
      <c r="D195" s="180" t="s">
        <v>135</v>
      </c>
      <c r="E195" s="180" t="s">
        <v>120</v>
      </c>
      <c r="F195" s="180" t="s">
        <v>121</v>
      </c>
      <c r="G195" s="180" t="s">
        <v>122</v>
      </c>
      <c r="H195" s="195"/>
      <c r="I195" s="195"/>
      <c r="J195" s="195"/>
      <c r="K195" s="156"/>
      <c r="L195" s="1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</row>
    <row r="196">
      <c r="A196" s="156"/>
      <c r="B196" s="156"/>
      <c r="C196" s="196"/>
      <c r="D196" s="196"/>
      <c r="E196" s="196"/>
      <c r="F196" s="196"/>
      <c r="G196" s="196"/>
      <c r="H196" s="195"/>
      <c r="I196" s="195"/>
      <c r="J196" s="195"/>
      <c r="K196" s="156"/>
      <c r="L196" s="1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</row>
    <row r="197">
      <c r="A197" s="156"/>
      <c r="B197" s="156"/>
      <c r="C197" s="156"/>
      <c r="D197" s="156"/>
      <c r="E197" s="156"/>
      <c r="F197" s="156"/>
      <c r="G197" s="156"/>
      <c r="H197" s="195"/>
      <c r="I197" s="195"/>
      <c r="J197" s="195"/>
      <c r="K197" s="156"/>
      <c r="L197" s="1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</row>
    <row r="198">
      <c r="A198" s="156"/>
      <c r="B198" s="156"/>
      <c r="C198" s="156"/>
      <c r="D198" s="156"/>
      <c r="E198" s="156"/>
      <c r="F198" s="156"/>
      <c r="G198" s="156"/>
      <c r="H198" s="195"/>
      <c r="I198" s="195"/>
      <c r="J198" s="195"/>
      <c r="K198" s="156"/>
      <c r="L198" s="1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</row>
    <row r="199" ht="25.5" customHeight="1">
      <c r="A199" s="156"/>
      <c r="B199" s="156"/>
      <c r="C199" s="162"/>
      <c r="D199" s="200" t="s">
        <v>147</v>
      </c>
      <c r="E199" s="23"/>
      <c r="F199" s="162"/>
      <c r="G199" s="161"/>
      <c r="H199" s="161"/>
      <c r="I199" s="161"/>
      <c r="J199" s="161"/>
      <c r="K199" s="156"/>
      <c r="L199" s="1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</row>
    <row r="200">
      <c r="A200" s="156"/>
      <c r="B200" s="156"/>
      <c r="C200" s="173" t="s">
        <v>123</v>
      </c>
      <c r="D200" s="173" t="s">
        <v>124</v>
      </c>
      <c r="E200" s="173" t="s">
        <v>125</v>
      </c>
      <c r="F200" s="173" t="s">
        <v>126</v>
      </c>
      <c r="G200" s="161"/>
      <c r="H200" s="175"/>
      <c r="I200" s="176" t="s">
        <v>127</v>
      </c>
      <c r="J200" s="23"/>
      <c r="K200" s="156"/>
      <c r="L200" s="1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</row>
    <row r="201">
      <c r="A201" s="156"/>
      <c r="B201" s="156"/>
      <c r="C201" s="180">
        <v>45483.0</v>
      </c>
      <c r="D201" s="181"/>
      <c r="E201" s="181"/>
      <c r="F201" s="181"/>
      <c r="G201" s="161"/>
      <c r="H201" s="182"/>
      <c r="I201" s="180" t="s">
        <v>129</v>
      </c>
      <c r="J201" s="183">
        <v>1530.0</v>
      </c>
      <c r="K201" s="156"/>
      <c r="L201" s="1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</row>
    <row r="202">
      <c r="A202" s="156"/>
      <c r="B202" s="156"/>
      <c r="C202" s="180">
        <v>45484.0</v>
      </c>
      <c r="D202" s="181"/>
      <c r="E202" s="181"/>
      <c r="F202" s="181"/>
      <c r="G202" s="161"/>
      <c r="H202" s="182"/>
      <c r="I202" s="180" t="s">
        <v>130</v>
      </c>
      <c r="J202" s="183">
        <v>120.0</v>
      </c>
      <c r="K202" s="156"/>
      <c r="L202" s="1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</row>
    <row r="203">
      <c r="A203" s="156"/>
      <c r="B203" s="156"/>
      <c r="C203" s="180">
        <v>45485.0</v>
      </c>
      <c r="D203" s="181"/>
      <c r="E203" s="181"/>
      <c r="F203" s="181"/>
      <c r="G203" s="161"/>
      <c r="H203" s="182"/>
      <c r="I203" s="180" t="s">
        <v>131</v>
      </c>
      <c r="J203" s="183">
        <v>150.0</v>
      </c>
      <c r="K203" s="156"/>
      <c r="L203" s="1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</row>
    <row r="204">
      <c r="A204" s="156"/>
      <c r="B204" s="156"/>
      <c r="C204" s="180">
        <v>45486.0</v>
      </c>
      <c r="D204" s="181"/>
      <c r="E204" s="181"/>
      <c r="F204" s="181"/>
      <c r="G204" s="161"/>
      <c r="H204" s="182"/>
      <c r="I204" s="180" t="s">
        <v>132</v>
      </c>
      <c r="J204" s="183">
        <v>50.0</v>
      </c>
      <c r="K204" s="156"/>
      <c r="L204" s="1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</row>
    <row r="205">
      <c r="A205" s="156"/>
      <c r="B205" s="156"/>
      <c r="C205" s="180">
        <v>45487.0</v>
      </c>
      <c r="D205" s="181"/>
      <c r="E205" s="181"/>
      <c r="F205" s="181"/>
      <c r="G205" s="161"/>
      <c r="H205" s="161"/>
      <c r="I205" s="161"/>
      <c r="J205" s="161"/>
      <c r="K205" s="156"/>
      <c r="L205" s="1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</row>
    <row r="206">
      <c r="A206" s="156"/>
      <c r="B206" s="156"/>
      <c r="C206" s="180">
        <v>45488.0</v>
      </c>
      <c r="D206" s="191"/>
      <c r="E206" s="181"/>
      <c r="F206" s="181"/>
      <c r="G206" s="161"/>
      <c r="H206" s="161"/>
      <c r="I206" s="161"/>
      <c r="J206" s="161"/>
      <c r="K206" s="156"/>
      <c r="L206" s="1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</row>
    <row r="207">
      <c r="A207" s="156"/>
      <c r="B207" s="156"/>
      <c r="C207" s="180">
        <v>45489.0</v>
      </c>
      <c r="D207" s="191"/>
      <c r="E207" s="181"/>
      <c r="F207" s="191"/>
      <c r="G207" s="161"/>
      <c r="H207" s="161"/>
      <c r="I207" s="161"/>
      <c r="J207" s="161"/>
      <c r="K207" s="156"/>
      <c r="L207" s="1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</row>
    <row r="208">
      <c r="A208" s="156"/>
      <c r="B208" s="156"/>
      <c r="C208" s="192" t="s">
        <v>133</v>
      </c>
      <c r="D208" s="193" t="str">
        <f t="shared" ref="D208:F208" si="25">AVERAGE(D201:D207)</f>
        <v>#DIV/0!</v>
      </c>
      <c r="E208" s="193" t="str">
        <f t="shared" si="25"/>
        <v>#DIV/0!</v>
      </c>
      <c r="F208" s="193" t="str">
        <f t="shared" si="25"/>
        <v>#DIV/0!</v>
      </c>
      <c r="G208" s="161"/>
      <c r="H208" s="161"/>
      <c r="I208" s="161"/>
      <c r="J208" s="161"/>
      <c r="K208" s="156"/>
      <c r="L208" s="1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</row>
    <row r="209">
      <c r="A209" s="156"/>
      <c r="B209" s="156"/>
      <c r="C209" s="162"/>
      <c r="D209" s="162"/>
      <c r="E209" s="162"/>
      <c r="F209" s="162"/>
      <c r="G209" s="161"/>
      <c r="H209" s="161"/>
      <c r="I209" s="161"/>
      <c r="J209" s="161"/>
      <c r="K209" s="156"/>
      <c r="L209" s="1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</row>
    <row r="210">
      <c r="A210" s="156"/>
      <c r="B210" s="156"/>
      <c r="C210" s="176" t="s">
        <v>134</v>
      </c>
      <c r="D210" s="41"/>
      <c r="E210" s="41"/>
      <c r="F210" s="41"/>
      <c r="G210" s="23"/>
      <c r="H210" s="195"/>
      <c r="I210" s="195"/>
      <c r="J210" s="195"/>
      <c r="K210" s="156"/>
      <c r="L210" s="1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</row>
    <row r="211">
      <c r="A211" s="156"/>
      <c r="B211" s="156"/>
      <c r="C211" s="180" t="s">
        <v>118</v>
      </c>
      <c r="D211" s="180" t="s">
        <v>135</v>
      </c>
      <c r="E211" s="180" t="s">
        <v>120</v>
      </c>
      <c r="F211" s="180" t="s">
        <v>121</v>
      </c>
      <c r="G211" s="180" t="s">
        <v>122</v>
      </c>
      <c r="H211" s="195"/>
      <c r="I211" s="195"/>
      <c r="J211" s="195"/>
      <c r="K211" s="156"/>
      <c r="L211" s="1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</row>
    <row r="212">
      <c r="A212" s="156"/>
      <c r="B212" s="156"/>
      <c r="C212" s="196"/>
      <c r="D212" s="196"/>
      <c r="E212" s="196"/>
      <c r="F212" s="196"/>
      <c r="G212" s="196"/>
      <c r="H212" s="195"/>
      <c r="I212" s="195"/>
      <c r="J212" s="195"/>
      <c r="K212" s="156"/>
      <c r="L212" s="1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  <c r="AD307" s="156"/>
      <c r="AE307" s="156"/>
      <c r="AF307" s="156"/>
      <c r="AG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  <c r="AD308" s="156"/>
      <c r="AE308" s="156"/>
      <c r="AF308" s="156"/>
      <c r="AG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/>
      <c r="AF309" s="156"/>
      <c r="AG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/>
      <c r="AF310" s="156"/>
      <c r="AG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  <c r="AD313" s="156"/>
      <c r="AE313" s="156"/>
      <c r="AF313" s="156"/>
      <c r="AG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  <c r="AD314" s="156"/>
      <c r="AE314" s="156"/>
      <c r="AF314" s="156"/>
      <c r="AG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  <c r="AD315" s="156"/>
      <c r="AE315" s="156"/>
      <c r="AF315" s="156"/>
      <c r="AG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  <c r="AD316" s="156"/>
      <c r="AE316" s="156"/>
      <c r="AF316" s="156"/>
      <c r="AG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  <c r="AD317" s="156"/>
      <c r="AE317" s="156"/>
      <c r="AF317" s="156"/>
      <c r="AG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  <c r="AD318" s="156"/>
      <c r="AE318" s="156"/>
      <c r="AF318" s="156"/>
      <c r="AG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  <c r="AD319" s="156"/>
      <c r="AE319" s="156"/>
      <c r="AF319" s="156"/>
      <c r="AG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  <c r="AD321" s="156"/>
      <c r="AE321" s="156"/>
      <c r="AF321" s="156"/>
      <c r="AG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  <c r="AD322" s="156"/>
      <c r="AE322" s="156"/>
      <c r="AF322" s="156"/>
      <c r="AG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/>
      <c r="AF323" s="156"/>
      <c r="AG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  <c r="AD324" s="156"/>
      <c r="AE324" s="156"/>
      <c r="AF324" s="156"/>
      <c r="AG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/>
      <c r="AF325" s="156"/>
      <c r="AG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  <c r="AD326" s="156"/>
      <c r="AE326" s="156"/>
      <c r="AF326" s="156"/>
      <c r="AG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56"/>
      <c r="AG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56"/>
      <c r="AG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  <c r="AD329" s="156"/>
      <c r="AE329" s="156"/>
      <c r="AF329" s="156"/>
      <c r="AG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  <c r="AD330" s="156"/>
      <c r="AE330" s="156"/>
      <c r="AF330" s="156"/>
      <c r="AG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  <c r="AD331" s="156"/>
      <c r="AE331" s="156"/>
      <c r="AF331" s="156"/>
      <c r="AG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  <c r="AD332" s="156"/>
      <c r="AE332" s="156"/>
      <c r="AF332" s="156"/>
      <c r="AG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  <c r="AD333" s="156"/>
      <c r="AE333" s="156"/>
      <c r="AF333" s="156"/>
      <c r="AG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  <c r="AD335" s="156"/>
      <c r="AE335" s="156"/>
      <c r="AF335" s="156"/>
      <c r="AG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  <c r="AD336" s="156"/>
      <c r="AE336" s="156"/>
      <c r="AF336" s="156"/>
      <c r="AG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  <c r="AD338" s="156"/>
      <c r="AE338" s="156"/>
      <c r="AF338" s="156"/>
      <c r="AG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  <c r="AD339" s="156"/>
      <c r="AE339" s="156"/>
      <c r="AF339" s="156"/>
      <c r="AG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  <c r="AD340" s="156"/>
      <c r="AE340" s="156"/>
      <c r="AF340" s="156"/>
      <c r="AG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  <c r="AD341" s="156"/>
      <c r="AE341" s="156"/>
      <c r="AF341" s="156"/>
      <c r="AG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  <c r="AD342" s="156"/>
      <c r="AE342" s="156"/>
      <c r="AF342" s="156"/>
      <c r="AG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56"/>
      <c r="AG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56"/>
      <c r="AG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  <c r="AD345" s="156"/>
      <c r="AE345" s="156"/>
      <c r="AF345" s="156"/>
      <c r="AG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  <c r="AD346" s="156"/>
      <c r="AE346" s="156"/>
      <c r="AF346" s="156"/>
      <c r="AG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  <c r="AD347" s="156"/>
      <c r="AE347" s="156"/>
      <c r="AF347" s="156"/>
      <c r="AG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  <c r="AD349" s="156"/>
      <c r="AE349" s="156"/>
      <c r="AF349" s="156"/>
      <c r="AG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  <c r="AD350" s="156"/>
      <c r="AE350" s="156"/>
      <c r="AF350" s="156"/>
      <c r="AG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  <c r="AD352" s="156"/>
      <c r="AE352" s="156"/>
      <c r="AF352" s="156"/>
      <c r="AG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  <c r="AD353" s="156"/>
      <c r="AE353" s="156"/>
      <c r="AF353" s="156"/>
      <c r="AG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  <c r="AD354" s="156"/>
      <c r="AE354" s="156"/>
      <c r="AF354" s="156"/>
      <c r="AG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  <c r="AD355" s="156"/>
      <c r="AE355" s="156"/>
      <c r="AF355" s="156"/>
      <c r="AG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  <c r="AD356" s="156"/>
      <c r="AE356" s="156"/>
      <c r="AF356" s="156"/>
      <c r="AG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  <c r="AD364" s="156"/>
      <c r="AE364" s="156"/>
      <c r="AF364" s="156"/>
      <c r="AG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  <c r="AD365" s="156"/>
      <c r="AE365" s="156"/>
      <c r="AF365" s="156"/>
      <c r="AG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  <c r="AD366" s="156"/>
      <c r="AE366" s="156"/>
      <c r="AF366" s="156"/>
      <c r="AG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  <c r="AD367" s="156"/>
      <c r="AE367" s="156"/>
      <c r="AF367" s="156"/>
      <c r="AG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  <c r="AD368" s="156"/>
      <c r="AE368" s="156"/>
      <c r="AF368" s="156"/>
      <c r="AG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  <c r="AD369" s="156"/>
      <c r="AE369" s="156"/>
      <c r="AF369" s="156"/>
      <c r="AG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  <c r="AD370" s="156"/>
      <c r="AE370" s="156"/>
      <c r="AF370" s="156"/>
      <c r="AG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  <c r="AD371" s="156"/>
      <c r="AE371" s="156"/>
      <c r="AF371" s="156"/>
      <c r="AG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  <c r="AD372" s="156"/>
      <c r="AE372" s="156"/>
      <c r="AF372" s="156"/>
      <c r="AG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  <c r="AD373" s="156"/>
      <c r="AE373" s="156"/>
      <c r="AF373" s="156"/>
      <c r="AG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  <c r="AD374" s="156"/>
      <c r="AE374" s="156"/>
      <c r="AF374" s="156"/>
      <c r="AG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  <c r="AD375" s="156"/>
      <c r="AE375" s="156"/>
      <c r="AF375" s="156"/>
      <c r="AG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  <c r="AD376" s="156"/>
      <c r="AE376" s="156"/>
      <c r="AF376" s="156"/>
      <c r="AG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6"/>
      <c r="AF377" s="156"/>
      <c r="AG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  <c r="AD378" s="156"/>
      <c r="AE378" s="156"/>
      <c r="AF378" s="156"/>
      <c r="AG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  <c r="AD379" s="156"/>
      <c r="AE379" s="156"/>
      <c r="AF379" s="156"/>
      <c r="AG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  <c r="AD380" s="156"/>
      <c r="AE380" s="156"/>
      <c r="AF380" s="156"/>
      <c r="AG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6"/>
      <c r="AF381" s="156"/>
      <c r="AG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  <c r="AD382" s="156"/>
      <c r="AE382" s="156"/>
      <c r="AF382" s="156"/>
      <c r="AG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  <c r="AD383" s="156"/>
      <c r="AE383" s="156"/>
      <c r="AF383" s="156"/>
      <c r="AG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  <c r="AD384" s="156"/>
      <c r="AE384" s="156"/>
      <c r="AF384" s="156"/>
      <c r="AG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  <c r="AD385" s="156"/>
      <c r="AE385" s="156"/>
      <c r="AF385" s="156"/>
      <c r="AG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  <c r="AD387" s="156"/>
      <c r="AE387" s="156"/>
      <c r="AF387" s="156"/>
      <c r="AG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  <c r="AD392" s="156"/>
      <c r="AE392" s="156"/>
      <c r="AF392" s="156"/>
      <c r="AG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  <c r="AD393" s="156"/>
      <c r="AE393" s="156"/>
      <c r="AF393" s="156"/>
      <c r="AG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  <c r="AD394" s="156"/>
      <c r="AE394" s="156"/>
      <c r="AF394" s="156"/>
      <c r="AG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  <c r="AD395" s="156"/>
      <c r="AE395" s="156"/>
      <c r="AF395" s="156"/>
      <c r="AG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  <c r="AD396" s="156"/>
      <c r="AE396" s="156"/>
      <c r="AF396" s="156"/>
      <c r="AG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  <c r="AD397" s="156"/>
      <c r="AE397" s="156"/>
      <c r="AF397" s="156"/>
      <c r="AG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  <c r="AD400" s="156"/>
      <c r="AE400" s="156"/>
      <c r="AF400" s="156"/>
      <c r="AG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  <c r="AD401" s="156"/>
      <c r="AE401" s="156"/>
      <c r="AF401" s="156"/>
      <c r="AG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156"/>
      <c r="AG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  <c r="AD404" s="156"/>
      <c r="AE404" s="156"/>
      <c r="AF404" s="156"/>
      <c r="AG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  <c r="AD405" s="156"/>
      <c r="AE405" s="156"/>
      <c r="AF405" s="156"/>
      <c r="AG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  <c r="AD406" s="156"/>
      <c r="AE406" s="156"/>
      <c r="AF406" s="156"/>
      <c r="AG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  <c r="AD407" s="156"/>
      <c r="AE407" s="156"/>
      <c r="AF407" s="156"/>
      <c r="AG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  <c r="AD408" s="156"/>
      <c r="AE408" s="156"/>
      <c r="AF408" s="156"/>
      <c r="AG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  <c r="AD409" s="156"/>
      <c r="AE409" s="156"/>
      <c r="AF409" s="156"/>
      <c r="AG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  <c r="AD410" s="156"/>
      <c r="AE410" s="156"/>
      <c r="AF410" s="156"/>
      <c r="AG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  <c r="AD411" s="156"/>
      <c r="AE411" s="156"/>
      <c r="AF411" s="156"/>
      <c r="AG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  <c r="AD412" s="156"/>
      <c r="AE412" s="156"/>
      <c r="AF412" s="156"/>
      <c r="AG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  <c r="AD413" s="156"/>
      <c r="AE413" s="156"/>
      <c r="AF413" s="156"/>
      <c r="AG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  <c r="AD414" s="156"/>
      <c r="AE414" s="156"/>
      <c r="AF414" s="156"/>
      <c r="AG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  <c r="AD415" s="156"/>
      <c r="AE415" s="156"/>
      <c r="AF415" s="156"/>
      <c r="AG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  <c r="AD416" s="156"/>
      <c r="AE416" s="156"/>
      <c r="AF416" s="156"/>
      <c r="AG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  <c r="AD417" s="156"/>
      <c r="AE417" s="156"/>
      <c r="AF417" s="156"/>
      <c r="AG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  <c r="AD418" s="156"/>
      <c r="AE418" s="156"/>
      <c r="AF418" s="156"/>
      <c r="AG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  <c r="AD419" s="156"/>
      <c r="AE419" s="156"/>
      <c r="AF419" s="156"/>
      <c r="AG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  <c r="AD420" s="156"/>
      <c r="AE420" s="156"/>
      <c r="AF420" s="156"/>
      <c r="AG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  <c r="AD421" s="156"/>
      <c r="AE421" s="156"/>
      <c r="AF421" s="156"/>
      <c r="AG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  <c r="AD422" s="156"/>
      <c r="AE422" s="156"/>
      <c r="AF422" s="156"/>
      <c r="AG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  <c r="AD424" s="156"/>
      <c r="AE424" s="156"/>
      <c r="AF424" s="156"/>
      <c r="AG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  <c r="AD425" s="156"/>
      <c r="AE425" s="156"/>
      <c r="AF425" s="156"/>
      <c r="AG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  <c r="AD426" s="156"/>
      <c r="AE426" s="156"/>
      <c r="AF426" s="156"/>
      <c r="AG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  <c r="AD428" s="156"/>
      <c r="AE428" s="156"/>
      <c r="AF428" s="156"/>
      <c r="AG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  <c r="AD429" s="156"/>
      <c r="AE429" s="156"/>
      <c r="AF429" s="156"/>
      <c r="AG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  <c r="AD430" s="156"/>
      <c r="AE430" s="156"/>
      <c r="AF430" s="156"/>
      <c r="AG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156"/>
      <c r="AG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156"/>
      <c r="AG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  <c r="AD433" s="156"/>
      <c r="AE433" s="156"/>
      <c r="AF433" s="156"/>
      <c r="AG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6"/>
      <c r="AF434" s="156"/>
      <c r="AG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  <c r="AD435" s="156"/>
      <c r="AE435" s="156"/>
      <c r="AF435" s="156"/>
      <c r="AG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  <c r="AD436" s="156"/>
      <c r="AE436" s="156"/>
      <c r="AF436" s="156"/>
      <c r="AG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  <c r="AD439" s="156"/>
      <c r="AE439" s="156"/>
      <c r="AF439" s="156"/>
      <c r="AG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  <c r="AD440" s="156"/>
      <c r="AE440" s="156"/>
      <c r="AF440" s="156"/>
      <c r="AG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  <c r="AD441" s="156"/>
      <c r="AE441" s="156"/>
      <c r="AF441" s="156"/>
      <c r="AG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  <c r="AD442" s="156"/>
      <c r="AE442" s="156"/>
      <c r="AF442" s="156"/>
      <c r="AG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  <c r="AD443" s="156"/>
      <c r="AE443" s="156"/>
      <c r="AF443" s="156"/>
      <c r="AG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  <c r="AD444" s="156"/>
      <c r="AE444" s="156"/>
      <c r="AF444" s="156"/>
      <c r="AG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  <c r="AD445" s="156"/>
      <c r="AE445" s="156"/>
      <c r="AF445" s="156"/>
      <c r="AG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  <c r="AD446" s="156"/>
      <c r="AE446" s="156"/>
      <c r="AF446" s="156"/>
      <c r="AG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  <c r="AD447" s="156"/>
      <c r="AE447" s="156"/>
      <c r="AF447" s="156"/>
      <c r="AG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  <c r="AD448" s="156"/>
      <c r="AE448" s="156"/>
      <c r="AF448" s="156"/>
      <c r="AG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  <c r="AD449" s="156"/>
      <c r="AE449" s="156"/>
      <c r="AF449" s="156"/>
      <c r="AG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  <c r="AD450" s="156"/>
      <c r="AE450" s="156"/>
      <c r="AF450" s="156"/>
      <c r="AG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  <c r="AD451" s="156"/>
      <c r="AE451" s="156"/>
      <c r="AF451" s="156"/>
      <c r="AG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  <c r="AD452" s="156"/>
      <c r="AE452" s="156"/>
      <c r="AF452" s="156"/>
      <c r="AG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  <c r="AD453" s="156"/>
      <c r="AE453" s="156"/>
      <c r="AF453" s="156"/>
      <c r="AG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  <c r="AD454" s="156"/>
      <c r="AE454" s="156"/>
      <c r="AF454" s="156"/>
      <c r="AG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  <c r="AD455" s="156"/>
      <c r="AE455" s="156"/>
      <c r="AF455" s="156"/>
      <c r="AG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  <c r="AD456" s="156"/>
      <c r="AE456" s="156"/>
      <c r="AF456" s="156"/>
      <c r="AG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  <c r="AD464" s="156"/>
      <c r="AE464" s="156"/>
      <c r="AF464" s="156"/>
      <c r="AG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  <c r="AD465" s="156"/>
      <c r="AE465" s="156"/>
      <c r="AF465" s="156"/>
      <c r="AG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  <c r="AD466" s="156"/>
      <c r="AE466" s="156"/>
      <c r="AF466" s="156"/>
      <c r="AG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  <c r="AD467" s="156"/>
      <c r="AE467" s="156"/>
      <c r="AF467" s="156"/>
      <c r="AG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  <c r="AD468" s="156"/>
      <c r="AE468" s="156"/>
      <c r="AF468" s="156"/>
      <c r="AG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  <c r="AD469" s="156"/>
      <c r="AE469" s="156"/>
      <c r="AF469" s="156"/>
      <c r="AG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  <c r="AD470" s="156"/>
      <c r="AE470" s="156"/>
      <c r="AF470" s="156"/>
      <c r="AG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  <c r="AD471" s="156"/>
      <c r="AE471" s="156"/>
      <c r="AF471" s="156"/>
      <c r="AG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  <c r="AD472" s="156"/>
      <c r="AE472" s="156"/>
      <c r="AF472" s="156"/>
      <c r="AG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  <c r="AD473" s="156"/>
      <c r="AE473" s="156"/>
      <c r="AF473" s="156"/>
      <c r="AG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  <c r="AD474" s="156"/>
      <c r="AE474" s="156"/>
      <c r="AF474" s="156"/>
      <c r="AG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  <c r="AD475" s="156"/>
      <c r="AE475" s="156"/>
      <c r="AF475" s="156"/>
      <c r="AG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  <c r="AD477" s="156"/>
      <c r="AE477" s="156"/>
      <c r="AF477" s="156"/>
      <c r="AG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  <c r="AD478" s="156"/>
      <c r="AE478" s="156"/>
      <c r="AF478" s="156"/>
      <c r="AG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  <c r="AD479" s="156"/>
      <c r="AE479" s="156"/>
      <c r="AF479" s="156"/>
      <c r="AG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  <c r="AD480" s="156"/>
      <c r="AE480" s="156"/>
      <c r="AF480" s="156"/>
      <c r="AG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  <c r="AD481" s="156"/>
      <c r="AE481" s="156"/>
      <c r="AF481" s="156"/>
      <c r="AG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  <c r="AD482" s="156"/>
      <c r="AE482" s="156"/>
      <c r="AF482" s="156"/>
      <c r="AG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  <c r="AD483" s="156"/>
      <c r="AE483" s="156"/>
      <c r="AF483" s="156"/>
      <c r="AG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  <c r="AD484" s="156"/>
      <c r="AE484" s="156"/>
      <c r="AF484" s="156"/>
      <c r="AG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  <c r="AD485" s="156"/>
      <c r="AE485" s="156"/>
      <c r="AF485" s="156"/>
      <c r="AG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  <c r="AD486" s="156"/>
      <c r="AE486" s="156"/>
      <c r="AF486" s="156"/>
      <c r="AG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6"/>
      <c r="AF487" s="156"/>
      <c r="AG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  <c r="AD488" s="156"/>
      <c r="AE488" s="156"/>
      <c r="AF488" s="156"/>
      <c r="AG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  <c r="AD489" s="156"/>
      <c r="AE489" s="156"/>
      <c r="AF489" s="156"/>
      <c r="AG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  <c r="AD491" s="156"/>
      <c r="AE491" s="156"/>
      <c r="AF491" s="156"/>
      <c r="AG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  <c r="AD492" s="156"/>
      <c r="AE492" s="156"/>
      <c r="AF492" s="156"/>
      <c r="AG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  <c r="AD493" s="156"/>
      <c r="AE493" s="156"/>
      <c r="AF493" s="156"/>
      <c r="AG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  <c r="AD494" s="156"/>
      <c r="AE494" s="156"/>
      <c r="AF494" s="156"/>
      <c r="AG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  <c r="AD495" s="156"/>
      <c r="AE495" s="156"/>
      <c r="AF495" s="156"/>
      <c r="AG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  <c r="AD496" s="156"/>
      <c r="AE496" s="156"/>
      <c r="AF496" s="156"/>
      <c r="AG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  <c r="AD497" s="156"/>
      <c r="AE497" s="156"/>
      <c r="AF497" s="156"/>
      <c r="AG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  <c r="AD498" s="156"/>
      <c r="AE498" s="156"/>
      <c r="AF498" s="156"/>
      <c r="AG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  <c r="AD499" s="156"/>
      <c r="AE499" s="156"/>
      <c r="AF499" s="156"/>
      <c r="AG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  <c r="AD500" s="156"/>
      <c r="AE500" s="156"/>
      <c r="AF500" s="156"/>
      <c r="AG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  <c r="AD501" s="156"/>
      <c r="AE501" s="156"/>
      <c r="AF501" s="156"/>
      <c r="AG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  <c r="AD502" s="156"/>
      <c r="AE502" s="156"/>
      <c r="AF502" s="156"/>
      <c r="AG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  <c r="AD503" s="156"/>
      <c r="AE503" s="156"/>
      <c r="AF503" s="156"/>
      <c r="AG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  <c r="AD504" s="156"/>
      <c r="AE504" s="156"/>
      <c r="AF504" s="156"/>
      <c r="AG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  <c r="AD505" s="156"/>
      <c r="AE505" s="156"/>
      <c r="AF505" s="156"/>
      <c r="AG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  <c r="AD506" s="156"/>
      <c r="AE506" s="156"/>
      <c r="AF506" s="156"/>
      <c r="AG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  <c r="AD507" s="156"/>
      <c r="AE507" s="156"/>
      <c r="AF507" s="156"/>
      <c r="AG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  <c r="AD508" s="156"/>
      <c r="AE508" s="156"/>
      <c r="AF508" s="156"/>
      <c r="AG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  <c r="AD509" s="156"/>
      <c r="AE509" s="156"/>
      <c r="AF509" s="156"/>
      <c r="AG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  <c r="AD510" s="156"/>
      <c r="AE510" s="156"/>
      <c r="AF510" s="156"/>
      <c r="AG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  <c r="AD511" s="156"/>
      <c r="AE511" s="156"/>
      <c r="AF511" s="156"/>
      <c r="AG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  <c r="AD512" s="156"/>
      <c r="AE512" s="156"/>
      <c r="AF512" s="156"/>
      <c r="AG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  <c r="AD513" s="156"/>
      <c r="AE513" s="156"/>
      <c r="AF513" s="156"/>
      <c r="AG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  <c r="AD514" s="156"/>
      <c r="AE514" s="156"/>
      <c r="AF514" s="156"/>
      <c r="AG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  <c r="AD516" s="156"/>
      <c r="AE516" s="156"/>
      <c r="AF516" s="156"/>
      <c r="AG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  <c r="AD517" s="156"/>
      <c r="AE517" s="156"/>
      <c r="AF517" s="156"/>
      <c r="AG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  <c r="AD518" s="156"/>
      <c r="AE518" s="156"/>
      <c r="AF518" s="156"/>
      <c r="AG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  <c r="AD519" s="156"/>
      <c r="AE519" s="156"/>
      <c r="AF519" s="156"/>
      <c r="AG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  <c r="AD520" s="156"/>
      <c r="AE520" s="156"/>
      <c r="AF520" s="156"/>
      <c r="AG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  <c r="AD521" s="156"/>
      <c r="AE521" s="156"/>
      <c r="AF521" s="156"/>
      <c r="AG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  <c r="AD522" s="156"/>
      <c r="AE522" s="156"/>
      <c r="AF522" s="156"/>
      <c r="AG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  <c r="AD523" s="156"/>
      <c r="AE523" s="156"/>
      <c r="AF523" s="156"/>
      <c r="AG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  <c r="AD524" s="156"/>
      <c r="AE524" s="156"/>
      <c r="AF524" s="156"/>
      <c r="AG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  <c r="AD929" s="156"/>
      <c r="AE929" s="156"/>
      <c r="AF929" s="156"/>
      <c r="AG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  <c r="AD930" s="156"/>
      <c r="AE930" s="156"/>
      <c r="AF930" s="156"/>
      <c r="AG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  <c r="AD931" s="156"/>
      <c r="AE931" s="156"/>
      <c r="AF931" s="156"/>
      <c r="AG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  <c r="AD932" s="156"/>
      <c r="AE932" s="156"/>
      <c r="AF932" s="156"/>
      <c r="AG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  <c r="AD933" s="156"/>
      <c r="AE933" s="156"/>
      <c r="AF933" s="156"/>
      <c r="AG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  <c r="AD934" s="156"/>
      <c r="AE934" s="156"/>
      <c r="AF934" s="156"/>
      <c r="AG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  <c r="AD935" s="156"/>
      <c r="AE935" s="156"/>
      <c r="AF935" s="156"/>
      <c r="AG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  <c r="AD936" s="156"/>
      <c r="AE936" s="156"/>
      <c r="AF936" s="156"/>
      <c r="AG936" s="156"/>
    </row>
    <row r="937">
      <c r="A937" s="156"/>
      <c r="B937" s="156"/>
      <c r="C937" s="202"/>
      <c r="D937" s="202"/>
      <c r="E937" s="202"/>
      <c r="F937" s="202"/>
      <c r="G937" s="202"/>
      <c r="H937" s="202"/>
      <c r="I937" s="202"/>
      <c r="J937" s="202"/>
      <c r="K937" s="202"/>
      <c r="L937" s="16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  <c r="AB937" s="202"/>
      <c r="AC937" s="202"/>
      <c r="AD937" s="202"/>
      <c r="AE937" s="202"/>
      <c r="AF937" s="202"/>
      <c r="AG937" s="202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56"/>
      <c r="B1" s="156"/>
      <c r="C1" s="156"/>
      <c r="D1" s="156"/>
      <c r="E1" s="156"/>
      <c r="F1" s="157"/>
      <c r="G1" s="157"/>
      <c r="H1" s="157"/>
      <c r="I1" s="157"/>
      <c r="J1" s="157"/>
      <c r="K1" s="157"/>
      <c r="L1" s="16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</row>
    <row r="2">
      <c r="A2" s="156"/>
      <c r="B2" s="156"/>
      <c r="C2" s="156"/>
      <c r="D2" s="156"/>
      <c r="E2" s="156"/>
      <c r="F2" s="157"/>
      <c r="G2" s="157"/>
      <c r="H2" s="157"/>
      <c r="I2" s="157"/>
      <c r="J2" s="157"/>
      <c r="K2" s="157"/>
      <c r="L2" s="16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</row>
    <row r="3" ht="217.5" customHeight="1">
      <c r="A3" s="158"/>
      <c r="B3" s="158"/>
      <c r="C3" s="16"/>
      <c r="D3" s="16"/>
      <c r="E3" s="16"/>
      <c r="F3" s="16"/>
      <c r="G3" s="16"/>
      <c r="H3" s="158"/>
      <c r="I3" s="16"/>
      <c r="J3" s="16"/>
      <c r="K3" s="16"/>
      <c r="L3" s="16"/>
      <c r="M3" s="157"/>
      <c r="N3" s="159"/>
      <c r="O3" s="157"/>
      <c r="P3" s="158"/>
      <c r="Q3" s="158"/>
      <c r="R3" s="158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</row>
    <row r="4" ht="75.0" customHeight="1">
      <c r="A4" s="158"/>
      <c r="B4" s="158"/>
      <c r="C4" s="16"/>
      <c r="D4" s="16"/>
      <c r="E4" s="16"/>
      <c r="F4" s="16"/>
      <c r="G4" s="16"/>
      <c r="H4" s="158"/>
      <c r="I4" s="16"/>
      <c r="J4" s="16"/>
      <c r="K4" s="16"/>
      <c r="L4" s="16"/>
      <c r="M4" s="157"/>
      <c r="N4" s="157"/>
      <c r="O4" s="157"/>
      <c r="P4" s="158"/>
      <c r="Q4" s="16"/>
      <c r="R4" s="16"/>
      <c r="S4" s="16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</row>
    <row r="5">
      <c r="A5" s="154"/>
      <c r="B5" s="154"/>
      <c r="C5" s="160" t="s">
        <v>110</v>
      </c>
      <c r="D5" s="41"/>
      <c r="E5" s="23"/>
      <c r="F5" s="16"/>
      <c r="G5" s="154"/>
      <c r="H5" s="154"/>
      <c r="I5" s="154"/>
      <c r="J5" s="154"/>
      <c r="K5" s="154"/>
      <c r="L5" s="16"/>
      <c r="M5" s="161"/>
      <c r="N5" s="161"/>
      <c r="O5" s="161"/>
      <c r="P5" s="155"/>
      <c r="Q5" s="162"/>
      <c r="R5" s="162"/>
      <c r="S5" s="162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</row>
    <row r="6">
      <c r="A6" s="154"/>
      <c r="B6" s="154"/>
      <c r="C6" s="160" t="s">
        <v>111</v>
      </c>
      <c r="D6" s="41"/>
      <c r="E6" s="23"/>
      <c r="F6" s="16"/>
      <c r="G6" s="154"/>
      <c r="H6" s="154"/>
      <c r="I6" s="154"/>
      <c r="J6" s="154"/>
      <c r="K6" s="16"/>
      <c r="L6" s="16"/>
      <c r="M6" s="161"/>
      <c r="N6" s="161"/>
      <c r="O6" s="161"/>
      <c r="P6" s="155"/>
      <c r="Q6" s="162"/>
      <c r="R6" s="162"/>
      <c r="S6" s="162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</row>
    <row r="7">
      <c r="A7" s="154"/>
      <c r="B7" s="154"/>
      <c r="C7" s="160" t="s">
        <v>148</v>
      </c>
      <c r="D7" s="41"/>
      <c r="E7" s="23"/>
      <c r="F7" s="16"/>
      <c r="G7" s="154"/>
      <c r="H7" s="154"/>
      <c r="I7" s="154"/>
      <c r="J7" s="154"/>
      <c r="K7" s="16"/>
      <c r="L7" s="16"/>
      <c r="M7" s="16"/>
      <c r="N7" s="16"/>
      <c r="O7" s="16"/>
      <c r="P7" s="16"/>
      <c r="Q7" s="16"/>
      <c r="R7" s="16"/>
      <c r="S7" s="16"/>
      <c r="T7" s="163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</row>
    <row r="8">
      <c r="A8" s="154"/>
      <c r="B8" s="154"/>
      <c r="C8" s="160" t="s">
        <v>112</v>
      </c>
      <c r="D8" s="41"/>
      <c r="E8" s="23"/>
      <c r="F8" s="16"/>
      <c r="G8" s="154"/>
      <c r="H8" s="154"/>
      <c r="I8" s="154"/>
      <c r="J8" s="154"/>
      <c r="K8" s="16"/>
      <c r="L8" s="16"/>
      <c r="M8" s="16"/>
      <c r="N8" s="16"/>
      <c r="O8" s="16"/>
      <c r="P8" s="16"/>
      <c r="Q8" s="16"/>
      <c r="R8" s="16"/>
      <c r="S8" s="16"/>
      <c r="T8" s="163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</row>
    <row r="9">
      <c r="A9" s="158"/>
      <c r="B9" s="158"/>
      <c r="C9" s="16"/>
      <c r="D9" s="16"/>
      <c r="E9" s="16"/>
      <c r="F9" s="16"/>
      <c r="G9" s="154"/>
      <c r="H9" s="154"/>
      <c r="I9" s="154"/>
      <c r="J9" s="154"/>
      <c r="K9" s="16"/>
      <c r="L9" s="16"/>
      <c r="M9" s="16"/>
      <c r="N9" s="16"/>
      <c r="O9" s="16"/>
      <c r="P9" s="16"/>
      <c r="Q9" s="16"/>
      <c r="R9" s="16"/>
      <c r="S9" s="16"/>
      <c r="T9" s="163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</row>
    <row r="10">
      <c r="A10" s="158"/>
      <c r="B10" s="158"/>
      <c r="C10" s="16"/>
      <c r="D10" s="16"/>
      <c r="E10" s="16"/>
      <c r="F10" s="16"/>
      <c r="G10" s="164"/>
      <c r="H10" s="164"/>
      <c r="I10" s="164"/>
      <c r="J10" s="164"/>
      <c r="K10" s="164"/>
      <c r="L10" s="16"/>
      <c r="M10" s="16"/>
      <c r="N10" s="16"/>
      <c r="O10" s="16"/>
      <c r="P10" s="16"/>
      <c r="Q10" s="16"/>
      <c r="R10" s="16"/>
      <c r="S10" s="16"/>
      <c r="T10" s="163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</row>
    <row r="11" ht="18.0" customHeight="1">
      <c r="A11" s="158"/>
      <c r="B11" s="158"/>
      <c r="C11" s="16"/>
      <c r="D11" s="16"/>
      <c r="E11" s="16"/>
      <c r="F11" s="16"/>
      <c r="G11" s="164"/>
      <c r="H11" s="164"/>
      <c r="I11" s="164"/>
      <c r="J11" s="164"/>
      <c r="K11" s="164"/>
      <c r="L11" s="16"/>
      <c r="M11" s="16"/>
      <c r="N11" s="16"/>
      <c r="O11" s="16"/>
      <c r="P11" s="16"/>
      <c r="Q11" s="16"/>
      <c r="R11" s="16"/>
      <c r="S11" s="16"/>
      <c r="T11" s="165"/>
      <c r="U11" s="16"/>
      <c r="V11" s="16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</row>
    <row r="12" ht="25.5" customHeight="1">
      <c r="A12" s="158"/>
      <c r="B12" s="158"/>
      <c r="C12" s="166" t="s">
        <v>113</v>
      </c>
      <c r="D12" s="41"/>
      <c r="E12" s="23"/>
      <c r="F12" s="16"/>
      <c r="G12" s="164"/>
      <c r="H12" s="158"/>
      <c r="I12" s="16"/>
      <c r="J12" s="16"/>
      <c r="K12" s="164"/>
      <c r="L12" s="16"/>
      <c r="M12" s="16"/>
      <c r="N12" s="16"/>
      <c r="O12" s="16"/>
      <c r="P12" s="16"/>
      <c r="Q12" s="16"/>
      <c r="R12" s="16"/>
      <c r="S12" s="16"/>
      <c r="T12" s="165"/>
      <c r="U12" s="16"/>
      <c r="V12" s="16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</row>
    <row r="13">
      <c r="A13" s="158"/>
      <c r="B13" s="158"/>
      <c r="C13" s="167" t="s">
        <v>114</v>
      </c>
      <c r="D13" s="168"/>
      <c r="E13" s="23"/>
      <c r="F13" s="16"/>
      <c r="G13" s="164"/>
      <c r="H13" s="158"/>
      <c r="I13" s="16"/>
      <c r="J13" s="16"/>
      <c r="K13" s="164"/>
      <c r="L13" s="16"/>
      <c r="M13" s="16"/>
      <c r="N13" s="16"/>
      <c r="O13" s="16"/>
      <c r="P13" s="16"/>
      <c r="Q13" s="16"/>
      <c r="R13" s="16"/>
      <c r="S13" s="16"/>
      <c r="T13" s="165"/>
      <c r="U13" s="16"/>
      <c r="V13" s="16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</row>
    <row r="14">
      <c r="A14" s="158"/>
      <c r="B14" s="158"/>
      <c r="C14" s="167" t="s">
        <v>54</v>
      </c>
      <c r="D14" s="168"/>
      <c r="E14" s="23"/>
      <c r="F14" s="16"/>
      <c r="G14" s="164"/>
      <c r="H14" s="158"/>
      <c r="I14" s="16"/>
      <c r="J14" s="16"/>
      <c r="K14" s="164"/>
      <c r="L14" s="16"/>
      <c r="M14" s="16"/>
      <c r="N14" s="16"/>
      <c r="O14" s="16"/>
      <c r="P14" s="16"/>
      <c r="Q14" s="16"/>
      <c r="R14" s="16"/>
      <c r="S14" s="16"/>
      <c r="T14" s="165"/>
      <c r="U14" s="16"/>
      <c r="V14" s="16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</row>
    <row r="15">
      <c r="A15" s="169"/>
      <c r="B15" s="169"/>
      <c r="C15" s="167" t="s">
        <v>55</v>
      </c>
      <c r="D15" s="168"/>
      <c r="E15" s="23"/>
      <c r="F15" s="162"/>
      <c r="G15" s="164"/>
      <c r="H15" s="158"/>
      <c r="I15" s="16"/>
      <c r="J15" s="16"/>
      <c r="K15" s="164"/>
      <c r="L15" s="16"/>
      <c r="M15" s="16"/>
      <c r="N15" s="16"/>
      <c r="O15" s="16"/>
      <c r="P15" s="16"/>
      <c r="Q15" s="16"/>
      <c r="R15" s="16"/>
      <c r="S15" s="16"/>
      <c r="T15" s="165"/>
      <c r="U15" s="16"/>
      <c r="V15" s="16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</row>
    <row r="16">
      <c r="A16" s="170"/>
      <c r="B16" s="170"/>
      <c r="C16" s="167" t="s">
        <v>115</v>
      </c>
      <c r="D16" s="171"/>
      <c r="E16" s="23"/>
      <c r="F16" s="162"/>
      <c r="G16" s="164"/>
      <c r="H16" s="158"/>
      <c r="I16" s="16"/>
      <c r="J16" s="16"/>
      <c r="K16" s="164"/>
      <c r="L16" s="16"/>
      <c r="M16" s="16"/>
      <c r="N16" s="16"/>
      <c r="O16" s="16"/>
      <c r="P16" s="16"/>
      <c r="Q16" s="16"/>
      <c r="R16" s="16"/>
      <c r="S16" s="16"/>
      <c r="T16" s="165"/>
      <c r="U16" s="16"/>
      <c r="V16" s="16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</row>
    <row r="17">
      <c r="A17" s="170"/>
      <c r="B17" s="170"/>
      <c r="C17" s="16"/>
      <c r="D17" s="16"/>
      <c r="E17" s="16"/>
      <c r="F17" s="162"/>
      <c r="G17" s="161"/>
      <c r="H17" s="161"/>
      <c r="I17" s="161"/>
      <c r="J17" s="161"/>
      <c r="K17" s="161"/>
      <c r="L17" s="16"/>
      <c r="M17" s="16"/>
      <c r="N17" s="16"/>
      <c r="O17" s="16"/>
      <c r="P17" s="16"/>
      <c r="Q17" s="16"/>
      <c r="R17" s="16"/>
      <c r="S17" s="16"/>
      <c r="T17" s="165"/>
      <c r="U17" s="16"/>
      <c r="V17" s="16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</row>
    <row r="18" ht="22.5" customHeight="1">
      <c r="A18" s="170"/>
      <c r="B18" s="170"/>
      <c r="C18" s="16"/>
      <c r="D18" s="16"/>
      <c r="E18" s="16"/>
      <c r="F18" s="161"/>
      <c r="G18" s="161"/>
      <c r="H18" s="161"/>
      <c r="I18" s="161"/>
      <c r="J18" s="161"/>
      <c r="K18" s="161"/>
      <c r="L18" s="16"/>
      <c r="M18" s="16"/>
      <c r="N18" s="16"/>
      <c r="O18" s="16"/>
      <c r="P18" s="16"/>
      <c r="Q18" s="16"/>
      <c r="R18" s="16"/>
      <c r="S18" s="16"/>
      <c r="T18" s="165"/>
      <c r="U18" s="16"/>
      <c r="V18" s="16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</row>
    <row r="19" ht="30.0" customHeight="1">
      <c r="A19" s="170"/>
      <c r="B19" s="170"/>
      <c r="C19" s="162"/>
      <c r="D19" s="172" t="s">
        <v>0</v>
      </c>
      <c r="E19" s="23"/>
      <c r="F19" s="162"/>
      <c r="G19" s="161"/>
      <c r="H19" s="161"/>
      <c r="I19" s="161"/>
      <c r="J19" s="161"/>
      <c r="K19" s="161"/>
      <c r="L19" s="173" t="s">
        <v>116</v>
      </c>
      <c r="M19" s="173" t="s">
        <v>117</v>
      </c>
      <c r="N19" s="173" t="s">
        <v>56</v>
      </c>
      <c r="O19" s="173" t="s">
        <v>118</v>
      </c>
      <c r="P19" s="203" t="s">
        <v>149</v>
      </c>
      <c r="Q19" s="173" t="s">
        <v>150</v>
      </c>
      <c r="R19" s="173" t="s">
        <v>121</v>
      </c>
      <c r="S19" s="173" t="s">
        <v>122</v>
      </c>
      <c r="T19" s="165"/>
      <c r="U19" s="16"/>
      <c r="V19" s="16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</row>
    <row r="20">
      <c r="A20" s="174"/>
      <c r="B20" s="174"/>
      <c r="C20" s="173" t="s">
        <v>123</v>
      </c>
      <c r="D20" s="173" t="s">
        <v>124</v>
      </c>
      <c r="E20" s="173" t="s">
        <v>125</v>
      </c>
      <c r="F20" s="173" t="s">
        <v>126</v>
      </c>
      <c r="G20" s="161"/>
      <c r="H20" s="175"/>
      <c r="I20" s="176" t="s">
        <v>127</v>
      </c>
      <c r="J20" s="23"/>
      <c r="K20" s="161"/>
      <c r="L20" s="177" t="s">
        <v>128</v>
      </c>
      <c r="M20" s="178">
        <v>45479.0</v>
      </c>
      <c r="N20" s="179"/>
      <c r="O20" s="179"/>
      <c r="P20" s="179"/>
      <c r="Q20" s="179"/>
      <c r="R20" s="179"/>
      <c r="S20" s="179"/>
      <c r="T20" s="165"/>
      <c r="U20" s="16"/>
      <c r="V20" s="16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</row>
    <row r="21">
      <c r="A21" s="155"/>
      <c r="B21" s="155"/>
      <c r="C21" s="180">
        <v>45483.0</v>
      </c>
      <c r="D21" s="181"/>
      <c r="E21" s="181"/>
      <c r="F21" s="181"/>
      <c r="G21" s="161"/>
      <c r="H21" s="182"/>
      <c r="I21" s="180" t="s">
        <v>129</v>
      </c>
      <c r="J21" s="183">
        <v>2700.0</v>
      </c>
      <c r="K21" s="161"/>
      <c r="L21" s="177">
        <v>1.0</v>
      </c>
      <c r="M21" s="184">
        <f t="shared" ref="M21:M32" si="2">M20+7</f>
        <v>45486</v>
      </c>
      <c r="N21" s="185" t="str">
        <f>D28</f>
        <v>#DIV/0!</v>
      </c>
      <c r="O21" s="186" t="str">
        <f t="shared" ref="O21:S21" si="1">C32</f>
        <v/>
      </c>
      <c r="P21" s="186" t="str">
        <f t="shared" si="1"/>
        <v/>
      </c>
      <c r="Q21" s="186" t="str">
        <f t="shared" si="1"/>
        <v/>
      </c>
      <c r="R21" s="186" t="str">
        <f t="shared" si="1"/>
        <v/>
      </c>
      <c r="S21" s="186" t="str">
        <f t="shared" si="1"/>
        <v/>
      </c>
      <c r="T21" s="165"/>
      <c r="U21" s="16"/>
      <c r="V21" s="16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</row>
    <row r="22">
      <c r="A22" s="175"/>
      <c r="B22" s="175"/>
      <c r="C22" s="180">
        <v>45484.0</v>
      </c>
      <c r="D22" s="181"/>
      <c r="E22" s="181"/>
      <c r="F22" s="181"/>
      <c r="G22" s="161"/>
      <c r="H22" s="182"/>
      <c r="I22" s="180" t="s">
        <v>130</v>
      </c>
      <c r="J22" s="183">
        <v>160.0</v>
      </c>
      <c r="K22" s="161"/>
      <c r="L22" s="177">
        <v>2.0</v>
      </c>
      <c r="M22" s="184">
        <f t="shared" si="2"/>
        <v>45493</v>
      </c>
      <c r="N22" s="187" t="str">
        <f>AVERAGE(D55:D61)</f>
        <v>#DIV/0!</v>
      </c>
      <c r="O22" s="188" t="str">
        <f t="shared" ref="O22:S22" si="3">C49</f>
        <v/>
      </c>
      <c r="P22" s="188" t="str">
        <f t="shared" si="3"/>
        <v/>
      </c>
      <c r="Q22" s="188" t="str">
        <f t="shared" si="3"/>
        <v/>
      </c>
      <c r="R22" s="188" t="str">
        <f t="shared" si="3"/>
        <v/>
      </c>
      <c r="S22" s="188" t="str">
        <f t="shared" si="3"/>
        <v/>
      </c>
      <c r="T22" s="165"/>
      <c r="U22" s="16"/>
      <c r="V22" s="16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</row>
    <row r="23">
      <c r="A23" s="189"/>
      <c r="B23" s="189"/>
      <c r="C23" s="180">
        <v>45485.0</v>
      </c>
      <c r="D23" s="181"/>
      <c r="E23" s="181"/>
      <c r="F23" s="181"/>
      <c r="G23" s="161"/>
      <c r="H23" s="182"/>
      <c r="I23" s="180" t="s">
        <v>131</v>
      </c>
      <c r="J23" s="183">
        <v>380.0</v>
      </c>
      <c r="K23" s="161"/>
      <c r="L23" s="177">
        <v>3.0</v>
      </c>
      <c r="M23" s="184">
        <f t="shared" si="2"/>
        <v>45500</v>
      </c>
      <c r="N23" s="181" t="str">
        <f>AVERAGE(D55:D61)</f>
        <v>#DIV/0!</v>
      </c>
      <c r="O23" s="190" t="str">
        <f t="shared" ref="O23:S23" si="4">C66</f>
        <v/>
      </c>
      <c r="P23" s="190" t="str">
        <f t="shared" si="4"/>
        <v/>
      </c>
      <c r="Q23" s="190" t="str">
        <f t="shared" si="4"/>
        <v/>
      </c>
      <c r="R23" s="190" t="str">
        <f t="shared" si="4"/>
        <v/>
      </c>
      <c r="S23" s="190" t="str">
        <f t="shared" si="4"/>
        <v/>
      </c>
      <c r="T23" s="165"/>
      <c r="U23" s="16"/>
      <c r="V23" s="16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</row>
    <row r="24">
      <c r="A24" s="161"/>
      <c r="B24" s="161"/>
      <c r="C24" s="180">
        <v>45486.0</v>
      </c>
      <c r="D24" s="181"/>
      <c r="E24" s="181"/>
      <c r="F24" s="181"/>
      <c r="G24" s="161"/>
      <c r="H24" s="182"/>
      <c r="I24" s="180" t="s">
        <v>132</v>
      </c>
      <c r="J24" s="183">
        <v>60.0</v>
      </c>
      <c r="K24" s="161"/>
      <c r="L24" s="177">
        <v>4.0</v>
      </c>
      <c r="M24" s="184">
        <f t="shared" si="2"/>
        <v>45507</v>
      </c>
      <c r="N24" s="187" t="str">
        <f>AVERAGE(D71:D77)</f>
        <v>#DIV/0!</v>
      </c>
      <c r="O24" s="188" t="str">
        <f t="shared" ref="O24:S24" si="5">C82</f>
        <v/>
      </c>
      <c r="P24" s="188" t="str">
        <f t="shared" si="5"/>
        <v/>
      </c>
      <c r="Q24" s="188" t="str">
        <f t="shared" si="5"/>
        <v/>
      </c>
      <c r="R24" s="188" t="str">
        <f t="shared" si="5"/>
        <v/>
      </c>
      <c r="S24" s="188" t="str">
        <f t="shared" si="5"/>
        <v/>
      </c>
      <c r="T24" s="165"/>
      <c r="U24" s="16"/>
      <c r="V24" s="16"/>
      <c r="W24" s="16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</row>
    <row r="25">
      <c r="A25" s="189"/>
      <c r="B25" s="189"/>
      <c r="C25" s="180">
        <v>45487.0</v>
      </c>
      <c r="D25" s="181"/>
      <c r="E25" s="181"/>
      <c r="F25" s="181"/>
      <c r="G25" s="161"/>
      <c r="H25" s="161"/>
      <c r="I25" s="161"/>
      <c r="J25" s="161"/>
      <c r="K25" s="161"/>
      <c r="L25" s="177">
        <v>5.0</v>
      </c>
      <c r="M25" s="184">
        <f t="shared" si="2"/>
        <v>45514</v>
      </c>
      <c r="N25" s="181" t="str">
        <f>AVERAGE(D87:D93)</f>
        <v>#DIV/0!</v>
      </c>
      <c r="O25" s="190" t="str">
        <f t="shared" ref="O25:S25" si="6">C98</f>
        <v/>
      </c>
      <c r="P25" s="190" t="str">
        <f t="shared" si="6"/>
        <v/>
      </c>
      <c r="Q25" s="190" t="str">
        <f t="shared" si="6"/>
        <v/>
      </c>
      <c r="R25" s="190" t="str">
        <f t="shared" si="6"/>
        <v/>
      </c>
      <c r="S25" s="190" t="str">
        <f t="shared" si="6"/>
        <v/>
      </c>
      <c r="T25" s="165"/>
      <c r="U25" s="16"/>
      <c r="V25" s="16"/>
      <c r="W25" s="16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</row>
    <row r="26">
      <c r="A26" s="189"/>
      <c r="B26" s="189"/>
      <c r="C26" s="180">
        <v>45488.0</v>
      </c>
      <c r="D26" s="191"/>
      <c r="E26" s="181"/>
      <c r="F26" s="181"/>
      <c r="G26" s="161"/>
      <c r="H26" s="161"/>
      <c r="I26" s="161"/>
      <c r="J26" s="161"/>
      <c r="K26" s="161"/>
      <c r="L26" s="177">
        <v>6.0</v>
      </c>
      <c r="M26" s="184">
        <f t="shared" si="2"/>
        <v>45521</v>
      </c>
      <c r="N26" s="187" t="str">
        <f>AVERAGE(D103:D109)</f>
        <v>#DIV/0!</v>
      </c>
      <c r="O26" s="188" t="str">
        <f t="shared" ref="O26:S26" si="7">C114</f>
        <v/>
      </c>
      <c r="P26" s="188" t="str">
        <f t="shared" si="7"/>
        <v/>
      </c>
      <c r="Q26" s="188" t="str">
        <f t="shared" si="7"/>
        <v/>
      </c>
      <c r="R26" s="188" t="str">
        <f t="shared" si="7"/>
        <v/>
      </c>
      <c r="S26" s="188" t="str">
        <f t="shared" si="7"/>
        <v/>
      </c>
      <c r="T26" s="165"/>
      <c r="U26" s="16"/>
      <c r="V26" s="16"/>
      <c r="W26" s="16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</row>
    <row r="27">
      <c r="A27" s="161"/>
      <c r="B27" s="161"/>
      <c r="C27" s="180">
        <v>45489.0</v>
      </c>
      <c r="D27" s="191"/>
      <c r="E27" s="181"/>
      <c r="F27" s="191"/>
      <c r="G27" s="161"/>
      <c r="H27" s="161"/>
      <c r="I27" s="161"/>
      <c r="J27" s="161"/>
      <c r="K27" s="161"/>
      <c r="L27" s="177">
        <v>7.0</v>
      </c>
      <c r="M27" s="184">
        <f t="shared" si="2"/>
        <v>45528</v>
      </c>
      <c r="N27" s="181" t="str">
        <f>AVERAGE(D120:D126)</f>
        <v>#DIV/0!</v>
      </c>
      <c r="O27" s="190" t="str">
        <f t="shared" ref="O27:S27" si="8">C131</f>
        <v/>
      </c>
      <c r="P27" s="190" t="str">
        <f t="shared" si="8"/>
        <v/>
      </c>
      <c r="Q27" s="190" t="str">
        <f t="shared" si="8"/>
        <v/>
      </c>
      <c r="R27" s="190" t="str">
        <f t="shared" si="8"/>
        <v/>
      </c>
      <c r="S27" s="190" t="str">
        <f t="shared" si="8"/>
        <v/>
      </c>
      <c r="T27" s="165"/>
      <c r="U27" s="16"/>
      <c r="V27" s="16"/>
      <c r="W27" s="16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</row>
    <row r="28">
      <c r="A28" s="189"/>
      <c r="B28" s="189"/>
      <c r="C28" s="192" t="s">
        <v>133</v>
      </c>
      <c r="D28" s="193" t="str">
        <f t="shared" ref="D28:F28" si="9">AVERAGE(D21:D27)</f>
        <v>#DIV/0!</v>
      </c>
      <c r="E28" s="193" t="str">
        <f t="shared" si="9"/>
        <v>#DIV/0!</v>
      </c>
      <c r="F28" s="193" t="str">
        <f t="shared" si="9"/>
        <v>#DIV/0!</v>
      </c>
      <c r="G28" s="161"/>
      <c r="H28" s="161"/>
      <c r="I28" s="161"/>
      <c r="J28" s="161"/>
      <c r="K28" s="161"/>
      <c r="L28" s="177">
        <v>8.0</v>
      </c>
      <c r="M28" s="184">
        <f t="shared" si="2"/>
        <v>45535</v>
      </c>
      <c r="N28" s="187" t="str">
        <f>AVERAGE(D137:D143)</f>
        <v>#DIV/0!</v>
      </c>
      <c r="O28" s="188" t="str">
        <f t="shared" ref="O28:S28" si="10">C148</f>
        <v/>
      </c>
      <c r="P28" s="188" t="str">
        <f t="shared" si="10"/>
        <v/>
      </c>
      <c r="Q28" s="188" t="str">
        <f t="shared" si="10"/>
        <v/>
      </c>
      <c r="R28" s="188" t="str">
        <f t="shared" si="10"/>
        <v/>
      </c>
      <c r="S28" s="188" t="str">
        <f t="shared" si="10"/>
        <v/>
      </c>
      <c r="T28" s="165"/>
      <c r="U28" s="16"/>
      <c r="V28" s="16"/>
      <c r="W28" s="16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</row>
    <row r="29">
      <c r="A29" s="189"/>
      <c r="B29" s="189"/>
      <c r="C29" s="162"/>
      <c r="D29" s="162"/>
      <c r="E29" s="162"/>
      <c r="F29" s="162"/>
      <c r="G29" s="161"/>
      <c r="H29" s="161"/>
      <c r="I29" s="161"/>
      <c r="J29" s="161"/>
      <c r="K29" s="161"/>
      <c r="L29" s="177">
        <v>9.0</v>
      </c>
      <c r="M29" s="184">
        <f t="shared" si="2"/>
        <v>45542</v>
      </c>
      <c r="N29" s="181" t="str">
        <f>AVERAGE(D153:D159)</f>
        <v>#DIV/0!</v>
      </c>
      <c r="O29" s="190" t="str">
        <f t="shared" ref="O29:S29" si="11">C164</f>
        <v/>
      </c>
      <c r="P29" s="190" t="str">
        <f t="shared" si="11"/>
        <v/>
      </c>
      <c r="Q29" s="190" t="str">
        <f t="shared" si="11"/>
        <v/>
      </c>
      <c r="R29" s="190" t="str">
        <f t="shared" si="11"/>
        <v/>
      </c>
      <c r="S29" s="190" t="str">
        <f t="shared" si="11"/>
        <v/>
      </c>
      <c r="T29" s="165"/>
      <c r="U29" s="16"/>
      <c r="V29" s="16"/>
      <c r="W29" s="16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</row>
    <row r="30">
      <c r="A30" s="194"/>
      <c r="B30" s="194"/>
      <c r="C30" s="176" t="s">
        <v>134</v>
      </c>
      <c r="D30" s="41"/>
      <c r="E30" s="41"/>
      <c r="F30" s="41"/>
      <c r="G30" s="23"/>
      <c r="H30" s="195"/>
      <c r="I30" s="195"/>
      <c r="J30" s="195"/>
      <c r="K30" s="195"/>
      <c r="L30" s="177">
        <v>10.0</v>
      </c>
      <c r="M30" s="184">
        <f t="shared" si="2"/>
        <v>45549</v>
      </c>
      <c r="N30" s="187" t="str">
        <f>AVERAGE(D169:D175)</f>
        <v>#DIV/0!</v>
      </c>
      <c r="O30" s="188" t="str">
        <f>C164</f>
        <v/>
      </c>
      <c r="P30" s="188" t="str">
        <f t="shared" ref="P30:S30" si="12">D180</f>
        <v/>
      </c>
      <c r="Q30" s="188" t="str">
        <f t="shared" si="12"/>
        <v/>
      </c>
      <c r="R30" s="188" t="str">
        <f t="shared" si="12"/>
        <v/>
      </c>
      <c r="S30" s="188" t="str">
        <f t="shared" si="12"/>
        <v/>
      </c>
      <c r="T30" s="16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</row>
    <row r="31">
      <c r="A31" s="155"/>
      <c r="B31" s="155"/>
      <c r="C31" s="180" t="s">
        <v>118</v>
      </c>
      <c r="D31" s="204" t="s">
        <v>151</v>
      </c>
      <c r="E31" s="180" t="s">
        <v>152</v>
      </c>
      <c r="F31" s="180" t="s">
        <v>121</v>
      </c>
      <c r="G31" s="180" t="s">
        <v>122</v>
      </c>
      <c r="H31" s="195"/>
      <c r="I31" s="195"/>
      <c r="J31" s="195"/>
      <c r="K31" s="195"/>
      <c r="L31" s="177">
        <v>11.0</v>
      </c>
      <c r="M31" s="184">
        <f t="shared" si="2"/>
        <v>45556</v>
      </c>
      <c r="N31" s="181" t="str">
        <f>AVERAGE(D185:D191)</f>
        <v>#DIV/0!</v>
      </c>
      <c r="O31" s="190" t="str">
        <f t="shared" ref="O31:S31" si="13">C196</f>
        <v/>
      </c>
      <c r="P31" s="190" t="str">
        <f t="shared" si="13"/>
        <v/>
      </c>
      <c r="Q31" s="190" t="str">
        <f t="shared" si="13"/>
        <v/>
      </c>
      <c r="R31" s="190" t="str">
        <f t="shared" si="13"/>
        <v/>
      </c>
      <c r="S31" s="190" t="str">
        <f t="shared" si="13"/>
        <v/>
      </c>
      <c r="T31" s="16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</row>
    <row r="32">
      <c r="A32" s="175"/>
      <c r="B32" s="175"/>
      <c r="C32" s="196"/>
      <c r="D32" s="196"/>
      <c r="E32" s="196"/>
      <c r="F32" s="196"/>
      <c r="G32" s="196"/>
      <c r="H32" s="195"/>
      <c r="I32" s="195"/>
      <c r="J32" s="195"/>
      <c r="K32" s="195"/>
      <c r="L32" s="177">
        <v>12.0</v>
      </c>
      <c r="M32" s="184">
        <f t="shared" si="2"/>
        <v>45563</v>
      </c>
      <c r="N32" s="187" t="str">
        <f>AVERAGE(D201:D207)</f>
        <v>#DIV/0!</v>
      </c>
      <c r="O32" s="188" t="str">
        <f t="shared" ref="O32:S32" si="14">C212</f>
        <v/>
      </c>
      <c r="P32" s="188" t="str">
        <f t="shared" si="14"/>
        <v/>
      </c>
      <c r="Q32" s="188" t="str">
        <f t="shared" si="14"/>
        <v/>
      </c>
      <c r="R32" s="188" t="str">
        <f t="shared" si="14"/>
        <v/>
      </c>
      <c r="S32" s="188" t="str">
        <f t="shared" si="14"/>
        <v/>
      </c>
      <c r="T32" s="16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</row>
    <row r="33">
      <c r="A33" s="182"/>
      <c r="B33" s="182"/>
      <c r="C33" s="161"/>
      <c r="D33" s="161"/>
      <c r="E33" s="161"/>
      <c r="F33" s="161"/>
      <c r="G33" s="195"/>
      <c r="H33" s="195"/>
      <c r="I33" s="195"/>
      <c r="J33" s="195"/>
      <c r="K33" s="195"/>
      <c r="L33" s="161"/>
      <c r="M33" s="161"/>
      <c r="N33" s="161"/>
      <c r="O33" s="161"/>
      <c r="P33" s="161"/>
      <c r="Q33" s="161"/>
      <c r="R33" s="161"/>
      <c r="S33" s="161"/>
      <c r="T33" s="16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</row>
    <row r="34">
      <c r="A34" s="161"/>
      <c r="B34" s="161"/>
      <c r="C34" s="16"/>
      <c r="D34" s="16"/>
      <c r="E34" s="16"/>
      <c r="F34" s="16"/>
      <c r="G34" s="195"/>
      <c r="H34" s="195"/>
      <c r="I34" s="195"/>
      <c r="J34" s="195"/>
      <c r="K34" s="195"/>
      <c r="L34" s="16"/>
      <c r="M34" s="161"/>
      <c r="N34" s="154" t="s">
        <v>136</v>
      </c>
      <c r="O34" s="161"/>
      <c r="P34" s="161"/>
      <c r="Q34" s="161"/>
      <c r="R34" s="161"/>
      <c r="S34" s="161"/>
      <c r="T34" s="165"/>
      <c r="U34" s="197" t="s">
        <v>137</v>
      </c>
      <c r="V34" s="23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</row>
    <row r="35">
      <c r="A35" s="161"/>
      <c r="B35" s="161"/>
      <c r="C35" s="16"/>
      <c r="D35" s="16"/>
      <c r="E35" s="16"/>
      <c r="F35" s="16"/>
      <c r="G35" s="195"/>
      <c r="H35" s="195"/>
      <c r="I35" s="195"/>
      <c r="J35" s="195"/>
      <c r="K35" s="195"/>
      <c r="L35" s="161"/>
      <c r="M35" s="161"/>
      <c r="N35" s="161"/>
      <c r="O35" s="161"/>
      <c r="P35" s="161"/>
      <c r="Q35" s="161"/>
      <c r="R35" s="161"/>
      <c r="S35" s="161"/>
      <c r="T35" s="165"/>
      <c r="U35" s="198" t="s">
        <v>138</v>
      </c>
      <c r="V35" s="199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</row>
    <row r="36" ht="31.5" customHeight="1">
      <c r="A36" s="161"/>
      <c r="B36" s="161"/>
      <c r="C36" s="162"/>
      <c r="D36" s="200" t="s">
        <v>1</v>
      </c>
      <c r="E36" s="23"/>
      <c r="F36" s="162"/>
      <c r="G36" s="161"/>
      <c r="H36" s="161"/>
      <c r="I36" s="161"/>
      <c r="J36" s="161"/>
      <c r="K36" s="195"/>
      <c r="L36" s="161"/>
      <c r="M36" s="161"/>
      <c r="N36" s="161"/>
      <c r="O36" s="161"/>
      <c r="P36" s="161"/>
      <c r="Q36" s="161"/>
      <c r="R36" s="161"/>
      <c r="S36" s="161"/>
      <c r="T36" s="165"/>
      <c r="U36" s="198" t="s">
        <v>139</v>
      </c>
      <c r="V36" s="201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</row>
    <row r="37">
      <c r="A37" s="189"/>
      <c r="B37" s="189"/>
      <c r="C37" s="173" t="s">
        <v>123</v>
      </c>
      <c r="D37" s="173" t="s">
        <v>124</v>
      </c>
      <c r="E37" s="173" t="s">
        <v>125</v>
      </c>
      <c r="F37" s="173" t="s">
        <v>126</v>
      </c>
      <c r="G37" s="161"/>
      <c r="H37" s="175"/>
      <c r="I37" s="176" t="s">
        <v>127</v>
      </c>
      <c r="J37" s="23"/>
      <c r="K37" s="195"/>
      <c r="L37" s="161"/>
      <c r="M37" s="161"/>
      <c r="N37" s="161"/>
      <c r="O37" s="161"/>
      <c r="P37" s="161"/>
      <c r="Q37" s="161"/>
      <c r="R37" s="161"/>
      <c r="S37" s="161"/>
      <c r="T37" s="16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</row>
    <row r="38">
      <c r="A38" s="158"/>
      <c r="B38" s="158"/>
      <c r="C38" s="180">
        <v>45483.0</v>
      </c>
      <c r="D38" s="181"/>
      <c r="E38" s="181"/>
      <c r="F38" s="181"/>
      <c r="G38" s="161"/>
      <c r="H38" s="182"/>
      <c r="I38" s="180" t="s">
        <v>129</v>
      </c>
      <c r="J38" s="183">
        <v>2700.0</v>
      </c>
      <c r="K38" s="195"/>
      <c r="L38" s="161"/>
      <c r="M38" s="161"/>
      <c r="N38" s="161"/>
      <c r="O38" s="161"/>
      <c r="P38" s="161"/>
      <c r="Q38" s="161"/>
      <c r="R38" s="161"/>
      <c r="S38" s="161"/>
      <c r="T38" s="16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</row>
    <row r="39">
      <c r="A39" s="195"/>
      <c r="B39" s="195"/>
      <c r="C39" s="180">
        <v>45484.0</v>
      </c>
      <c r="D39" s="181"/>
      <c r="E39" s="181"/>
      <c r="F39" s="181"/>
      <c r="G39" s="161"/>
      <c r="H39" s="182"/>
      <c r="I39" s="180" t="s">
        <v>130</v>
      </c>
      <c r="J39" s="183">
        <v>160.0</v>
      </c>
      <c r="K39" s="195"/>
      <c r="L39" s="161"/>
      <c r="M39" s="161"/>
      <c r="N39" s="161"/>
      <c r="O39" s="161"/>
      <c r="P39" s="161"/>
      <c r="Q39" s="161"/>
      <c r="R39" s="161"/>
      <c r="S39" s="161"/>
      <c r="T39" s="16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</row>
    <row r="40">
      <c r="A40" s="195"/>
      <c r="B40" s="195"/>
      <c r="C40" s="180">
        <v>45485.0</v>
      </c>
      <c r="D40" s="181"/>
      <c r="E40" s="181"/>
      <c r="F40" s="181"/>
      <c r="G40" s="161"/>
      <c r="H40" s="182"/>
      <c r="I40" s="180" t="s">
        <v>131</v>
      </c>
      <c r="J40" s="183">
        <v>380.0</v>
      </c>
      <c r="K40" s="195"/>
      <c r="L40" s="161"/>
      <c r="M40" s="161"/>
      <c r="N40" s="161"/>
      <c r="O40" s="161"/>
      <c r="P40" s="161"/>
      <c r="Q40" s="161"/>
      <c r="R40" s="161"/>
      <c r="S40" s="161"/>
      <c r="T40" s="16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</row>
    <row r="41">
      <c r="A41" s="195"/>
      <c r="B41" s="195"/>
      <c r="C41" s="180">
        <v>45486.0</v>
      </c>
      <c r="D41" s="181"/>
      <c r="E41" s="181"/>
      <c r="F41" s="181"/>
      <c r="G41" s="161"/>
      <c r="H41" s="182"/>
      <c r="I41" s="180" t="s">
        <v>132</v>
      </c>
      <c r="J41" s="183">
        <v>60.0</v>
      </c>
      <c r="K41" s="195"/>
      <c r="L41" s="161"/>
      <c r="M41" s="161"/>
      <c r="N41" s="161"/>
      <c r="O41" s="161"/>
      <c r="P41" s="161"/>
      <c r="Q41" s="161"/>
      <c r="R41" s="161"/>
      <c r="S41" s="161"/>
      <c r="T41" s="16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</row>
    <row r="42">
      <c r="A42" s="195"/>
      <c r="B42" s="195"/>
      <c r="C42" s="180">
        <v>45487.0</v>
      </c>
      <c r="D42" s="181"/>
      <c r="E42" s="181"/>
      <c r="F42" s="181"/>
      <c r="G42" s="161"/>
      <c r="H42" s="161"/>
      <c r="I42" s="161"/>
      <c r="J42" s="161"/>
      <c r="K42" s="195"/>
      <c r="L42" s="161"/>
      <c r="M42" s="161"/>
      <c r="N42" s="161"/>
      <c r="O42" s="161"/>
      <c r="P42" s="161"/>
      <c r="Q42" s="161"/>
      <c r="R42" s="161"/>
      <c r="S42" s="161"/>
      <c r="T42" s="16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</row>
    <row r="43">
      <c r="A43" s="156"/>
      <c r="B43" s="156"/>
      <c r="C43" s="180">
        <v>45488.0</v>
      </c>
      <c r="D43" s="191"/>
      <c r="E43" s="181"/>
      <c r="F43" s="181"/>
      <c r="G43" s="161"/>
      <c r="H43" s="161"/>
      <c r="I43" s="161"/>
      <c r="J43" s="161"/>
      <c r="K43" s="156"/>
      <c r="L43" s="161"/>
      <c r="M43" s="161"/>
      <c r="N43" s="161"/>
      <c r="O43" s="161"/>
      <c r="P43" s="161"/>
      <c r="Q43" s="161"/>
      <c r="R43" s="161"/>
      <c r="S43" s="161"/>
      <c r="T43" s="165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</row>
    <row r="44">
      <c r="A44" s="156"/>
      <c r="B44" s="156"/>
      <c r="C44" s="180">
        <v>45489.0</v>
      </c>
      <c r="D44" s="191"/>
      <c r="E44" s="181"/>
      <c r="F44" s="191"/>
      <c r="G44" s="161"/>
      <c r="H44" s="161"/>
      <c r="I44" s="161"/>
      <c r="J44" s="161"/>
      <c r="K44" s="156"/>
      <c r="L44" s="161"/>
      <c r="M44" s="161"/>
      <c r="N44" s="161"/>
      <c r="O44" s="161"/>
      <c r="P44" s="161"/>
      <c r="Q44" s="161"/>
      <c r="R44" s="161"/>
      <c r="S44" s="161"/>
      <c r="T44" s="165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</row>
    <row r="45">
      <c r="A45" s="156"/>
      <c r="B45" s="156"/>
      <c r="C45" s="192" t="s">
        <v>133</v>
      </c>
      <c r="D45" s="193" t="str">
        <f t="shared" ref="D45:F45" si="15">AVERAGE(D38:D44)</f>
        <v>#DIV/0!</v>
      </c>
      <c r="E45" s="193" t="str">
        <f t="shared" si="15"/>
        <v>#DIV/0!</v>
      </c>
      <c r="F45" s="193" t="str">
        <f t="shared" si="15"/>
        <v>#DIV/0!</v>
      </c>
      <c r="G45" s="161"/>
      <c r="H45" s="161"/>
      <c r="I45" s="161"/>
      <c r="J45" s="161"/>
      <c r="K45" s="156"/>
      <c r="L45" s="161"/>
      <c r="M45" s="161"/>
      <c r="N45" s="161"/>
      <c r="O45" s="161"/>
      <c r="P45" s="161"/>
      <c r="Q45" s="161"/>
      <c r="R45" s="161"/>
      <c r="S45" s="161"/>
      <c r="T45" s="165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</row>
    <row r="46">
      <c r="A46" s="156"/>
      <c r="B46" s="156"/>
      <c r="C46" s="162"/>
      <c r="D46" s="162"/>
      <c r="E46" s="162"/>
      <c r="F46" s="162"/>
      <c r="G46" s="161"/>
      <c r="H46" s="161"/>
      <c r="I46" s="161"/>
      <c r="J46" s="161"/>
      <c r="K46" s="156"/>
      <c r="L46" s="161"/>
      <c r="M46" s="161"/>
      <c r="N46" s="161"/>
      <c r="O46" s="161"/>
      <c r="P46" s="161"/>
      <c r="Q46" s="161"/>
      <c r="R46" s="161"/>
      <c r="S46" s="161"/>
      <c r="T46" s="165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</row>
    <row r="47">
      <c r="A47" s="156"/>
      <c r="B47" s="156"/>
      <c r="C47" s="176" t="s">
        <v>134</v>
      </c>
      <c r="D47" s="41"/>
      <c r="E47" s="41"/>
      <c r="F47" s="41"/>
      <c r="G47" s="23"/>
      <c r="H47" s="195"/>
      <c r="I47" s="195"/>
      <c r="J47" s="195"/>
      <c r="K47" s="156"/>
      <c r="L47" s="161"/>
      <c r="M47" s="161"/>
      <c r="N47" s="161"/>
      <c r="O47" s="161"/>
      <c r="P47" s="161"/>
      <c r="Q47" s="161"/>
      <c r="R47" s="161"/>
      <c r="S47" s="161"/>
      <c r="T47" s="165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</row>
    <row r="48">
      <c r="A48" s="156"/>
      <c r="B48" s="156"/>
      <c r="C48" s="180" t="s">
        <v>118</v>
      </c>
      <c r="D48" s="204" t="s">
        <v>151</v>
      </c>
      <c r="E48" s="180" t="s">
        <v>152</v>
      </c>
      <c r="F48" s="180" t="s">
        <v>121</v>
      </c>
      <c r="G48" s="180" t="s">
        <v>122</v>
      </c>
      <c r="H48" s="195"/>
      <c r="I48" s="195"/>
      <c r="J48" s="195"/>
      <c r="K48" s="156"/>
      <c r="L48" s="165"/>
      <c r="M48" s="165"/>
      <c r="N48" s="165"/>
      <c r="O48" s="165"/>
      <c r="P48" s="165"/>
      <c r="Q48" s="165"/>
      <c r="R48" s="165"/>
      <c r="S48" s="165"/>
      <c r="T48" s="165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</row>
    <row r="49">
      <c r="A49" s="156"/>
      <c r="B49" s="156"/>
      <c r="C49" s="196"/>
      <c r="D49" s="196"/>
      <c r="E49" s="196"/>
      <c r="F49" s="196"/>
      <c r="G49" s="196"/>
      <c r="H49" s="195"/>
      <c r="I49" s="195"/>
      <c r="J49" s="195"/>
      <c r="K49" s="156"/>
      <c r="L49" s="165"/>
      <c r="M49" s="165"/>
      <c r="N49" s="165"/>
      <c r="O49" s="165"/>
      <c r="P49" s="165"/>
      <c r="Q49" s="165"/>
      <c r="R49" s="165"/>
      <c r="S49" s="165"/>
      <c r="T49" s="165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</row>
    <row r="50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</row>
    <row r="5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</row>
    <row r="52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</row>
    <row r="53" ht="30.0" customHeight="1">
      <c r="A53" s="156"/>
      <c r="B53" s="156"/>
      <c r="C53" s="162"/>
      <c r="D53" s="200" t="s">
        <v>2</v>
      </c>
      <c r="E53" s="23"/>
      <c r="F53" s="162"/>
      <c r="G53" s="161"/>
      <c r="H53" s="161"/>
      <c r="I53" s="161"/>
      <c r="J53" s="161"/>
      <c r="K53" s="156"/>
      <c r="L53" s="1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</row>
    <row r="54">
      <c r="A54" s="156"/>
      <c r="B54" s="156"/>
      <c r="C54" s="173" t="s">
        <v>123</v>
      </c>
      <c r="D54" s="173" t="s">
        <v>124</v>
      </c>
      <c r="E54" s="173" t="s">
        <v>125</v>
      </c>
      <c r="F54" s="173" t="s">
        <v>126</v>
      </c>
      <c r="G54" s="161"/>
      <c r="H54" s="175"/>
      <c r="I54" s="176" t="s">
        <v>127</v>
      </c>
      <c r="J54" s="23"/>
      <c r="K54" s="156"/>
      <c r="L54" s="1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</row>
    <row r="55">
      <c r="A55" s="156"/>
      <c r="B55" s="156"/>
      <c r="C55" s="180">
        <v>45483.0</v>
      </c>
      <c r="D55" s="181"/>
      <c r="E55" s="181"/>
      <c r="F55" s="181"/>
      <c r="G55" s="161"/>
      <c r="H55" s="182"/>
      <c r="I55" s="180" t="s">
        <v>129</v>
      </c>
      <c r="J55" s="183">
        <v>2700.0</v>
      </c>
      <c r="K55" s="156"/>
      <c r="L55" s="1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</row>
    <row r="56">
      <c r="A56" s="156"/>
      <c r="B56" s="156"/>
      <c r="C56" s="180">
        <v>45484.0</v>
      </c>
      <c r="D56" s="181"/>
      <c r="E56" s="181"/>
      <c r="F56" s="181"/>
      <c r="G56" s="161"/>
      <c r="H56" s="182"/>
      <c r="I56" s="180" t="s">
        <v>130</v>
      </c>
      <c r="J56" s="183">
        <v>160.0</v>
      </c>
      <c r="K56" s="156"/>
      <c r="L56" s="1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</row>
    <row r="57">
      <c r="A57" s="156"/>
      <c r="B57" s="156"/>
      <c r="C57" s="180">
        <v>45485.0</v>
      </c>
      <c r="D57" s="181"/>
      <c r="E57" s="181"/>
      <c r="F57" s="181"/>
      <c r="G57" s="161"/>
      <c r="H57" s="182"/>
      <c r="I57" s="180" t="s">
        <v>131</v>
      </c>
      <c r="J57" s="183">
        <v>380.0</v>
      </c>
      <c r="K57" s="156"/>
      <c r="L57" s="1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</row>
    <row r="58">
      <c r="A58" s="156"/>
      <c r="B58" s="156"/>
      <c r="C58" s="180">
        <v>45486.0</v>
      </c>
      <c r="D58" s="181"/>
      <c r="E58" s="181"/>
      <c r="F58" s="181"/>
      <c r="G58" s="161"/>
      <c r="H58" s="182"/>
      <c r="I58" s="180" t="s">
        <v>132</v>
      </c>
      <c r="J58" s="183">
        <v>60.0</v>
      </c>
      <c r="K58" s="156"/>
      <c r="L58" s="1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</row>
    <row r="59">
      <c r="A59" s="156"/>
      <c r="B59" s="156"/>
      <c r="C59" s="180">
        <v>45487.0</v>
      </c>
      <c r="D59" s="181"/>
      <c r="E59" s="181"/>
      <c r="F59" s="181"/>
      <c r="G59" s="161"/>
      <c r="H59" s="161"/>
      <c r="I59" s="161"/>
      <c r="J59" s="161"/>
      <c r="K59" s="156"/>
      <c r="L59" s="1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</row>
    <row r="60">
      <c r="A60" s="156"/>
      <c r="B60" s="156"/>
      <c r="C60" s="180">
        <v>45488.0</v>
      </c>
      <c r="D60" s="191"/>
      <c r="E60" s="181"/>
      <c r="F60" s="181"/>
      <c r="G60" s="161"/>
      <c r="H60" s="161"/>
      <c r="I60" s="161"/>
      <c r="J60" s="161"/>
      <c r="K60" s="156"/>
      <c r="L60" s="1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</row>
    <row r="61">
      <c r="A61" s="156"/>
      <c r="B61" s="156"/>
      <c r="C61" s="180">
        <v>45489.0</v>
      </c>
      <c r="D61" s="191"/>
      <c r="E61" s="181"/>
      <c r="F61" s="191"/>
      <c r="G61" s="161"/>
      <c r="H61" s="161"/>
      <c r="I61" s="161"/>
      <c r="J61" s="161"/>
      <c r="K61" s="156"/>
      <c r="L61" s="1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</row>
    <row r="62">
      <c r="A62" s="156"/>
      <c r="B62" s="156"/>
      <c r="C62" s="192" t="s">
        <v>133</v>
      </c>
      <c r="D62" s="193" t="str">
        <f t="shared" ref="D62:F62" si="16">AVERAGE(D55:D61)</f>
        <v>#DIV/0!</v>
      </c>
      <c r="E62" s="193" t="str">
        <f t="shared" si="16"/>
        <v>#DIV/0!</v>
      </c>
      <c r="F62" s="193" t="str">
        <f t="shared" si="16"/>
        <v>#DIV/0!</v>
      </c>
      <c r="G62" s="161"/>
      <c r="H62" s="161"/>
      <c r="I62" s="161"/>
      <c r="J62" s="161"/>
      <c r="K62" s="156"/>
      <c r="L62" s="1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</row>
    <row r="63">
      <c r="A63" s="156"/>
      <c r="B63" s="156"/>
      <c r="C63" s="162"/>
      <c r="D63" s="162"/>
      <c r="E63" s="162"/>
      <c r="F63" s="162"/>
      <c r="G63" s="161"/>
      <c r="H63" s="161"/>
      <c r="I63" s="161"/>
      <c r="J63" s="161"/>
      <c r="K63" s="156"/>
      <c r="L63" s="1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</row>
    <row r="64">
      <c r="A64" s="156"/>
      <c r="B64" s="156"/>
      <c r="C64" s="176" t="s">
        <v>134</v>
      </c>
      <c r="D64" s="41"/>
      <c r="E64" s="41"/>
      <c r="F64" s="41"/>
      <c r="G64" s="23"/>
      <c r="H64" s="195"/>
      <c r="I64" s="195"/>
      <c r="J64" s="195"/>
      <c r="K64" s="156"/>
      <c r="L64" s="1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</row>
    <row r="65">
      <c r="A65" s="156"/>
      <c r="B65" s="156"/>
      <c r="C65" s="180" t="s">
        <v>118</v>
      </c>
      <c r="D65" s="204" t="s">
        <v>151</v>
      </c>
      <c r="E65" s="180" t="s">
        <v>152</v>
      </c>
      <c r="F65" s="180" t="s">
        <v>121</v>
      </c>
      <c r="G65" s="180" t="s">
        <v>122</v>
      </c>
      <c r="H65" s="195"/>
      <c r="I65" s="195"/>
      <c r="J65" s="195"/>
      <c r="K65" s="156"/>
      <c r="L65" s="1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</row>
    <row r="66">
      <c r="A66" s="156"/>
      <c r="B66" s="156"/>
      <c r="C66" s="196"/>
      <c r="D66" s="196"/>
      <c r="E66" s="196"/>
      <c r="F66" s="196"/>
      <c r="G66" s="196"/>
      <c r="H66" s="195"/>
      <c r="I66" s="195"/>
      <c r="J66" s="195"/>
      <c r="K66" s="156"/>
      <c r="L66" s="1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</row>
    <row r="67" ht="21.0" customHeight="1">
      <c r="A67" s="156"/>
      <c r="B67" s="156"/>
      <c r="C67" s="156"/>
      <c r="D67" s="156"/>
      <c r="E67" s="156"/>
      <c r="F67" s="156"/>
      <c r="G67" s="156"/>
      <c r="H67" s="195"/>
      <c r="I67" s="195"/>
      <c r="J67" s="195"/>
      <c r="K67" s="156"/>
      <c r="L67" s="1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</row>
    <row r="68" ht="31.5" customHeight="1">
      <c r="A68" s="156"/>
      <c r="B68" s="156"/>
      <c r="C68" s="156"/>
      <c r="D68" s="156"/>
      <c r="E68" s="156"/>
      <c r="F68" s="156"/>
      <c r="G68" s="156"/>
      <c r="H68" s="195"/>
      <c r="I68" s="195"/>
      <c r="J68" s="195"/>
      <c r="K68" s="156"/>
      <c r="L68" s="1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</row>
    <row r="69" ht="30.0" customHeight="1">
      <c r="A69" s="156"/>
      <c r="B69" s="156"/>
      <c r="C69" s="162"/>
      <c r="D69" s="200" t="s">
        <v>3</v>
      </c>
      <c r="E69" s="23"/>
      <c r="F69" s="162"/>
      <c r="G69" s="161"/>
      <c r="H69" s="161"/>
      <c r="I69" s="161"/>
      <c r="J69" s="161"/>
      <c r="K69" s="156"/>
      <c r="L69" s="1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</row>
    <row r="70">
      <c r="A70" s="156"/>
      <c r="B70" s="156"/>
      <c r="C70" s="173" t="s">
        <v>123</v>
      </c>
      <c r="D70" s="173" t="s">
        <v>124</v>
      </c>
      <c r="E70" s="173" t="s">
        <v>125</v>
      </c>
      <c r="F70" s="173" t="s">
        <v>126</v>
      </c>
      <c r="G70" s="161"/>
      <c r="H70" s="175"/>
      <c r="I70" s="176" t="s">
        <v>127</v>
      </c>
      <c r="J70" s="23"/>
      <c r="K70" s="156"/>
      <c r="L70" s="1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</row>
    <row r="71">
      <c r="A71" s="156"/>
      <c r="B71" s="156"/>
      <c r="C71" s="180">
        <v>45483.0</v>
      </c>
      <c r="D71" s="181"/>
      <c r="E71" s="181"/>
      <c r="F71" s="181"/>
      <c r="G71" s="161"/>
      <c r="H71" s="182"/>
      <c r="I71" s="180" t="s">
        <v>129</v>
      </c>
      <c r="J71" s="183">
        <v>2700.0</v>
      </c>
      <c r="K71" s="156"/>
      <c r="L71" s="1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</row>
    <row r="72">
      <c r="A72" s="156"/>
      <c r="B72" s="156"/>
      <c r="C72" s="180">
        <v>45484.0</v>
      </c>
      <c r="D72" s="181"/>
      <c r="E72" s="181"/>
      <c r="F72" s="181"/>
      <c r="G72" s="161"/>
      <c r="H72" s="182"/>
      <c r="I72" s="180" t="s">
        <v>130</v>
      </c>
      <c r="J72" s="183">
        <v>160.0</v>
      </c>
      <c r="K72" s="156"/>
      <c r="L72" s="1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</row>
    <row r="73">
      <c r="A73" s="156"/>
      <c r="B73" s="156"/>
      <c r="C73" s="180">
        <v>45485.0</v>
      </c>
      <c r="D73" s="181"/>
      <c r="E73" s="181"/>
      <c r="F73" s="181"/>
      <c r="G73" s="161"/>
      <c r="H73" s="182"/>
      <c r="I73" s="180" t="s">
        <v>131</v>
      </c>
      <c r="J73" s="183">
        <v>380.0</v>
      </c>
      <c r="K73" s="156"/>
      <c r="L73" s="1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</row>
    <row r="74">
      <c r="A74" s="156"/>
      <c r="B74" s="156"/>
      <c r="C74" s="180">
        <v>45486.0</v>
      </c>
      <c r="D74" s="181"/>
      <c r="E74" s="181"/>
      <c r="F74" s="181"/>
      <c r="G74" s="161"/>
      <c r="H74" s="182"/>
      <c r="I74" s="180" t="s">
        <v>132</v>
      </c>
      <c r="J74" s="183">
        <v>60.0</v>
      </c>
      <c r="K74" s="156"/>
      <c r="L74" s="1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</row>
    <row r="75">
      <c r="A75" s="156"/>
      <c r="B75" s="156"/>
      <c r="C75" s="180">
        <v>45487.0</v>
      </c>
      <c r="D75" s="181"/>
      <c r="E75" s="181"/>
      <c r="F75" s="181"/>
      <c r="G75" s="161"/>
      <c r="H75" s="161"/>
      <c r="I75" s="161"/>
      <c r="J75" s="161"/>
      <c r="K75" s="156"/>
      <c r="L75" s="1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</row>
    <row r="76">
      <c r="A76" s="156"/>
      <c r="B76" s="156"/>
      <c r="C76" s="180">
        <v>45488.0</v>
      </c>
      <c r="D76" s="191"/>
      <c r="E76" s="181"/>
      <c r="F76" s="181"/>
      <c r="G76" s="161"/>
      <c r="H76" s="161"/>
      <c r="I76" s="161"/>
      <c r="J76" s="161"/>
      <c r="K76" s="156"/>
      <c r="L76" s="1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</row>
    <row r="77">
      <c r="A77" s="156"/>
      <c r="B77" s="156"/>
      <c r="C77" s="180">
        <v>45489.0</v>
      </c>
      <c r="D77" s="191"/>
      <c r="E77" s="181"/>
      <c r="F77" s="191"/>
      <c r="G77" s="161"/>
      <c r="H77" s="161"/>
      <c r="I77" s="161"/>
      <c r="J77" s="161"/>
      <c r="K77" s="156"/>
      <c r="L77" s="1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</row>
    <row r="78">
      <c r="A78" s="156"/>
      <c r="B78" s="156"/>
      <c r="C78" s="192" t="s">
        <v>133</v>
      </c>
      <c r="D78" s="193" t="str">
        <f t="shared" ref="D78:F78" si="17">AVERAGE(D71:D77)</f>
        <v>#DIV/0!</v>
      </c>
      <c r="E78" s="193" t="str">
        <f t="shared" si="17"/>
        <v>#DIV/0!</v>
      </c>
      <c r="F78" s="193" t="str">
        <f t="shared" si="17"/>
        <v>#DIV/0!</v>
      </c>
      <c r="G78" s="161"/>
      <c r="H78" s="161"/>
      <c r="I78" s="161"/>
      <c r="J78" s="161"/>
      <c r="K78" s="156"/>
      <c r="L78" s="1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</row>
    <row r="79">
      <c r="A79" s="156"/>
      <c r="B79" s="156"/>
      <c r="C79" s="162"/>
      <c r="D79" s="162"/>
      <c r="E79" s="162"/>
      <c r="F79" s="162"/>
      <c r="G79" s="161"/>
      <c r="H79" s="161"/>
      <c r="I79" s="161"/>
      <c r="J79" s="161"/>
      <c r="K79" s="156"/>
      <c r="L79" s="1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</row>
    <row r="80">
      <c r="A80" s="156"/>
      <c r="B80" s="156"/>
      <c r="C80" s="176" t="s">
        <v>134</v>
      </c>
      <c r="D80" s="41"/>
      <c r="E80" s="41"/>
      <c r="F80" s="41"/>
      <c r="G80" s="23"/>
      <c r="H80" s="195"/>
      <c r="I80" s="195"/>
      <c r="J80" s="195"/>
      <c r="K80" s="156"/>
      <c r="L80" s="1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</row>
    <row r="81">
      <c r="A81" s="156"/>
      <c r="B81" s="156"/>
      <c r="C81" s="180" t="s">
        <v>118</v>
      </c>
      <c r="D81" s="204" t="s">
        <v>151</v>
      </c>
      <c r="E81" s="180" t="s">
        <v>152</v>
      </c>
      <c r="F81" s="180" t="s">
        <v>121</v>
      </c>
      <c r="G81" s="180" t="s">
        <v>122</v>
      </c>
      <c r="H81" s="195"/>
      <c r="I81" s="195"/>
      <c r="J81" s="195"/>
      <c r="K81" s="156"/>
      <c r="L81" s="1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</row>
    <row r="82">
      <c r="A82" s="156"/>
      <c r="B82" s="156"/>
      <c r="C82" s="196"/>
      <c r="D82" s="196"/>
      <c r="E82" s="196"/>
      <c r="F82" s="196"/>
      <c r="G82" s="196"/>
      <c r="H82" s="195"/>
      <c r="I82" s="195"/>
      <c r="J82" s="195"/>
      <c r="K82" s="156"/>
      <c r="L82" s="1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</row>
    <row r="83">
      <c r="A83" s="156"/>
      <c r="B83" s="156"/>
      <c r="C83" s="156"/>
      <c r="D83" s="156"/>
      <c r="E83" s="156"/>
      <c r="F83" s="156"/>
      <c r="G83" s="156"/>
      <c r="H83" s="195"/>
      <c r="I83" s="195"/>
      <c r="J83" s="195"/>
      <c r="K83" s="156"/>
      <c r="L83" s="1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</row>
    <row r="84">
      <c r="A84" s="156"/>
      <c r="B84" s="156"/>
      <c r="C84" s="156"/>
      <c r="D84" s="156"/>
      <c r="E84" s="156"/>
      <c r="F84" s="156"/>
      <c r="G84" s="156"/>
      <c r="H84" s="195"/>
      <c r="I84" s="195"/>
      <c r="J84" s="195"/>
      <c r="K84" s="156"/>
      <c r="L84" s="1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</row>
    <row r="85" ht="30.0" customHeight="1">
      <c r="A85" s="156"/>
      <c r="B85" s="156"/>
      <c r="C85" s="162"/>
      <c r="D85" s="200" t="s">
        <v>140</v>
      </c>
      <c r="E85" s="23"/>
      <c r="F85" s="162"/>
      <c r="G85" s="161"/>
      <c r="H85" s="161"/>
      <c r="I85" s="161"/>
      <c r="J85" s="161"/>
      <c r="K85" s="156"/>
      <c r="L85" s="1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</row>
    <row r="86">
      <c r="A86" s="156"/>
      <c r="B86" s="156"/>
      <c r="C86" s="173" t="s">
        <v>123</v>
      </c>
      <c r="D86" s="173" t="s">
        <v>124</v>
      </c>
      <c r="E86" s="173" t="s">
        <v>125</v>
      </c>
      <c r="F86" s="173" t="s">
        <v>126</v>
      </c>
      <c r="G86" s="161"/>
      <c r="H86" s="175"/>
      <c r="I86" s="176" t="s">
        <v>127</v>
      </c>
      <c r="J86" s="23"/>
      <c r="K86" s="156"/>
      <c r="L86" s="1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</row>
    <row r="87">
      <c r="A87" s="156"/>
      <c r="B87" s="156"/>
      <c r="C87" s="180">
        <v>45483.0</v>
      </c>
      <c r="D87" s="181"/>
      <c r="E87" s="181"/>
      <c r="F87" s="181"/>
      <c r="G87" s="161"/>
      <c r="H87" s="182"/>
      <c r="I87" s="180" t="s">
        <v>129</v>
      </c>
      <c r="J87" s="183">
        <v>2700.0</v>
      </c>
      <c r="K87" s="156"/>
      <c r="L87" s="1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</row>
    <row r="88">
      <c r="A88" s="156"/>
      <c r="B88" s="156"/>
      <c r="C88" s="180">
        <v>45484.0</v>
      </c>
      <c r="D88" s="181"/>
      <c r="E88" s="181"/>
      <c r="F88" s="181"/>
      <c r="G88" s="161"/>
      <c r="H88" s="182"/>
      <c r="I88" s="180" t="s">
        <v>130</v>
      </c>
      <c r="J88" s="183">
        <v>160.0</v>
      </c>
      <c r="K88" s="156"/>
      <c r="L88" s="1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</row>
    <row r="89">
      <c r="A89" s="156"/>
      <c r="B89" s="156"/>
      <c r="C89" s="180">
        <v>45485.0</v>
      </c>
      <c r="D89" s="181"/>
      <c r="E89" s="181"/>
      <c r="F89" s="181"/>
      <c r="G89" s="161"/>
      <c r="H89" s="182"/>
      <c r="I89" s="180" t="s">
        <v>131</v>
      </c>
      <c r="J89" s="183">
        <v>380.0</v>
      </c>
      <c r="K89" s="156"/>
      <c r="L89" s="1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</row>
    <row r="90">
      <c r="A90" s="156"/>
      <c r="B90" s="156"/>
      <c r="C90" s="180">
        <v>45486.0</v>
      </c>
      <c r="D90" s="181"/>
      <c r="E90" s="181"/>
      <c r="F90" s="181"/>
      <c r="G90" s="161"/>
      <c r="H90" s="182"/>
      <c r="I90" s="180" t="s">
        <v>132</v>
      </c>
      <c r="J90" s="183">
        <v>60.0</v>
      </c>
      <c r="K90" s="156"/>
      <c r="L90" s="1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</row>
    <row r="91">
      <c r="A91" s="156"/>
      <c r="B91" s="156"/>
      <c r="C91" s="180">
        <v>45487.0</v>
      </c>
      <c r="D91" s="181"/>
      <c r="E91" s="181"/>
      <c r="F91" s="181"/>
      <c r="G91" s="161"/>
      <c r="H91" s="161"/>
      <c r="I91" s="161"/>
      <c r="J91" s="161"/>
      <c r="K91" s="156"/>
      <c r="L91" s="1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</row>
    <row r="92">
      <c r="A92" s="156"/>
      <c r="B92" s="156"/>
      <c r="C92" s="180">
        <v>45488.0</v>
      </c>
      <c r="D92" s="191"/>
      <c r="E92" s="181"/>
      <c r="F92" s="181"/>
      <c r="G92" s="161"/>
      <c r="H92" s="161"/>
      <c r="I92" s="161"/>
      <c r="J92" s="161"/>
      <c r="K92" s="156"/>
      <c r="L92" s="1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</row>
    <row r="93">
      <c r="A93" s="156"/>
      <c r="B93" s="156"/>
      <c r="C93" s="180">
        <v>45489.0</v>
      </c>
      <c r="D93" s="191"/>
      <c r="E93" s="181"/>
      <c r="F93" s="191"/>
      <c r="G93" s="161"/>
      <c r="H93" s="161"/>
      <c r="I93" s="161"/>
      <c r="J93" s="161"/>
      <c r="K93" s="156"/>
      <c r="L93" s="1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</row>
    <row r="94">
      <c r="A94" s="156"/>
      <c r="B94" s="156"/>
      <c r="C94" s="192" t="s">
        <v>133</v>
      </c>
      <c r="D94" s="193" t="str">
        <f t="shared" ref="D94:F94" si="18">AVERAGE(D87:D93)</f>
        <v>#DIV/0!</v>
      </c>
      <c r="E94" s="193" t="str">
        <f t="shared" si="18"/>
        <v>#DIV/0!</v>
      </c>
      <c r="F94" s="193" t="str">
        <f t="shared" si="18"/>
        <v>#DIV/0!</v>
      </c>
      <c r="G94" s="161"/>
      <c r="H94" s="161"/>
      <c r="I94" s="161"/>
      <c r="J94" s="161"/>
      <c r="K94" s="156"/>
      <c r="L94" s="1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</row>
    <row r="95">
      <c r="A95" s="156"/>
      <c r="B95" s="156"/>
      <c r="C95" s="162"/>
      <c r="D95" s="162"/>
      <c r="E95" s="162"/>
      <c r="F95" s="162"/>
      <c r="G95" s="161"/>
      <c r="H95" s="161"/>
      <c r="I95" s="161"/>
      <c r="J95" s="161"/>
      <c r="K95" s="156"/>
      <c r="L95" s="1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</row>
    <row r="96">
      <c r="A96" s="156"/>
      <c r="B96" s="156"/>
      <c r="C96" s="176" t="s">
        <v>134</v>
      </c>
      <c r="D96" s="41"/>
      <c r="E96" s="41"/>
      <c r="F96" s="41"/>
      <c r="G96" s="23"/>
      <c r="H96" s="195"/>
      <c r="I96" s="195"/>
      <c r="J96" s="195"/>
      <c r="K96" s="156"/>
      <c r="L96" s="1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</row>
    <row r="97">
      <c r="A97" s="156"/>
      <c r="B97" s="156"/>
      <c r="C97" s="180" t="s">
        <v>118</v>
      </c>
      <c r="D97" s="204" t="s">
        <v>151</v>
      </c>
      <c r="E97" s="180" t="s">
        <v>152</v>
      </c>
      <c r="F97" s="180" t="s">
        <v>121</v>
      </c>
      <c r="G97" s="180" t="s">
        <v>122</v>
      </c>
      <c r="H97" s="195"/>
      <c r="I97" s="195"/>
      <c r="J97" s="195"/>
      <c r="K97" s="156"/>
      <c r="L97" s="1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</row>
    <row r="98">
      <c r="A98" s="156"/>
      <c r="B98" s="156"/>
      <c r="C98" s="196"/>
      <c r="D98" s="196"/>
      <c r="E98" s="196"/>
      <c r="F98" s="196"/>
      <c r="G98" s="196"/>
      <c r="H98" s="195"/>
      <c r="I98" s="195"/>
      <c r="J98" s="195"/>
      <c r="K98" s="156"/>
      <c r="L98" s="1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</row>
    <row r="99">
      <c r="A99" s="156"/>
      <c r="B99" s="156"/>
      <c r="C99" s="156"/>
      <c r="D99" s="156"/>
      <c r="E99" s="156"/>
      <c r="F99" s="156"/>
      <c r="G99" s="156"/>
      <c r="H99" s="195"/>
      <c r="I99" s="195"/>
      <c r="J99" s="195"/>
      <c r="K99" s="156"/>
      <c r="L99" s="1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</row>
    <row r="100">
      <c r="A100" s="156"/>
      <c r="B100" s="156"/>
      <c r="C100" s="156"/>
      <c r="D100" s="156"/>
      <c r="E100" s="156"/>
      <c r="F100" s="156"/>
      <c r="G100" s="156"/>
      <c r="H100" s="195"/>
      <c r="I100" s="195"/>
      <c r="J100" s="195"/>
      <c r="K100" s="156"/>
      <c r="L100" s="1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</row>
    <row r="101" ht="27.0" customHeight="1">
      <c r="A101" s="156"/>
      <c r="B101" s="156"/>
      <c r="C101" s="162"/>
      <c r="D101" s="200" t="s">
        <v>141</v>
      </c>
      <c r="E101" s="23"/>
      <c r="F101" s="162"/>
      <c r="G101" s="161"/>
      <c r="H101" s="161"/>
      <c r="I101" s="161"/>
      <c r="J101" s="161"/>
      <c r="K101" s="156"/>
      <c r="L101" s="1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</row>
    <row r="102">
      <c r="A102" s="156"/>
      <c r="B102" s="156"/>
      <c r="C102" s="173" t="s">
        <v>123</v>
      </c>
      <c r="D102" s="173" t="s">
        <v>124</v>
      </c>
      <c r="E102" s="173" t="s">
        <v>125</v>
      </c>
      <c r="F102" s="173" t="s">
        <v>126</v>
      </c>
      <c r="G102" s="161"/>
      <c r="H102" s="175"/>
      <c r="I102" s="176" t="s">
        <v>127</v>
      </c>
      <c r="J102" s="23"/>
      <c r="K102" s="156"/>
      <c r="L102" s="1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</row>
    <row r="103">
      <c r="A103" s="156"/>
      <c r="B103" s="156"/>
      <c r="C103" s="180">
        <v>45483.0</v>
      </c>
      <c r="D103" s="181"/>
      <c r="E103" s="181"/>
      <c r="F103" s="181"/>
      <c r="G103" s="161"/>
      <c r="H103" s="182"/>
      <c r="I103" s="180" t="s">
        <v>129</v>
      </c>
      <c r="J103" s="183">
        <v>2700.0</v>
      </c>
      <c r="K103" s="156"/>
      <c r="L103" s="1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</row>
    <row r="104">
      <c r="A104" s="156"/>
      <c r="B104" s="156"/>
      <c r="C104" s="180">
        <v>45484.0</v>
      </c>
      <c r="D104" s="181"/>
      <c r="E104" s="181"/>
      <c r="F104" s="181"/>
      <c r="G104" s="161"/>
      <c r="H104" s="182"/>
      <c r="I104" s="180" t="s">
        <v>130</v>
      </c>
      <c r="J104" s="183">
        <v>160.0</v>
      </c>
      <c r="K104" s="156"/>
      <c r="L104" s="1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</row>
    <row r="105">
      <c r="A105" s="156"/>
      <c r="B105" s="156"/>
      <c r="C105" s="180">
        <v>45485.0</v>
      </c>
      <c r="D105" s="181"/>
      <c r="E105" s="181"/>
      <c r="F105" s="181"/>
      <c r="G105" s="161"/>
      <c r="H105" s="182"/>
      <c r="I105" s="180" t="s">
        <v>131</v>
      </c>
      <c r="J105" s="183">
        <v>380.0</v>
      </c>
      <c r="K105" s="156"/>
      <c r="L105" s="1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</row>
    <row r="106">
      <c r="A106" s="156"/>
      <c r="B106" s="156"/>
      <c r="C106" s="180">
        <v>45486.0</v>
      </c>
      <c r="D106" s="181"/>
      <c r="E106" s="181"/>
      <c r="F106" s="181"/>
      <c r="G106" s="161"/>
      <c r="H106" s="182"/>
      <c r="I106" s="180" t="s">
        <v>132</v>
      </c>
      <c r="J106" s="183">
        <v>60.0</v>
      </c>
      <c r="K106" s="156"/>
      <c r="L106" s="1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</row>
    <row r="107">
      <c r="A107" s="156"/>
      <c r="B107" s="156"/>
      <c r="C107" s="180">
        <v>45487.0</v>
      </c>
      <c r="D107" s="181"/>
      <c r="E107" s="181"/>
      <c r="F107" s="181"/>
      <c r="G107" s="161"/>
      <c r="H107" s="161"/>
      <c r="I107" s="161"/>
      <c r="J107" s="161"/>
      <c r="K107" s="156"/>
      <c r="L107" s="1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</row>
    <row r="108">
      <c r="A108" s="156"/>
      <c r="B108" s="156"/>
      <c r="C108" s="180">
        <v>45488.0</v>
      </c>
      <c r="D108" s="191"/>
      <c r="E108" s="181"/>
      <c r="F108" s="181"/>
      <c r="G108" s="161"/>
      <c r="H108" s="161"/>
      <c r="I108" s="161"/>
      <c r="J108" s="161"/>
      <c r="K108" s="156"/>
      <c r="L108" s="1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</row>
    <row r="109">
      <c r="A109" s="156"/>
      <c r="B109" s="156"/>
      <c r="C109" s="180">
        <v>45489.0</v>
      </c>
      <c r="D109" s="191"/>
      <c r="E109" s="181"/>
      <c r="F109" s="191"/>
      <c r="G109" s="161"/>
      <c r="H109" s="161"/>
      <c r="I109" s="161"/>
      <c r="J109" s="161"/>
      <c r="K109" s="156"/>
      <c r="L109" s="1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</row>
    <row r="110">
      <c r="A110" s="156"/>
      <c r="B110" s="156"/>
      <c r="C110" s="192" t="s">
        <v>133</v>
      </c>
      <c r="D110" s="193" t="str">
        <f t="shared" ref="D110:F110" si="19">AVERAGE(D103:D109)</f>
        <v>#DIV/0!</v>
      </c>
      <c r="E110" s="193" t="str">
        <f t="shared" si="19"/>
        <v>#DIV/0!</v>
      </c>
      <c r="F110" s="193" t="str">
        <f t="shared" si="19"/>
        <v>#DIV/0!</v>
      </c>
      <c r="G110" s="161"/>
      <c r="H110" s="161"/>
      <c r="I110" s="161"/>
      <c r="J110" s="161"/>
      <c r="K110" s="156"/>
      <c r="L110" s="1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</row>
    <row r="111">
      <c r="A111" s="156"/>
      <c r="B111" s="156"/>
      <c r="C111" s="162"/>
      <c r="D111" s="162"/>
      <c r="E111" s="162"/>
      <c r="F111" s="162"/>
      <c r="G111" s="161"/>
      <c r="H111" s="161"/>
      <c r="I111" s="161"/>
      <c r="J111" s="161"/>
      <c r="K111" s="156"/>
      <c r="L111" s="1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</row>
    <row r="112">
      <c r="A112" s="156"/>
      <c r="B112" s="156"/>
      <c r="C112" s="176" t="s">
        <v>134</v>
      </c>
      <c r="D112" s="41"/>
      <c r="E112" s="41"/>
      <c r="F112" s="41"/>
      <c r="G112" s="23"/>
      <c r="H112" s="195"/>
      <c r="I112" s="195"/>
      <c r="J112" s="195"/>
      <c r="K112" s="156"/>
      <c r="L112" s="1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</row>
    <row r="113">
      <c r="A113" s="156"/>
      <c r="B113" s="156"/>
      <c r="C113" s="180" t="s">
        <v>118</v>
      </c>
      <c r="D113" s="204" t="s">
        <v>151</v>
      </c>
      <c r="E113" s="180" t="s">
        <v>152</v>
      </c>
      <c r="F113" s="180" t="s">
        <v>121</v>
      </c>
      <c r="G113" s="180" t="s">
        <v>122</v>
      </c>
      <c r="H113" s="195"/>
      <c r="I113" s="195"/>
      <c r="J113" s="195"/>
      <c r="K113" s="156"/>
      <c r="L113" s="1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</row>
    <row r="114">
      <c r="A114" s="156"/>
      <c r="B114" s="156"/>
      <c r="C114" s="196"/>
      <c r="D114" s="196"/>
      <c r="E114" s="196"/>
      <c r="F114" s="196"/>
      <c r="G114" s="196"/>
      <c r="H114" s="195"/>
      <c r="I114" s="195"/>
      <c r="J114" s="195"/>
      <c r="K114" s="156"/>
      <c r="L114" s="1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</row>
    <row r="115">
      <c r="A115" s="156"/>
      <c r="B115" s="156"/>
      <c r="C115" s="161"/>
      <c r="D115" s="161"/>
      <c r="E115" s="161"/>
      <c r="F115" s="161"/>
      <c r="G115" s="156"/>
      <c r="H115" s="156"/>
      <c r="I115" s="156"/>
      <c r="J115" s="156"/>
      <c r="K115" s="156"/>
      <c r="L115" s="1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</row>
    <row r="116">
      <c r="A116" s="156"/>
      <c r="B116" s="156"/>
      <c r="C116" s="16"/>
      <c r="D116" s="16"/>
      <c r="E116" s="16"/>
      <c r="F116" s="16"/>
      <c r="G116" s="156"/>
      <c r="H116" s="156"/>
      <c r="I116" s="156"/>
      <c r="J116" s="156"/>
      <c r="K116" s="156"/>
      <c r="L116" s="1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</row>
    <row r="117">
      <c r="A117" s="156"/>
      <c r="B117" s="156"/>
      <c r="C117" s="16"/>
      <c r="D117" s="16"/>
      <c r="E117" s="16"/>
      <c r="F117" s="16"/>
      <c r="G117" s="156"/>
      <c r="H117" s="156"/>
      <c r="I117" s="156"/>
      <c r="J117" s="156"/>
      <c r="K117" s="156"/>
      <c r="L117" s="1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</row>
    <row r="118" ht="30.0" customHeight="1">
      <c r="A118" s="156"/>
      <c r="B118" s="156"/>
      <c r="C118" s="162"/>
      <c r="D118" s="200" t="s">
        <v>142</v>
      </c>
      <c r="E118" s="23"/>
      <c r="F118" s="162"/>
      <c r="G118" s="161"/>
      <c r="H118" s="161"/>
      <c r="I118" s="161"/>
      <c r="J118" s="161"/>
      <c r="K118" s="156"/>
      <c r="L118" s="1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</row>
    <row r="119">
      <c r="A119" s="156"/>
      <c r="B119" s="156"/>
      <c r="C119" s="173" t="s">
        <v>123</v>
      </c>
      <c r="D119" s="173" t="s">
        <v>124</v>
      </c>
      <c r="E119" s="173" t="s">
        <v>125</v>
      </c>
      <c r="F119" s="173" t="s">
        <v>126</v>
      </c>
      <c r="G119" s="161"/>
      <c r="H119" s="175"/>
      <c r="I119" s="176" t="s">
        <v>127</v>
      </c>
      <c r="J119" s="23"/>
      <c r="K119" s="156"/>
      <c r="L119" s="1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</row>
    <row r="120">
      <c r="A120" s="156"/>
      <c r="B120" s="156"/>
      <c r="C120" s="180">
        <v>45483.0</v>
      </c>
      <c r="D120" s="181"/>
      <c r="E120" s="181"/>
      <c r="F120" s="181"/>
      <c r="G120" s="161"/>
      <c r="H120" s="182"/>
      <c r="I120" s="180" t="s">
        <v>129</v>
      </c>
      <c r="J120" s="183">
        <v>2700.0</v>
      </c>
      <c r="K120" s="156"/>
      <c r="L120" s="1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</row>
    <row r="121">
      <c r="A121" s="156"/>
      <c r="B121" s="156"/>
      <c r="C121" s="180">
        <v>45484.0</v>
      </c>
      <c r="D121" s="181"/>
      <c r="E121" s="181"/>
      <c r="F121" s="181"/>
      <c r="G121" s="161"/>
      <c r="H121" s="182"/>
      <c r="I121" s="180" t="s">
        <v>130</v>
      </c>
      <c r="J121" s="183">
        <v>160.0</v>
      </c>
      <c r="K121" s="156"/>
      <c r="L121" s="1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</row>
    <row r="122">
      <c r="A122" s="156"/>
      <c r="B122" s="156"/>
      <c r="C122" s="180">
        <v>45485.0</v>
      </c>
      <c r="D122" s="181"/>
      <c r="E122" s="181"/>
      <c r="F122" s="181"/>
      <c r="G122" s="161"/>
      <c r="H122" s="182"/>
      <c r="I122" s="180" t="s">
        <v>131</v>
      </c>
      <c r="J122" s="183">
        <v>380.0</v>
      </c>
      <c r="K122" s="156"/>
      <c r="L122" s="1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</row>
    <row r="123">
      <c r="A123" s="156"/>
      <c r="B123" s="156"/>
      <c r="C123" s="180">
        <v>45486.0</v>
      </c>
      <c r="D123" s="181"/>
      <c r="E123" s="181"/>
      <c r="F123" s="181"/>
      <c r="G123" s="161"/>
      <c r="H123" s="182"/>
      <c r="I123" s="180" t="s">
        <v>132</v>
      </c>
      <c r="J123" s="183">
        <v>60.0</v>
      </c>
      <c r="K123" s="156"/>
      <c r="L123" s="1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</row>
    <row r="124">
      <c r="A124" s="156"/>
      <c r="B124" s="156"/>
      <c r="C124" s="180">
        <v>45487.0</v>
      </c>
      <c r="D124" s="181"/>
      <c r="E124" s="181"/>
      <c r="F124" s="181"/>
      <c r="G124" s="161"/>
      <c r="H124" s="161"/>
      <c r="I124" s="161"/>
      <c r="J124" s="161"/>
      <c r="K124" s="156"/>
      <c r="L124" s="1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</row>
    <row r="125">
      <c r="A125" s="156"/>
      <c r="B125" s="156"/>
      <c r="C125" s="180">
        <v>45488.0</v>
      </c>
      <c r="D125" s="191"/>
      <c r="E125" s="181"/>
      <c r="F125" s="181"/>
      <c r="G125" s="161"/>
      <c r="H125" s="161"/>
      <c r="I125" s="161"/>
      <c r="J125" s="161"/>
      <c r="K125" s="156"/>
      <c r="L125" s="1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</row>
    <row r="126">
      <c r="A126" s="156"/>
      <c r="B126" s="156"/>
      <c r="C126" s="180">
        <v>45489.0</v>
      </c>
      <c r="D126" s="191"/>
      <c r="E126" s="181"/>
      <c r="F126" s="191"/>
      <c r="G126" s="161"/>
      <c r="H126" s="161"/>
      <c r="I126" s="161"/>
      <c r="J126" s="161"/>
      <c r="K126" s="156"/>
      <c r="L126" s="1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</row>
    <row r="127">
      <c r="A127" s="156"/>
      <c r="B127" s="156"/>
      <c r="C127" s="192" t="s">
        <v>133</v>
      </c>
      <c r="D127" s="193" t="str">
        <f t="shared" ref="D127:F127" si="20">AVERAGE(D120:D126)</f>
        <v>#DIV/0!</v>
      </c>
      <c r="E127" s="193" t="str">
        <f t="shared" si="20"/>
        <v>#DIV/0!</v>
      </c>
      <c r="F127" s="193" t="str">
        <f t="shared" si="20"/>
        <v>#DIV/0!</v>
      </c>
      <c r="G127" s="161"/>
      <c r="H127" s="161"/>
      <c r="I127" s="161"/>
      <c r="J127" s="161"/>
      <c r="K127" s="156"/>
      <c r="L127" s="1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</row>
    <row r="128">
      <c r="A128" s="156"/>
      <c r="B128" s="156"/>
      <c r="C128" s="162"/>
      <c r="D128" s="162"/>
      <c r="E128" s="162"/>
      <c r="F128" s="162"/>
      <c r="G128" s="161"/>
      <c r="H128" s="161"/>
      <c r="I128" s="161"/>
      <c r="J128" s="161"/>
      <c r="K128" s="156"/>
      <c r="L128" s="1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</row>
    <row r="129">
      <c r="A129" s="156"/>
      <c r="B129" s="156"/>
      <c r="C129" s="176" t="s">
        <v>134</v>
      </c>
      <c r="D129" s="41"/>
      <c r="E129" s="41"/>
      <c r="F129" s="41"/>
      <c r="G129" s="23"/>
      <c r="H129" s="195"/>
      <c r="I129" s="195"/>
      <c r="J129" s="195"/>
      <c r="K129" s="156"/>
      <c r="L129" s="1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</row>
    <row r="130">
      <c r="A130" s="156"/>
      <c r="B130" s="156"/>
      <c r="C130" s="180" t="s">
        <v>118</v>
      </c>
      <c r="D130" s="204" t="s">
        <v>151</v>
      </c>
      <c r="E130" s="180" t="s">
        <v>152</v>
      </c>
      <c r="F130" s="180" t="s">
        <v>121</v>
      </c>
      <c r="G130" s="180" t="s">
        <v>122</v>
      </c>
      <c r="H130" s="195"/>
      <c r="I130" s="195"/>
      <c r="J130" s="195"/>
      <c r="K130" s="156"/>
      <c r="L130" s="1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</row>
    <row r="131">
      <c r="A131" s="156"/>
      <c r="B131" s="156"/>
      <c r="C131" s="196"/>
      <c r="D131" s="196"/>
      <c r="E131" s="196"/>
      <c r="F131" s="196"/>
      <c r="G131" s="196"/>
      <c r="H131" s="195"/>
      <c r="I131" s="195"/>
      <c r="J131" s="195"/>
      <c r="K131" s="156"/>
      <c r="L131" s="1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</row>
    <row r="132">
      <c r="A132" s="156"/>
      <c r="B132" s="156"/>
      <c r="C132" s="156"/>
      <c r="D132" s="156"/>
      <c r="E132" s="156"/>
      <c r="F132" s="156"/>
      <c r="G132" s="156"/>
      <c r="H132" s="195"/>
      <c r="I132" s="195"/>
      <c r="J132" s="195"/>
      <c r="K132" s="156"/>
      <c r="L132" s="1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</row>
    <row r="133">
      <c r="A133" s="156"/>
      <c r="B133" s="156"/>
      <c r="C133" s="156"/>
      <c r="D133" s="156"/>
      <c r="E133" s="156"/>
      <c r="F133" s="156"/>
      <c r="G133" s="156"/>
      <c r="H133" s="195"/>
      <c r="I133" s="195"/>
      <c r="J133" s="195"/>
      <c r="K133" s="156"/>
      <c r="L133" s="1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</row>
    <row r="134">
      <c r="A134" s="156"/>
      <c r="B134" s="156"/>
      <c r="C134" s="156"/>
      <c r="D134" s="156"/>
      <c r="E134" s="156"/>
      <c r="F134" s="156"/>
      <c r="G134" s="156"/>
      <c r="H134" s="195"/>
      <c r="I134" s="195"/>
      <c r="J134" s="195"/>
      <c r="K134" s="156"/>
      <c r="L134" s="1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</row>
    <row r="135" ht="31.5" customHeight="1">
      <c r="A135" s="156"/>
      <c r="B135" s="156"/>
      <c r="C135" s="162"/>
      <c r="D135" s="200" t="s">
        <v>143</v>
      </c>
      <c r="E135" s="23"/>
      <c r="F135" s="162"/>
      <c r="G135" s="161"/>
      <c r="H135" s="161"/>
      <c r="I135" s="161"/>
      <c r="J135" s="161"/>
      <c r="K135" s="156"/>
      <c r="L135" s="1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</row>
    <row r="136">
      <c r="A136" s="156"/>
      <c r="B136" s="156"/>
      <c r="C136" s="173" t="s">
        <v>123</v>
      </c>
      <c r="D136" s="173" t="s">
        <v>124</v>
      </c>
      <c r="E136" s="173" t="s">
        <v>125</v>
      </c>
      <c r="F136" s="173" t="s">
        <v>126</v>
      </c>
      <c r="G136" s="161"/>
      <c r="H136" s="175"/>
      <c r="I136" s="176" t="s">
        <v>127</v>
      </c>
      <c r="J136" s="23"/>
      <c r="K136" s="156"/>
      <c r="L136" s="1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</row>
    <row r="137">
      <c r="A137" s="156"/>
      <c r="B137" s="156"/>
      <c r="C137" s="180">
        <v>45483.0</v>
      </c>
      <c r="D137" s="181"/>
      <c r="E137" s="181"/>
      <c r="F137" s="181"/>
      <c r="G137" s="161"/>
      <c r="H137" s="182"/>
      <c r="I137" s="180" t="s">
        <v>129</v>
      </c>
      <c r="J137" s="183">
        <v>2700.0</v>
      </c>
      <c r="K137" s="156"/>
      <c r="L137" s="1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</row>
    <row r="138">
      <c r="A138" s="156"/>
      <c r="B138" s="156"/>
      <c r="C138" s="180">
        <v>45484.0</v>
      </c>
      <c r="D138" s="181"/>
      <c r="E138" s="181"/>
      <c r="F138" s="181"/>
      <c r="G138" s="161"/>
      <c r="H138" s="182"/>
      <c r="I138" s="180" t="s">
        <v>130</v>
      </c>
      <c r="J138" s="183">
        <v>160.0</v>
      </c>
      <c r="K138" s="156"/>
      <c r="L138" s="1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</row>
    <row r="139">
      <c r="A139" s="156"/>
      <c r="B139" s="156"/>
      <c r="C139" s="180">
        <v>45485.0</v>
      </c>
      <c r="D139" s="181"/>
      <c r="E139" s="181"/>
      <c r="F139" s="181"/>
      <c r="G139" s="161"/>
      <c r="H139" s="182"/>
      <c r="I139" s="180" t="s">
        <v>131</v>
      </c>
      <c r="J139" s="183">
        <v>380.0</v>
      </c>
      <c r="K139" s="156"/>
      <c r="L139" s="1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</row>
    <row r="140">
      <c r="A140" s="156"/>
      <c r="B140" s="156"/>
      <c r="C140" s="180">
        <v>45486.0</v>
      </c>
      <c r="D140" s="181"/>
      <c r="E140" s="181"/>
      <c r="F140" s="181"/>
      <c r="G140" s="161"/>
      <c r="H140" s="182"/>
      <c r="I140" s="180" t="s">
        <v>132</v>
      </c>
      <c r="J140" s="183">
        <v>60.0</v>
      </c>
      <c r="K140" s="156"/>
      <c r="L140" s="1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</row>
    <row r="141">
      <c r="A141" s="156"/>
      <c r="B141" s="156"/>
      <c r="C141" s="180">
        <v>45487.0</v>
      </c>
      <c r="D141" s="181"/>
      <c r="E141" s="181"/>
      <c r="F141" s="181"/>
      <c r="G141" s="161"/>
      <c r="H141" s="161"/>
      <c r="I141" s="161"/>
      <c r="J141" s="161"/>
      <c r="K141" s="156"/>
      <c r="L141" s="1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</row>
    <row r="142">
      <c r="A142" s="156"/>
      <c r="B142" s="156"/>
      <c r="C142" s="180">
        <v>45488.0</v>
      </c>
      <c r="D142" s="191"/>
      <c r="E142" s="181"/>
      <c r="F142" s="181"/>
      <c r="G142" s="161"/>
      <c r="H142" s="161"/>
      <c r="I142" s="161"/>
      <c r="J142" s="161"/>
      <c r="K142" s="156"/>
      <c r="L142" s="1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</row>
    <row r="143">
      <c r="A143" s="156"/>
      <c r="B143" s="156"/>
      <c r="C143" s="180">
        <v>45489.0</v>
      </c>
      <c r="D143" s="191"/>
      <c r="E143" s="181"/>
      <c r="F143" s="191"/>
      <c r="G143" s="161"/>
      <c r="H143" s="161"/>
      <c r="I143" s="161"/>
      <c r="J143" s="161"/>
      <c r="K143" s="156"/>
      <c r="L143" s="1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</row>
    <row r="144">
      <c r="A144" s="156"/>
      <c r="B144" s="156"/>
      <c r="C144" s="192" t="s">
        <v>133</v>
      </c>
      <c r="D144" s="193" t="str">
        <f t="shared" ref="D144:F144" si="21">AVERAGE(D137:D143)</f>
        <v>#DIV/0!</v>
      </c>
      <c r="E144" s="193" t="str">
        <f t="shared" si="21"/>
        <v>#DIV/0!</v>
      </c>
      <c r="F144" s="193" t="str">
        <f t="shared" si="21"/>
        <v>#DIV/0!</v>
      </c>
      <c r="G144" s="161"/>
      <c r="H144" s="161"/>
      <c r="I144" s="161"/>
      <c r="J144" s="161"/>
      <c r="K144" s="156"/>
      <c r="L144" s="1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</row>
    <row r="145">
      <c r="A145" s="156"/>
      <c r="B145" s="156"/>
      <c r="C145" s="162"/>
      <c r="D145" s="162"/>
      <c r="E145" s="162"/>
      <c r="F145" s="162"/>
      <c r="G145" s="161"/>
      <c r="H145" s="161"/>
      <c r="I145" s="161"/>
      <c r="J145" s="161"/>
      <c r="K145" s="156"/>
      <c r="L145" s="1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</row>
    <row r="146">
      <c r="A146" s="156"/>
      <c r="B146" s="156"/>
      <c r="C146" s="176" t="s">
        <v>134</v>
      </c>
      <c r="D146" s="41"/>
      <c r="E146" s="41"/>
      <c r="F146" s="41"/>
      <c r="G146" s="23"/>
      <c r="H146" s="195"/>
      <c r="I146" s="195"/>
      <c r="J146" s="195"/>
      <c r="K146" s="156"/>
      <c r="L146" s="1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</row>
    <row r="147">
      <c r="A147" s="156"/>
      <c r="B147" s="156"/>
      <c r="C147" s="180" t="s">
        <v>118</v>
      </c>
      <c r="D147" s="204" t="s">
        <v>151</v>
      </c>
      <c r="E147" s="180" t="s">
        <v>152</v>
      </c>
      <c r="F147" s="180" t="s">
        <v>121</v>
      </c>
      <c r="G147" s="180" t="s">
        <v>122</v>
      </c>
      <c r="H147" s="195"/>
      <c r="I147" s="195"/>
      <c r="J147" s="195"/>
      <c r="K147" s="156"/>
      <c r="L147" s="1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</row>
    <row r="148">
      <c r="A148" s="156"/>
      <c r="B148" s="156"/>
      <c r="C148" s="196"/>
      <c r="D148" s="196"/>
      <c r="E148" s="196"/>
      <c r="F148" s="196"/>
      <c r="G148" s="196"/>
      <c r="H148" s="195"/>
      <c r="I148" s="195"/>
      <c r="J148" s="195"/>
      <c r="K148" s="156"/>
      <c r="L148" s="1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</row>
    <row r="151" ht="28.5" customHeight="1">
      <c r="A151" s="156"/>
      <c r="B151" s="156"/>
      <c r="C151" s="162"/>
      <c r="D151" s="200" t="s">
        <v>144</v>
      </c>
      <c r="E151" s="23"/>
      <c r="F151" s="162"/>
      <c r="G151" s="161"/>
      <c r="H151" s="161"/>
      <c r="I151" s="161"/>
      <c r="J151" s="161"/>
      <c r="K151" s="156"/>
      <c r="L151" s="1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</row>
    <row r="152">
      <c r="A152" s="156"/>
      <c r="B152" s="156"/>
      <c r="C152" s="173" t="s">
        <v>123</v>
      </c>
      <c r="D152" s="173" t="s">
        <v>124</v>
      </c>
      <c r="E152" s="173" t="s">
        <v>125</v>
      </c>
      <c r="F152" s="173" t="s">
        <v>126</v>
      </c>
      <c r="G152" s="161"/>
      <c r="H152" s="175"/>
      <c r="I152" s="176" t="s">
        <v>127</v>
      </c>
      <c r="J152" s="23"/>
      <c r="K152" s="156"/>
      <c r="L152" s="1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</row>
    <row r="153">
      <c r="A153" s="156"/>
      <c r="B153" s="156"/>
      <c r="C153" s="180">
        <v>45483.0</v>
      </c>
      <c r="D153" s="181"/>
      <c r="E153" s="181"/>
      <c r="F153" s="181"/>
      <c r="G153" s="161"/>
      <c r="H153" s="182"/>
      <c r="I153" s="180" t="s">
        <v>129</v>
      </c>
      <c r="J153" s="183">
        <v>2700.0</v>
      </c>
      <c r="K153" s="156"/>
      <c r="L153" s="1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</row>
    <row r="154">
      <c r="A154" s="156"/>
      <c r="B154" s="156"/>
      <c r="C154" s="180">
        <v>45484.0</v>
      </c>
      <c r="D154" s="181"/>
      <c r="E154" s="181"/>
      <c r="F154" s="181"/>
      <c r="G154" s="161"/>
      <c r="H154" s="182"/>
      <c r="I154" s="180" t="s">
        <v>130</v>
      </c>
      <c r="J154" s="183">
        <v>160.0</v>
      </c>
      <c r="K154" s="156"/>
      <c r="L154" s="1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</row>
    <row r="155">
      <c r="A155" s="156"/>
      <c r="B155" s="156"/>
      <c r="C155" s="180">
        <v>45485.0</v>
      </c>
      <c r="D155" s="181"/>
      <c r="E155" s="181"/>
      <c r="F155" s="181"/>
      <c r="G155" s="161"/>
      <c r="H155" s="182"/>
      <c r="I155" s="180" t="s">
        <v>131</v>
      </c>
      <c r="J155" s="183">
        <v>380.0</v>
      </c>
      <c r="K155" s="156"/>
      <c r="L155" s="1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</row>
    <row r="156">
      <c r="A156" s="156"/>
      <c r="B156" s="156"/>
      <c r="C156" s="180">
        <v>45486.0</v>
      </c>
      <c r="D156" s="181"/>
      <c r="E156" s="181"/>
      <c r="F156" s="181"/>
      <c r="G156" s="161"/>
      <c r="H156" s="182"/>
      <c r="I156" s="180" t="s">
        <v>132</v>
      </c>
      <c r="J156" s="183">
        <v>60.0</v>
      </c>
      <c r="K156" s="156"/>
      <c r="L156" s="1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</row>
    <row r="157">
      <c r="A157" s="156"/>
      <c r="B157" s="156"/>
      <c r="C157" s="180">
        <v>45487.0</v>
      </c>
      <c r="D157" s="181"/>
      <c r="E157" s="181"/>
      <c r="F157" s="181"/>
      <c r="G157" s="161"/>
      <c r="H157" s="161"/>
      <c r="I157" s="161"/>
      <c r="J157" s="161"/>
      <c r="K157" s="156"/>
      <c r="L157" s="1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</row>
    <row r="158">
      <c r="A158" s="156"/>
      <c r="B158" s="156"/>
      <c r="C158" s="180">
        <v>45488.0</v>
      </c>
      <c r="D158" s="191"/>
      <c r="E158" s="181"/>
      <c r="F158" s="181"/>
      <c r="G158" s="161"/>
      <c r="H158" s="161"/>
      <c r="I158" s="161"/>
      <c r="J158" s="161"/>
      <c r="K158" s="156"/>
      <c r="L158" s="1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</row>
    <row r="159">
      <c r="A159" s="156"/>
      <c r="B159" s="156"/>
      <c r="C159" s="180">
        <v>45489.0</v>
      </c>
      <c r="D159" s="191"/>
      <c r="E159" s="181"/>
      <c r="F159" s="191"/>
      <c r="G159" s="161"/>
      <c r="H159" s="161"/>
      <c r="I159" s="161"/>
      <c r="J159" s="161"/>
      <c r="K159" s="156"/>
      <c r="L159" s="1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</row>
    <row r="160">
      <c r="A160" s="156"/>
      <c r="B160" s="156"/>
      <c r="C160" s="192" t="s">
        <v>133</v>
      </c>
      <c r="D160" s="193" t="str">
        <f t="shared" ref="D160:F160" si="22">AVERAGE(D153:D159)</f>
        <v>#DIV/0!</v>
      </c>
      <c r="E160" s="193" t="str">
        <f t="shared" si="22"/>
        <v>#DIV/0!</v>
      </c>
      <c r="F160" s="193" t="str">
        <f t="shared" si="22"/>
        <v>#DIV/0!</v>
      </c>
      <c r="G160" s="161"/>
      <c r="H160" s="161"/>
      <c r="I160" s="161"/>
      <c r="J160" s="161"/>
      <c r="K160" s="156"/>
      <c r="L160" s="1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</row>
    <row r="161">
      <c r="A161" s="156"/>
      <c r="B161" s="156"/>
      <c r="C161" s="162"/>
      <c r="D161" s="162"/>
      <c r="E161" s="162"/>
      <c r="F161" s="162"/>
      <c r="G161" s="161"/>
      <c r="H161" s="161"/>
      <c r="I161" s="161"/>
      <c r="J161" s="161"/>
      <c r="K161" s="156"/>
      <c r="L161" s="1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</row>
    <row r="162">
      <c r="A162" s="156"/>
      <c r="B162" s="156"/>
      <c r="C162" s="176" t="s">
        <v>134</v>
      </c>
      <c r="D162" s="41"/>
      <c r="E162" s="41"/>
      <c r="F162" s="41"/>
      <c r="G162" s="23"/>
      <c r="H162" s="195"/>
      <c r="I162" s="195"/>
      <c r="J162" s="195"/>
      <c r="K162" s="156"/>
      <c r="L162" s="1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</row>
    <row r="163">
      <c r="A163" s="156"/>
      <c r="B163" s="156"/>
      <c r="C163" s="180" t="s">
        <v>118</v>
      </c>
      <c r="D163" s="204" t="s">
        <v>151</v>
      </c>
      <c r="E163" s="180" t="s">
        <v>152</v>
      </c>
      <c r="F163" s="180" t="s">
        <v>121</v>
      </c>
      <c r="G163" s="180" t="s">
        <v>122</v>
      </c>
      <c r="H163" s="195"/>
      <c r="I163" s="195"/>
      <c r="J163" s="195"/>
      <c r="K163" s="156"/>
      <c r="L163" s="1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</row>
    <row r="164">
      <c r="A164" s="156"/>
      <c r="B164" s="156"/>
      <c r="C164" s="196"/>
      <c r="D164" s="196"/>
      <c r="E164" s="196"/>
      <c r="F164" s="196"/>
      <c r="G164" s="196"/>
      <c r="H164" s="195"/>
      <c r="I164" s="195"/>
      <c r="J164" s="195"/>
      <c r="K164" s="156"/>
      <c r="L164" s="1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</row>
    <row r="165">
      <c r="A165" s="156"/>
      <c r="B165" s="156"/>
      <c r="C165" s="156"/>
      <c r="D165" s="156"/>
      <c r="E165" s="156"/>
      <c r="F165" s="156"/>
      <c r="G165" s="156"/>
      <c r="H165" s="195"/>
      <c r="I165" s="195"/>
      <c r="J165" s="195"/>
      <c r="K165" s="156"/>
      <c r="L165" s="1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</row>
    <row r="166">
      <c r="A166" s="156"/>
      <c r="B166" s="156"/>
      <c r="C166" s="156"/>
      <c r="D166" s="156"/>
      <c r="E166" s="156"/>
      <c r="F166" s="156"/>
      <c r="G166" s="156"/>
      <c r="H166" s="195"/>
      <c r="I166" s="195"/>
      <c r="J166" s="195"/>
      <c r="K166" s="156"/>
      <c r="L166" s="1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</row>
    <row r="167" ht="31.5" customHeight="1">
      <c r="A167" s="156"/>
      <c r="B167" s="156"/>
      <c r="C167" s="162"/>
      <c r="D167" s="200" t="s">
        <v>145</v>
      </c>
      <c r="E167" s="23"/>
      <c r="F167" s="162"/>
      <c r="G167" s="161"/>
      <c r="H167" s="161"/>
      <c r="I167" s="161"/>
      <c r="J167" s="161"/>
      <c r="K167" s="156"/>
      <c r="L167" s="1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</row>
    <row r="168">
      <c r="A168" s="156"/>
      <c r="B168" s="156"/>
      <c r="C168" s="173" t="s">
        <v>123</v>
      </c>
      <c r="D168" s="173" t="s">
        <v>124</v>
      </c>
      <c r="E168" s="173" t="s">
        <v>125</v>
      </c>
      <c r="F168" s="173" t="s">
        <v>126</v>
      </c>
      <c r="G168" s="161"/>
      <c r="H168" s="175"/>
      <c r="I168" s="176" t="s">
        <v>127</v>
      </c>
      <c r="J168" s="23"/>
      <c r="K168" s="156"/>
      <c r="L168" s="1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</row>
    <row r="169">
      <c r="A169" s="156"/>
      <c r="B169" s="156"/>
      <c r="C169" s="180">
        <v>45483.0</v>
      </c>
      <c r="D169" s="181"/>
      <c r="E169" s="181"/>
      <c r="F169" s="181"/>
      <c r="G169" s="161"/>
      <c r="H169" s="182"/>
      <c r="I169" s="180" t="s">
        <v>129</v>
      </c>
      <c r="J169" s="183">
        <v>2700.0</v>
      </c>
      <c r="K169" s="156"/>
      <c r="L169" s="1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</row>
    <row r="170">
      <c r="A170" s="156"/>
      <c r="B170" s="156"/>
      <c r="C170" s="180">
        <v>45484.0</v>
      </c>
      <c r="D170" s="181"/>
      <c r="E170" s="181"/>
      <c r="F170" s="181"/>
      <c r="G170" s="161"/>
      <c r="H170" s="182"/>
      <c r="I170" s="180" t="s">
        <v>130</v>
      </c>
      <c r="J170" s="183">
        <v>160.0</v>
      </c>
      <c r="K170" s="156"/>
      <c r="L170" s="1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</row>
    <row r="171">
      <c r="A171" s="156"/>
      <c r="B171" s="156"/>
      <c r="C171" s="180">
        <v>45485.0</v>
      </c>
      <c r="D171" s="181"/>
      <c r="E171" s="181"/>
      <c r="F171" s="181"/>
      <c r="G171" s="161"/>
      <c r="H171" s="182"/>
      <c r="I171" s="180" t="s">
        <v>131</v>
      </c>
      <c r="J171" s="183">
        <v>380.0</v>
      </c>
      <c r="K171" s="156"/>
      <c r="L171" s="1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</row>
    <row r="172">
      <c r="A172" s="156"/>
      <c r="B172" s="156"/>
      <c r="C172" s="180">
        <v>45486.0</v>
      </c>
      <c r="D172" s="181"/>
      <c r="E172" s="181"/>
      <c r="F172" s="181"/>
      <c r="G172" s="161"/>
      <c r="H172" s="182"/>
      <c r="I172" s="180" t="s">
        <v>132</v>
      </c>
      <c r="J172" s="183">
        <v>60.0</v>
      </c>
      <c r="K172" s="156"/>
      <c r="L172" s="1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</row>
    <row r="173">
      <c r="A173" s="156"/>
      <c r="B173" s="156"/>
      <c r="C173" s="180">
        <v>45487.0</v>
      </c>
      <c r="D173" s="181"/>
      <c r="E173" s="181"/>
      <c r="F173" s="181"/>
      <c r="G173" s="161"/>
      <c r="H173" s="161"/>
      <c r="I173" s="161"/>
      <c r="J173" s="161"/>
      <c r="K173" s="156"/>
      <c r="L173" s="1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</row>
    <row r="174">
      <c r="A174" s="156"/>
      <c r="B174" s="156"/>
      <c r="C174" s="180">
        <v>45488.0</v>
      </c>
      <c r="D174" s="191"/>
      <c r="E174" s="181"/>
      <c r="F174" s="181"/>
      <c r="G174" s="161"/>
      <c r="H174" s="161"/>
      <c r="I174" s="161"/>
      <c r="J174" s="161"/>
      <c r="K174" s="156"/>
      <c r="L174" s="1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</row>
    <row r="175">
      <c r="A175" s="156"/>
      <c r="B175" s="156"/>
      <c r="C175" s="180">
        <v>45489.0</v>
      </c>
      <c r="D175" s="191"/>
      <c r="E175" s="181"/>
      <c r="F175" s="191"/>
      <c r="G175" s="161"/>
      <c r="H175" s="161"/>
      <c r="I175" s="161"/>
      <c r="J175" s="161"/>
      <c r="K175" s="156"/>
      <c r="L175" s="1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</row>
    <row r="176">
      <c r="A176" s="156"/>
      <c r="B176" s="156"/>
      <c r="C176" s="192" t="s">
        <v>133</v>
      </c>
      <c r="D176" s="193" t="str">
        <f t="shared" ref="D176:F176" si="23">AVERAGE(D169:D175)</f>
        <v>#DIV/0!</v>
      </c>
      <c r="E176" s="193" t="str">
        <f t="shared" si="23"/>
        <v>#DIV/0!</v>
      </c>
      <c r="F176" s="193" t="str">
        <f t="shared" si="23"/>
        <v>#DIV/0!</v>
      </c>
      <c r="G176" s="161"/>
      <c r="H176" s="161"/>
      <c r="I176" s="161"/>
      <c r="J176" s="161"/>
      <c r="K176" s="156"/>
      <c r="L176" s="1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</row>
    <row r="177">
      <c r="A177" s="156"/>
      <c r="B177" s="156"/>
      <c r="C177" s="162"/>
      <c r="D177" s="162"/>
      <c r="E177" s="162"/>
      <c r="F177" s="162"/>
      <c r="G177" s="161"/>
      <c r="H177" s="161"/>
      <c r="I177" s="161"/>
      <c r="J177" s="161"/>
      <c r="K177" s="156"/>
      <c r="L177" s="1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</row>
    <row r="178">
      <c r="A178" s="156"/>
      <c r="B178" s="156"/>
      <c r="C178" s="176" t="s">
        <v>134</v>
      </c>
      <c r="D178" s="41"/>
      <c r="E178" s="41"/>
      <c r="F178" s="41"/>
      <c r="G178" s="23"/>
      <c r="H178" s="195"/>
      <c r="I178" s="195"/>
      <c r="J178" s="195"/>
      <c r="K178" s="156"/>
      <c r="L178" s="1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</row>
    <row r="179">
      <c r="A179" s="156"/>
      <c r="B179" s="156"/>
      <c r="C179" s="180" t="s">
        <v>118</v>
      </c>
      <c r="D179" s="204" t="s">
        <v>151</v>
      </c>
      <c r="E179" s="180" t="s">
        <v>152</v>
      </c>
      <c r="F179" s="180" t="s">
        <v>121</v>
      </c>
      <c r="G179" s="180" t="s">
        <v>122</v>
      </c>
      <c r="H179" s="195"/>
      <c r="I179" s="195"/>
      <c r="J179" s="195"/>
      <c r="K179" s="156"/>
      <c r="L179" s="1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</row>
    <row r="180">
      <c r="A180" s="156"/>
      <c r="B180" s="156"/>
      <c r="C180" s="196"/>
      <c r="D180" s="196"/>
      <c r="E180" s="196"/>
      <c r="F180" s="196"/>
      <c r="G180" s="196"/>
      <c r="H180" s="195"/>
      <c r="I180" s="195"/>
      <c r="J180" s="195"/>
      <c r="K180" s="156"/>
      <c r="L180" s="1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</row>
    <row r="181">
      <c r="A181" s="156"/>
      <c r="B181" s="156"/>
      <c r="C181" s="156"/>
      <c r="D181" s="156"/>
      <c r="E181" s="156"/>
      <c r="F181" s="156"/>
      <c r="G181" s="156"/>
      <c r="H181" s="195"/>
      <c r="I181" s="195"/>
      <c r="J181" s="195"/>
      <c r="K181" s="156"/>
      <c r="L181" s="1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</row>
    <row r="182">
      <c r="A182" s="156"/>
      <c r="B182" s="156"/>
      <c r="C182" s="156"/>
      <c r="D182" s="156"/>
      <c r="E182" s="156"/>
      <c r="F182" s="156"/>
      <c r="G182" s="156"/>
      <c r="H182" s="195"/>
      <c r="I182" s="195"/>
      <c r="J182" s="195"/>
      <c r="K182" s="156"/>
      <c r="L182" s="1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</row>
    <row r="183" ht="30.0" customHeight="1">
      <c r="A183" s="156"/>
      <c r="B183" s="156"/>
      <c r="C183" s="162"/>
      <c r="D183" s="200" t="s">
        <v>146</v>
      </c>
      <c r="E183" s="23"/>
      <c r="F183" s="162"/>
      <c r="G183" s="161"/>
      <c r="H183" s="161"/>
      <c r="I183" s="161"/>
      <c r="J183" s="161"/>
      <c r="K183" s="156"/>
      <c r="L183" s="1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</row>
    <row r="184">
      <c r="A184" s="156"/>
      <c r="B184" s="156"/>
      <c r="C184" s="173" t="s">
        <v>123</v>
      </c>
      <c r="D184" s="173" t="s">
        <v>124</v>
      </c>
      <c r="E184" s="173" t="s">
        <v>125</v>
      </c>
      <c r="F184" s="173" t="s">
        <v>126</v>
      </c>
      <c r="G184" s="161"/>
      <c r="H184" s="175"/>
      <c r="I184" s="176" t="s">
        <v>127</v>
      </c>
      <c r="J184" s="23"/>
      <c r="K184" s="156"/>
      <c r="L184" s="1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</row>
    <row r="185">
      <c r="A185" s="156"/>
      <c r="B185" s="156"/>
      <c r="C185" s="180">
        <v>45483.0</v>
      </c>
      <c r="D185" s="181"/>
      <c r="E185" s="181"/>
      <c r="F185" s="181"/>
      <c r="G185" s="161"/>
      <c r="H185" s="182"/>
      <c r="I185" s="180" t="s">
        <v>129</v>
      </c>
      <c r="J185" s="183">
        <v>2700.0</v>
      </c>
      <c r="K185" s="156"/>
      <c r="L185" s="1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</row>
    <row r="186">
      <c r="A186" s="156"/>
      <c r="B186" s="156"/>
      <c r="C186" s="180">
        <v>45484.0</v>
      </c>
      <c r="D186" s="181"/>
      <c r="E186" s="181"/>
      <c r="F186" s="181"/>
      <c r="G186" s="161"/>
      <c r="H186" s="182"/>
      <c r="I186" s="180" t="s">
        <v>130</v>
      </c>
      <c r="J186" s="183">
        <v>160.0</v>
      </c>
      <c r="K186" s="156"/>
      <c r="L186" s="1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</row>
    <row r="187">
      <c r="A187" s="156"/>
      <c r="B187" s="156"/>
      <c r="C187" s="180">
        <v>45485.0</v>
      </c>
      <c r="D187" s="181"/>
      <c r="E187" s="181"/>
      <c r="F187" s="181"/>
      <c r="G187" s="161"/>
      <c r="H187" s="182"/>
      <c r="I187" s="180" t="s">
        <v>131</v>
      </c>
      <c r="J187" s="183">
        <v>380.0</v>
      </c>
      <c r="K187" s="156"/>
      <c r="L187" s="1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</row>
    <row r="188">
      <c r="A188" s="156"/>
      <c r="B188" s="156"/>
      <c r="C188" s="180">
        <v>45486.0</v>
      </c>
      <c r="D188" s="181"/>
      <c r="E188" s="181"/>
      <c r="F188" s="181"/>
      <c r="G188" s="161"/>
      <c r="H188" s="182"/>
      <c r="I188" s="180" t="s">
        <v>132</v>
      </c>
      <c r="J188" s="183">
        <v>60.0</v>
      </c>
      <c r="K188" s="156"/>
      <c r="L188" s="1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</row>
    <row r="189">
      <c r="A189" s="156"/>
      <c r="B189" s="156"/>
      <c r="C189" s="180">
        <v>45487.0</v>
      </c>
      <c r="D189" s="181"/>
      <c r="E189" s="181"/>
      <c r="F189" s="181"/>
      <c r="G189" s="161"/>
      <c r="H189" s="161"/>
      <c r="I189" s="161"/>
      <c r="J189" s="161"/>
      <c r="K189" s="156"/>
      <c r="L189" s="1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</row>
    <row r="190">
      <c r="A190" s="156"/>
      <c r="B190" s="156"/>
      <c r="C190" s="180">
        <v>45488.0</v>
      </c>
      <c r="D190" s="191"/>
      <c r="E190" s="181"/>
      <c r="F190" s="181"/>
      <c r="G190" s="161"/>
      <c r="H190" s="161"/>
      <c r="I190" s="161"/>
      <c r="J190" s="161"/>
      <c r="K190" s="156"/>
      <c r="L190" s="1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</row>
    <row r="191">
      <c r="A191" s="156"/>
      <c r="B191" s="156"/>
      <c r="C191" s="180">
        <v>45489.0</v>
      </c>
      <c r="D191" s="191"/>
      <c r="E191" s="181"/>
      <c r="F191" s="191"/>
      <c r="G191" s="161"/>
      <c r="H191" s="161"/>
      <c r="I191" s="161"/>
      <c r="J191" s="161"/>
      <c r="K191" s="156"/>
      <c r="L191" s="1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</row>
    <row r="192">
      <c r="A192" s="156"/>
      <c r="B192" s="156"/>
      <c r="C192" s="192" t="s">
        <v>133</v>
      </c>
      <c r="D192" s="193" t="str">
        <f t="shared" ref="D192:F192" si="24">AVERAGE(D185:D191)</f>
        <v>#DIV/0!</v>
      </c>
      <c r="E192" s="193" t="str">
        <f t="shared" si="24"/>
        <v>#DIV/0!</v>
      </c>
      <c r="F192" s="193" t="str">
        <f t="shared" si="24"/>
        <v>#DIV/0!</v>
      </c>
      <c r="G192" s="161"/>
      <c r="H192" s="161"/>
      <c r="I192" s="161"/>
      <c r="J192" s="161"/>
      <c r="K192" s="156"/>
      <c r="L192" s="1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</row>
    <row r="193">
      <c r="A193" s="156"/>
      <c r="B193" s="156"/>
      <c r="C193" s="162"/>
      <c r="D193" s="162"/>
      <c r="E193" s="162"/>
      <c r="F193" s="162"/>
      <c r="G193" s="161"/>
      <c r="H193" s="161"/>
      <c r="I193" s="161"/>
      <c r="J193" s="161"/>
      <c r="K193" s="156"/>
      <c r="L193" s="1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</row>
    <row r="194">
      <c r="A194" s="156"/>
      <c r="B194" s="156"/>
      <c r="C194" s="176" t="s">
        <v>134</v>
      </c>
      <c r="D194" s="41"/>
      <c r="E194" s="41"/>
      <c r="F194" s="41"/>
      <c r="G194" s="23"/>
      <c r="H194" s="195"/>
      <c r="I194" s="195"/>
      <c r="J194" s="195"/>
      <c r="K194" s="156"/>
      <c r="L194" s="1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</row>
    <row r="195">
      <c r="A195" s="156"/>
      <c r="B195" s="156"/>
      <c r="C195" s="180" t="s">
        <v>118</v>
      </c>
      <c r="D195" s="204" t="s">
        <v>151</v>
      </c>
      <c r="E195" s="180" t="s">
        <v>152</v>
      </c>
      <c r="F195" s="180" t="s">
        <v>121</v>
      </c>
      <c r="G195" s="180" t="s">
        <v>122</v>
      </c>
      <c r="H195" s="195"/>
      <c r="I195" s="195"/>
      <c r="J195" s="195"/>
      <c r="K195" s="156"/>
      <c r="L195" s="1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</row>
    <row r="196">
      <c r="A196" s="156"/>
      <c r="B196" s="156"/>
      <c r="C196" s="196"/>
      <c r="D196" s="196"/>
      <c r="E196" s="196"/>
      <c r="F196" s="196"/>
      <c r="G196" s="196"/>
      <c r="H196" s="195"/>
      <c r="I196" s="195"/>
      <c r="J196" s="195"/>
      <c r="K196" s="156"/>
      <c r="L196" s="1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</row>
    <row r="197">
      <c r="A197" s="156"/>
      <c r="B197" s="156"/>
      <c r="C197" s="156"/>
      <c r="D197" s="156"/>
      <c r="E197" s="156"/>
      <c r="F197" s="156"/>
      <c r="G197" s="156"/>
      <c r="H197" s="195"/>
      <c r="I197" s="195"/>
      <c r="J197" s="195"/>
      <c r="K197" s="156"/>
      <c r="L197" s="1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</row>
    <row r="198">
      <c r="A198" s="156"/>
      <c r="B198" s="156"/>
      <c r="C198" s="156"/>
      <c r="D198" s="156"/>
      <c r="E198" s="156"/>
      <c r="F198" s="156"/>
      <c r="G198" s="156"/>
      <c r="H198" s="195"/>
      <c r="I198" s="195"/>
      <c r="J198" s="195"/>
      <c r="K198" s="156"/>
      <c r="L198" s="1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</row>
    <row r="199" ht="25.5" customHeight="1">
      <c r="A199" s="156"/>
      <c r="B199" s="156"/>
      <c r="C199" s="162"/>
      <c r="D199" s="200" t="s">
        <v>147</v>
      </c>
      <c r="E199" s="23"/>
      <c r="F199" s="162"/>
      <c r="G199" s="161"/>
      <c r="H199" s="161"/>
      <c r="I199" s="161"/>
      <c r="J199" s="161"/>
      <c r="K199" s="156"/>
      <c r="L199" s="1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</row>
    <row r="200">
      <c r="A200" s="156"/>
      <c r="B200" s="156"/>
      <c r="C200" s="173" t="s">
        <v>123</v>
      </c>
      <c r="D200" s="173" t="s">
        <v>124</v>
      </c>
      <c r="E200" s="173" t="s">
        <v>125</v>
      </c>
      <c r="F200" s="173" t="s">
        <v>126</v>
      </c>
      <c r="G200" s="161"/>
      <c r="H200" s="175"/>
      <c r="I200" s="176" t="s">
        <v>127</v>
      </c>
      <c r="J200" s="23"/>
      <c r="K200" s="156"/>
      <c r="L200" s="1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</row>
    <row r="201">
      <c r="A201" s="156"/>
      <c r="B201" s="156"/>
      <c r="C201" s="180">
        <v>45483.0</v>
      </c>
      <c r="D201" s="181"/>
      <c r="E201" s="181"/>
      <c r="F201" s="181"/>
      <c r="G201" s="161"/>
      <c r="H201" s="182"/>
      <c r="I201" s="180" t="s">
        <v>129</v>
      </c>
      <c r="J201" s="183">
        <v>2700.0</v>
      </c>
      <c r="K201" s="156"/>
      <c r="L201" s="1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</row>
    <row r="202">
      <c r="A202" s="156"/>
      <c r="B202" s="156"/>
      <c r="C202" s="180">
        <v>45484.0</v>
      </c>
      <c r="D202" s="181"/>
      <c r="E202" s="181"/>
      <c r="F202" s="181"/>
      <c r="G202" s="161"/>
      <c r="H202" s="182"/>
      <c r="I202" s="180" t="s">
        <v>130</v>
      </c>
      <c r="J202" s="183">
        <v>160.0</v>
      </c>
      <c r="K202" s="156"/>
      <c r="L202" s="1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</row>
    <row r="203">
      <c r="A203" s="156"/>
      <c r="B203" s="156"/>
      <c r="C203" s="180">
        <v>45485.0</v>
      </c>
      <c r="D203" s="181"/>
      <c r="E203" s="181"/>
      <c r="F203" s="181"/>
      <c r="G203" s="161"/>
      <c r="H203" s="182"/>
      <c r="I203" s="180" t="s">
        <v>131</v>
      </c>
      <c r="J203" s="183">
        <v>380.0</v>
      </c>
      <c r="K203" s="156"/>
      <c r="L203" s="1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</row>
    <row r="204">
      <c r="A204" s="156"/>
      <c r="B204" s="156"/>
      <c r="C204" s="180">
        <v>45486.0</v>
      </c>
      <c r="D204" s="181"/>
      <c r="E204" s="181"/>
      <c r="F204" s="181"/>
      <c r="G204" s="161"/>
      <c r="H204" s="182"/>
      <c r="I204" s="180" t="s">
        <v>132</v>
      </c>
      <c r="J204" s="183">
        <v>60.0</v>
      </c>
      <c r="K204" s="156"/>
      <c r="L204" s="1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</row>
    <row r="205">
      <c r="A205" s="156"/>
      <c r="B205" s="156"/>
      <c r="C205" s="180">
        <v>45487.0</v>
      </c>
      <c r="D205" s="181"/>
      <c r="E205" s="181"/>
      <c r="F205" s="181"/>
      <c r="G205" s="161"/>
      <c r="H205" s="161"/>
      <c r="I205" s="161"/>
      <c r="J205" s="161"/>
      <c r="K205" s="156"/>
      <c r="L205" s="1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</row>
    <row r="206">
      <c r="A206" s="156"/>
      <c r="B206" s="156"/>
      <c r="C206" s="180">
        <v>45488.0</v>
      </c>
      <c r="D206" s="191"/>
      <c r="E206" s="181"/>
      <c r="F206" s="181"/>
      <c r="G206" s="161"/>
      <c r="H206" s="161"/>
      <c r="I206" s="161"/>
      <c r="J206" s="161"/>
      <c r="K206" s="156"/>
      <c r="L206" s="1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</row>
    <row r="207">
      <c r="A207" s="156"/>
      <c r="B207" s="156"/>
      <c r="C207" s="180">
        <v>45489.0</v>
      </c>
      <c r="D207" s="191"/>
      <c r="E207" s="181"/>
      <c r="F207" s="191"/>
      <c r="G207" s="161"/>
      <c r="H207" s="161"/>
      <c r="I207" s="161"/>
      <c r="J207" s="161"/>
      <c r="K207" s="156"/>
      <c r="L207" s="1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</row>
    <row r="208">
      <c r="A208" s="156"/>
      <c r="B208" s="156"/>
      <c r="C208" s="192" t="s">
        <v>133</v>
      </c>
      <c r="D208" s="193" t="str">
        <f t="shared" ref="D208:F208" si="25">AVERAGE(D201:D207)</f>
        <v>#DIV/0!</v>
      </c>
      <c r="E208" s="193" t="str">
        <f t="shared" si="25"/>
        <v>#DIV/0!</v>
      </c>
      <c r="F208" s="193" t="str">
        <f t="shared" si="25"/>
        <v>#DIV/0!</v>
      </c>
      <c r="G208" s="161"/>
      <c r="H208" s="161"/>
      <c r="I208" s="161"/>
      <c r="J208" s="161"/>
      <c r="K208" s="156"/>
      <c r="L208" s="1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</row>
    <row r="209">
      <c r="A209" s="156"/>
      <c r="B209" s="156"/>
      <c r="C209" s="162"/>
      <c r="D209" s="162"/>
      <c r="E209" s="162"/>
      <c r="F209" s="162"/>
      <c r="G209" s="161"/>
      <c r="H209" s="161"/>
      <c r="I209" s="161"/>
      <c r="J209" s="161"/>
      <c r="K209" s="156"/>
      <c r="L209" s="1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</row>
    <row r="210">
      <c r="A210" s="156"/>
      <c r="B210" s="156"/>
      <c r="C210" s="176" t="s">
        <v>134</v>
      </c>
      <c r="D210" s="41"/>
      <c r="E210" s="41"/>
      <c r="F210" s="41"/>
      <c r="G210" s="23"/>
      <c r="H210" s="195"/>
      <c r="I210" s="195"/>
      <c r="J210" s="195"/>
      <c r="K210" s="156"/>
      <c r="L210" s="1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</row>
    <row r="211">
      <c r="A211" s="156"/>
      <c r="B211" s="156"/>
      <c r="C211" s="180" t="s">
        <v>118</v>
      </c>
      <c r="D211" s="204" t="s">
        <v>151</v>
      </c>
      <c r="E211" s="180" t="s">
        <v>152</v>
      </c>
      <c r="F211" s="180" t="s">
        <v>121</v>
      </c>
      <c r="G211" s="180" t="s">
        <v>122</v>
      </c>
      <c r="H211" s="195"/>
      <c r="I211" s="195"/>
      <c r="J211" s="195"/>
      <c r="K211" s="156"/>
      <c r="L211" s="1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</row>
    <row r="212">
      <c r="A212" s="156"/>
      <c r="B212" s="156"/>
      <c r="C212" s="196"/>
      <c r="D212" s="196"/>
      <c r="E212" s="196"/>
      <c r="F212" s="196"/>
      <c r="G212" s="196"/>
      <c r="H212" s="195"/>
      <c r="I212" s="195"/>
      <c r="J212" s="195"/>
      <c r="K212" s="156"/>
      <c r="L212" s="1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  <c r="AA306" s="156"/>
      <c r="AB306" s="156"/>
      <c r="AC306" s="156"/>
      <c r="AD306" s="156"/>
      <c r="AE306" s="156"/>
      <c r="AF306" s="156"/>
      <c r="AG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  <c r="AA307" s="156"/>
      <c r="AB307" s="156"/>
      <c r="AC307" s="156"/>
      <c r="AD307" s="156"/>
      <c r="AE307" s="156"/>
      <c r="AF307" s="156"/>
      <c r="AG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  <c r="AA308" s="156"/>
      <c r="AB308" s="156"/>
      <c r="AC308" s="156"/>
      <c r="AD308" s="156"/>
      <c r="AE308" s="156"/>
      <c r="AF308" s="156"/>
      <c r="AG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  <c r="AA309" s="156"/>
      <c r="AB309" s="156"/>
      <c r="AC309" s="156"/>
      <c r="AD309" s="156"/>
      <c r="AE309" s="156"/>
      <c r="AF309" s="156"/>
      <c r="AG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  <c r="AA310" s="156"/>
      <c r="AB310" s="156"/>
      <c r="AC310" s="156"/>
      <c r="AD310" s="156"/>
      <c r="AE310" s="156"/>
      <c r="AF310" s="156"/>
      <c r="AG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  <c r="AA311" s="156"/>
      <c r="AB311" s="156"/>
      <c r="AC311" s="156"/>
      <c r="AD311" s="156"/>
      <c r="AE311" s="156"/>
      <c r="AF311" s="156"/>
      <c r="AG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  <c r="AA313" s="156"/>
      <c r="AB313" s="156"/>
      <c r="AC313" s="156"/>
      <c r="AD313" s="156"/>
      <c r="AE313" s="156"/>
      <c r="AF313" s="156"/>
      <c r="AG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  <c r="AA314" s="156"/>
      <c r="AB314" s="156"/>
      <c r="AC314" s="156"/>
      <c r="AD314" s="156"/>
      <c r="AE314" s="156"/>
      <c r="AF314" s="156"/>
      <c r="AG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  <c r="AA315" s="156"/>
      <c r="AB315" s="156"/>
      <c r="AC315" s="156"/>
      <c r="AD315" s="156"/>
      <c r="AE315" s="156"/>
      <c r="AF315" s="156"/>
      <c r="AG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  <c r="AA316" s="156"/>
      <c r="AB316" s="156"/>
      <c r="AC316" s="156"/>
      <c r="AD316" s="156"/>
      <c r="AE316" s="156"/>
      <c r="AF316" s="156"/>
      <c r="AG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  <c r="AA317" s="156"/>
      <c r="AB317" s="156"/>
      <c r="AC317" s="156"/>
      <c r="AD317" s="156"/>
      <c r="AE317" s="156"/>
      <c r="AF317" s="156"/>
      <c r="AG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  <c r="AA318" s="156"/>
      <c r="AB318" s="156"/>
      <c r="AC318" s="156"/>
      <c r="AD318" s="156"/>
      <c r="AE318" s="156"/>
      <c r="AF318" s="156"/>
      <c r="AG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  <c r="AA319" s="156"/>
      <c r="AB319" s="156"/>
      <c r="AC319" s="156"/>
      <c r="AD319" s="156"/>
      <c r="AE319" s="156"/>
      <c r="AF319" s="156"/>
      <c r="AG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  <c r="AA321" s="156"/>
      <c r="AB321" s="156"/>
      <c r="AC321" s="156"/>
      <c r="AD321" s="156"/>
      <c r="AE321" s="156"/>
      <c r="AF321" s="156"/>
      <c r="AG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  <c r="AA322" s="156"/>
      <c r="AB322" s="156"/>
      <c r="AC322" s="156"/>
      <c r="AD322" s="156"/>
      <c r="AE322" s="156"/>
      <c r="AF322" s="156"/>
      <c r="AG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  <c r="AA323" s="156"/>
      <c r="AB323" s="156"/>
      <c r="AC323" s="156"/>
      <c r="AD323" s="156"/>
      <c r="AE323" s="156"/>
      <c r="AF323" s="156"/>
      <c r="AG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  <c r="AA324" s="156"/>
      <c r="AB324" s="156"/>
      <c r="AC324" s="156"/>
      <c r="AD324" s="156"/>
      <c r="AE324" s="156"/>
      <c r="AF324" s="156"/>
      <c r="AG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  <c r="AA325" s="156"/>
      <c r="AB325" s="156"/>
      <c r="AC325" s="156"/>
      <c r="AD325" s="156"/>
      <c r="AE325" s="156"/>
      <c r="AF325" s="156"/>
      <c r="AG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  <c r="AA326" s="156"/>
      <c r="AB326" s="156"/>
      <c r="AC326" s="156"/>
      <c r="AD326" s="156"/>
      <c r="AE326" s="156"/>
      <c r="AF326" s="156"/>
      <c r="AG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56"/>
      <c r="AG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56"/>
      <c r="AG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  <c r="AA329" s="156"/>
      <c r="AB329" s="156"/>
      <c r="AC329" s="156"/>
      <c r="AD329" s="156"/>
      <c r="AE329" s="156"/>
      <c r="AF329" s="156"/>
      <c r="AG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  <c r="AA330" s="156"/>
      <c r="AB330" s="156"/>
      <c r="AC330" s="156"/>
      <c r="AD330" s="156"/>
      <c r="AE330" s="156"/>
      <c r="AF330" s="156"/>
      <c r="AG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  <c r="AA331" s="156"/>
      <c r="AB331" s="156"/>
      <c r="AC331" s="156"/>
      <c r="AD331" s="156"/>
      <c r="AE331" s="156"/>
      <c r="AF331" s="156"/>
      <c r="AG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  <c r="AA332" s="156"/>
      <c r="AB332" s="156"/>
      <c r="AC332" s="156"/>
      <c r="AD332" s="156"/>
      <c r="AE332" s="156"/>
      <c r="AF332" s="156"/>
      <c r="AG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  <c r="AA333" s="156"/>
      <c r="AB333" s="156"/>
      <c r="AC333" s="156"/>
      <c r="AD333" s="156"/>
      <c r="AE333" s="156"/>
      <c r="AF333" s="156"/>
      <c r="AG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56"/>
      <c r="AG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  <c r="AA335" s="156"/>
      <c r="AB335" s="156"/>
      <c r="AC335" s="156"/>
      <c r="AD335" s="156"/>
      <c r="AE335" s="156"/>
      <c r="AF335" s="156"/>
      <c r="AG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  <c r="AA336" s="156"/>
      <c r="AB336" s="156"/>
      <c r="AC336" s="156"/>
      <c r="AD336" s="156"/>
      <c r="AE336" s="156"/>
      <c r="AF336" s="156"/>
      <c r="AG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  <c r="AA337" s="156"/>
      <c r="AB337" s="156"/>
      <c r="AC337" s="156"/>
      <c r="AD337" s="156"/>
      <c r="AE337" s="156"/>
      <c r="AF337" s="156"/>
      <c r="AG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  <c r="AA338" s="156"/>
      <c r="AB338" s="156"/>
      <c r="AC338" s="156"/>
      <c r="AD338" s="156"/>
      <c r="AE338" s="156"/>
      <c r="AF338" s="156"/>
      <c r="AG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  <c r="AA339" s="156"/>
      <c r="AB339" s="156"/>
      <c r="AC339" s="156"/>
      <c r="AD339" s="156"/>
      <c r="AE339" s="156"/>
      <c r="AF339" s="156"/>
      <c r="AG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  <c r="AA340" s="156"/>
      <c r="AB340" s="156"/>
      <c r="AC340" s="156"/>
      <c r="AD340" s="156"/>
      <c r="AE340" s="156"/>
      <c r="AF340" s="156"/>
      <c r="AG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  <c r="AA341" s="156"/>
      <c r="AB341" s="156"/>
      <c r="AC341" s="156"/>
      <c r="AD341" s="156"/>
      <c r="AE341" s="156"/>
      <c r="AF341" s="156"/>
      <c r="AG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  <c r="AA342" s="156"/>
      <c r="AB342" s="156"/>
      <c r="AC342" s="156"/>
      <c r="AD342" s="156"/>
      <c r="AE342" s="156"/>
      <c r="AF342" s="156"/>
      <c r="AG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56"/>
      <c r="AG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56"/>
      <c r="AG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  <c r="AA345" s="156"/>
      <c r="AB345" s="156"/>
      <c r="AC345" s="156"/>
      <c r="AD345" s="156"/>
      <c r="AE345" s="156"/>
      <c r="AF345" s="156"/>
      <c r="AG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  <c r="AA346" s="156"/>
      <c r="AB346" s="156"/>
      <c r="AC346" s="156"/>
      <c r="AD346" s="156"/>
      <c r="AE346" s="156"/>
      <c r="AF346" s="156"/>
      <c r="AG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  <c r="AA347" s="156"/>
      <c r="AB347" s="156"/>
      <c r="AC347" s="156"/>
      <c r="AD347" s="156"/>
      <c r="AE347" s="156"/>
      <c r="AF347" s="156"/>
      <c r="AG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  <c r="AA349" s="156"/>
      <c r="AB349" s="156"/>
      <c r="AC349" s="156"/>
      <c r="AD349" s="156"/>
      <c r="AE349" s="156"/>
      <c r="AF349" s="156"/>
      <c r="AG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  <c r="AA350" s="156"/>
      <c r="AB350" s="156"/>
      <c r="AC350" s="156"/>
      <c r="AD350" s="156"/>
      <c r="AE350" s="156"/>
      <c r="AF350" s="156"/>
      <c r="AG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  <c r="AA351" s="156"/>
      <c r="AB351" s="156"/>
      <c r="AC351" s="156"/>
      <c r="AD351" s="156"/>
      <c r="AE351" s="156"/>
      <c r="AF351" s="156"/>
      <c r="AG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  <c r="AA352" s="156"/>
      <c r="AB352" s="156"/>
      <c r="AC352" s="156"/>
      <c r="AD352" s="156"/>
      <c r="AE352" s="156"/>
      <c r="AF352" s="156"/>
      <c r="AG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  <c r="AA353" s="156"/>
      <c r="AB353" s="156"/>
      <c r="AC353" s="156"/>
      <c r="AD353" s="156"/>
      <c r="AE353" s="156"/>
      <c r="AF353" s="156"/>
      <c r="AG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  <c r="AA354" s="156"/>
      <c r="AB354" s="156"/>
      <c r="AC354" s="156"/>
      <c r="AD354" s="156"/>
      <c r="AE354" s="156"/>
      <c r="AF354" s="156"/>
      <c r="AG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  <c r="AA355" s="156"/>
      <c r="AB355" s="156"/>
      <c r="AC355" s="156"/>
      <c r="AD355" s="156"/>
      <c r="AE355" s="156"/>
      <c r="AF355" s="156"/>
      <c r="AG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  <c r="AA356" s="156"/>
      <c r="AB356" s="156"/>
      <c r="AC356" s="156"/>
      <c r="AD356" s="156"/>
      <c r="AE356" s="156"/>
      <c r="AF356" s="156"/>
      <c r="AG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  <c r="AA357" s="156"/>
      <c r="AB357" s="156"/>
      <c r="AC357" s="156"/>
      <c r="AD357" s="156"/>
      <c r="AE357" s="156"/>
      <c r="AF357" s="156"/>
      <c r="AG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  <c r="AA364" s="156"/>
      <c r="AB364" s="156"/>
      <c r="AC364" s="156"/>
      <c r="AD364" s="156"/>
      <c r="AE364" s="156"/>
      <c r="AF364" s="156"/>
      <c r="AG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  <c r="AA365" s="156"/>
      <c r="AB365" s="156"/>
      <c r="AC365" s="156"/>
      <c r="AD365" s="156"/>
      <c r="AE365" s="156"/>
      <c r="AF365" s="156"/>
      <c r="AG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  <c r="AA366" s="156"/>
      <c r="AB366" s="156"/>
      <c r="AC366" s="156"/>
      <c r="AD366" s="156"/>
      <c r="AE366" s="156"/>
      <c r="AF366" s="156"/>
      <c r="AG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  <c r="AA367" s="156"/>
      <c r="AB367" s="156"/>
      <c r="AC367" s="156"/>
      <c r="AD367" s="156"/>
      <c r="AE367" s="156"/>
      <c r="AF367" s="156"/>
      <c r="AG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  <c r="AA368" s="156"/>
      <c r="AB368" s="156"/>
      <c r="AC368" s="156"/>
      <c r="AD368" s="156"/>
      <c r="AE368" s="156"/>
      <c r="AF368" s="156"/>
      <c r="AG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  <c r="AA369" s="156"/>
      <c r="AB369" s="156"/>
      <c r="AC369" s="156"/>
      <c r="AD369" s="156"/>
      <c r="AE369" s="156"/>
      <c r="AF369" s="156"/>
      <c r="AG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  <c r="AA370" s="156"/>
      <c r="AB370" s="156"/>
      <c r="AC370" s="156"/>
      <c r="AD370" s="156"/>
      <c r="AE370" s="156"/>
      <c r="AF370" s="156"/>
      <c r="AG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  <c r="AA371" s="156"/>
      <c r="AB371" s="156"/>
      <c r="AC371" s="156"/>
      <c r="AD371" s="156"/>
      <c r="AE371" s="156"/>
      <c r="AF371" s="156"/>
      <c r="AG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  <c r="AA372" s="156"/>
      <c r="AB372" s="156"/>
      <c r="AC372" s="156"/>
      <c r="AD372" s="156"/>
      <c r="AE372" s="156"/>
      <c r="AF372" s="156"/>
      <c r="AG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  <c r="AA373" s="156"/>
      <c r="AB373" s="156"/>
      <c r="AC373" s="156"/>
      <c r="AD373" s="156"/>
      <c r="AE373" s="156"/>
      <c r="AF373" s="156"/>
      <c r="AG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  <c r="AA374" s="156"/>
      <c r="AB374" s="156"/>
      <c r="AC374" s="156"/>
      <c r="AD374" s="156"/>
      <c r="AE374" s="156"/>
      <c r="AF374" s="156"/>
      <c r="AG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  <c r="AA375" s="156"/>
      <c r="AB375" s="156"/>
      <c r="AC375" s="156"/>
      <c r="AD375" s="156"/>
      <c r="AE375" s="156"/>
      <c r="AF375" s="156"/>
      <c r="AG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  <c r="AA376" s="156"/>
      <c r="AB376" s="156"/>
      <c r="AC376" s="156"/>
      <c r="AD376" s="156"/>
      <c r="AE376" s="156"/>
      <c r="AF376" s="156"/>
      <c r="AG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6"/>
      <c r="AF377" s="156"/>
      <c r="AG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  <c r="AA378" s="156"/>
      <c r="AB378" s="156"/>
      <c r="AC378" s="156"/>
      <c r="AD378" s="156"/>
      <c r="AE378" s="156"/>
      <c r="AF378" s="156"/>
      <c r="AG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  <c r="AA379" s="156"/>
      <c r="AB379" s="156"/>
      <c r="AC379" s="156"/>
      <c r="AD379" s="156"/>
      <c r="AE379" s="156"/>
      <c r="AF379" s="156"/>
      <c r="AG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  <c r="AA380" s="156"/>
      <c r="AB380" s="156"/>
      <c r="AC380" s="156"/>
      <c r="AD380" s="156"/>
      <c r="AE380" s="156"/>
      <c r="AF380" s="156"/>
      <c r="AG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6"/>
      <c r="AF381" s="156"/>
      <c r="AG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  <c r="AA382" s="156"/>
      <c r="AB382" s="156"/>
      <c r="AC382" s="156"/>
      <c r="AD382" s="156"/>
      <c r="AE382" s="156"/>
      <c r="AF382" s="156"/>
      <c r="AG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  <c r="AA383" s="156"/>
      <c r="AB383" s="156"/>
      <c r="AC383" s="156"/>
      <c r="AD383" s="156"/>
      <c r="AE383" s="156"/>
      <c r="AF383" s="156"/>
      <c r="AG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  <c r="AA384" s="156"/>
      <c r="AB384" s="156"/>
      <c r="AC384" s="156"/>
      <c r="AD384" s="156"/>
      <c r="AE384" s="156"/>
      <c r="AF384" s="156"/>
      <c r="AG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  <c r="AA385" s="156"/>
      <c r="AB385" s="156"/>
      <c r="AC385" s="156"/>
      <c r="AD385" s="156"/>
      <c r="AE385" s="156"/>
      <c r="AF385" s="156"/>
      <c r="AG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  <c r="AA387" s="156"/>
      <c r="AB387" s="156"/>
      <c r="AC387" s="156"/>
      <c r="AD387" s="156"/>
      <c r="AE387" s="156"/>
      <c r="AF387" s="156"/>
      <c r="AG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  <c r="AA392" s="156"/>
      <c r="AB392" s="156"/>
      <c r="AC392" s="156"/>
      <c r="AD392" s="156"/>
      <c r="AE392" s="156"/>
      <c r="AF392" s="156"/>
      <c r="AG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  <c r="AA393" s="156"/>
      <c r="AB393" s="156"/>
      <c r="AC393" s="156"/>
      <c r="AD393" s="156"/>
      <c r="AE393" s="156"/>
      <c r="AF393" s="156"/>
      <c r="AG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  <c r="AA394" s="156"/>
      <c r="AB394" s="156"/>
      <c r="AC394" s="156"/>
      <c r="AD394" s="156"/>
      <c r="AE394" s="156"/>
      <c r="AF394" s="156"/>
      <c r="AG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  <c r="AA395" s="156"/>
      <c r="AB395" s="156"/>
      <c r="AC395" s="156"/>
      <c r="AD395" s="156"/>
      <c r="AE395" s="156"/>
      <c r="AF395" s="156"/>
      <c r="AG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  <c r="AA396" s="156"/>
      <c r="AB396" s="156"/>
      <c r="AC396" s="156"/>
      <c r="AD396" s="156"/>
      <c r="AE396" s="156"/>
      <c r="AF396" s="156"/>
      <c r="AG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  <c r="AA397" s="156"/>
      <c r="AB397" s="156"/>
      <c r="AC397" s="156"/>
      <c r="AD397" s="156"/>
      <c r="AE397" s="156"/>
      <c r="AF397" s="156"/>
      <c r="AG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  <c r="AA399" s="156"/>
      <c r="AB399" s="156"/>
      <c r="AC399" s="156"/>
      <c r="AD399" s="156"/>
      <c r="AE399" s="156"/>
      <c r="AF399" s="156"/>
      <c r="AG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  <c r="AA400" s="156"/>
      <c r="AB400" s="156"/>
      <c r="AC400" s="156"/>
      <c r="AD400" s="156"/>
      <c r="AE400" s="156"/>
      <c r="AF400" s="156"/>
      <c r="AG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  <c r="AA401" s="156"/>
      <c r="AB401" s="156"/>
      <c r="AC401" s="156"/>
      <c r="AD401" s="156"/>
      <c r="AE401" s="156"/>
      <c r="AF401" s="156"/>
      <c r="AG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156"/>
      <c r="AG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  <c r="AA404" s="156"/>
      <c r="AB404" s="156"/>
      <c r="AC404" s="156"/>
      <c r="AD404" s="156"/>
      <c r="AE404" s="156"/>
      <c r="AF404" s="156"/>
      <c r="AG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  <c r="AA405" s="156"/>
      <c r="AB405" s="156"/>
      <c r="AC405" s="156"/>
      <c r="AD405" s="156"/>
      <c r="AE405" s="156"/>
      <c r="AF405" s="156"/>
      <c r="AG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  <c r="AA406" s="156"/>
      <c r="AB406" s="156"/>
      <c r="AC406" s="156"/>
      <c r="AD406" s="156"/>
      <c r="AE406" s="156"/>
      <c r="AF406" s="156"/>
      <c r="AG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  <c r="AA407" s="156"/>
      <c r="AB407" s="156"/>
      <c r="AC407" s="156"/>
      <c r="AD407" s="156"/>
      <c r="AE407" s="156"/>
      <c r="AF407" s="156"/>
      <c r="AG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  <c r="AA408" s="156"/>
      <c r="AB408" s="156"/>
      <c r="AC408" s="156"/>
      <c r="AD408" s="156"/>
      <c r="AE408" s="156"/>
      <c r="AF408" s="156"/>
      <c r="AG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  <c r="AA409" s="156"/>
      <c r="AB409" s="156"/>
      <c r="AC409" s="156"/>
      <c r="AD409" s="156"/>
      <c r="AE409" s="156"/>
      <c r="AF409" s="156"/>
      <c r="AG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  <c r="AA410" s="156"/>
      <c r="AB410" s="156"/>
      <c r="AC410" s="156"/>
      <c r="AD410" s="156"/>
      <c r="AE410" s="156"/>
      <c r="AF410" s="156"/>
      <c r="AG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  <c r="AA411" s="156"/>
      <c r="AB411" s="156"/>
      <c r="AC411" s="156"/>
      <c r="AD411" s="156"/>
      <c r="AE411" s="156"/>
      <c r="AF411" s="156"/>
      <c r="AG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  <c r="AA412" s="156"/>
      <c r="AB412" s="156"/>
      <c r="AC412" s="156"/>
      <c r="AD412" s="156"/>
      <c r="AE412" s="156"/>
      <c r="AF412" s="156"/>
      <c r="AG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  <c r="AA413" s="156"/>
      <c r="AB413" s="156"/>
      <c r="AC413" s="156"/>
      <c r="AD413" s="156"/>
      <c r="AE413" s="156"/>
      <c r="AF413" s="156"/>
      <c r="AG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  <c r="AA414" s="156"/>
      <c r="AB414" s="156"/>
      <c r="AC414" s="156"/>
      <c r="AD414" s="156"/>
      <c r="AE414" s="156"/>
      <c r="AF414" s="156"/>
      <c r="AG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  <c r="AA415" s="156"/>
      <c r="AB415" s="156"/>
      <c r="AC415" s="156"/>
      <c r="AD415" s="156"/>
      <c r="AE415" s="156"/>
      <c r="AF415" s="156"/>
      <c r="AG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  <c r="AA416" s="156"/>
      <c r="AB416" s="156"/>
      <c r="AC416" s="156"/>
      <c r="AD416" s="156"/>
      <c r="AE416" s="156"/>
      <c r="AF416" s="156"/>
      <c r="AG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6"/>
      <c r="AC417" s="156"/>
      <c r="AD417" s="156"/>
      <c r="AE417" s="156"/>
      <c r="AF417" s="156"/>
      <c r="AG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  <c r="AA418" s="156"/>
      <c r="AB418" s="156"/>
      <c r="AC418" s="156"/>
      <c r="AD418" s="156"/>
      <c r="AE418" s="156"/>
      <c r="AF418" s="156"/>
      <c r="AG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6"/>
      <c r="AC419" s="156"/>
      <c r="AD419" s="156"/>
      <c r="AE419" s="156"/>
      <c r="AF419" s="156"/>
      <c r="AG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  <c r="AA420" s="156"/>
      <c r="AB420" s="156"/>
      <c r="AC420" s="156"/>
      <c r="AD420" s="156"/>
      <c r="AE420" s="156"/>
      <c r="AF420" s="156"/>
      <c r="AG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  <c r="AA421" s="156"/>
      <c r="AB421" s="156"/>
      <c r="AC421" s="156"/>
      <c r="AD421" s="156"/>
      <c r="AE421" s="156"/>
      <c r="AF421" s="156"/>
      <c r="AG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  <c r="AA422" s="156"/>
      <c r="AB422" s="156"/>
      <c r="AC422" s="156"/>
      <c r="AD422" s="156"/>
      <c r="AE422" s="156"/>
      <c r="AF422" s="156"/>
      <c r="AG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  <c r="AA423" s="156"/>
      <c r="AB423" s="156"/>
      <c r="AC423" s="156"/>
      <c r="AD423" s="156"/>
      <c r="AE423" s="156"/>
      <c r="AF423" s="156"/>
      <c r="AG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  <c r="AA424" s="156"/>
      <c r="AB424" s="156"/>
      <c r="AC424" s="156"/>
      <c r="AD424" s="156"/>
      <c r="AE424" s="156"/>
      <c r="AF424" s="156"/>
      <c r="AG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  <c r="AA425" s="156"/>
      <c r="AB425" s="156"/>
      <c r="AC425" s="156"/>
      <c r="AD425" s="156"/>
      <c r="AE425" s="156"/>
      <c r="AF425" s="156"/>
      <c r="AG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  <c r="AA426" s="156"/>
      <c r="AB426" s="156"/>
      <c r="AC426" s="156"/>
      <c r="AD426" s="156"/>
      <c r="AE426" s="156"/>
      <c r="AF426" s="156"/>
      <c r="AG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  <c r="AA427" s="156"/>
      <c r="AB427" s="156"/>
      <c r="AC427" s="156"/>
      <c r="AD427" s="156"/>
      <c r="AE427" s="156"/>
      <c r="AF427" s="156"/>
      <c r="AG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  <c r="AA428" s="156"/>
      <c r="AB428" s="156"/>
      <c r="AC428" s="156"/>
      <c r="AD428" s="156"/>
      <c r="AE428" s="156"/>
      <c r="AF428" s="156"/>
      <c r="AG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  <c r="AA429" s="156"/>
      <c r="AB429" s="156"/>
      <c r="AC429" s="156"/>
      <c r="AD429" s="156"/>
      <c r="AE429" s="156"/>
      <c r="AF429" s="156"/>
      <c r="AG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  <c r="AA430" s="156"/>
      <c r="AB430" s="156"/>
      <c r="AC430" s="156"/>
      <c r="AD430" s="156"/>
      <c r="AE430" s="156"/>
      <c r="AF430" s="156"/>
      <c r="AG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156"/>
      <c r="AG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156"/>
      <c r="AG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  <c r="AB433" s="156"/>
      <c r="AC433" s="156"/>
      <c r="AD433" s="156"/>
      <c r="AE433" s="156"/>
      <c r="AF433" s="156"/>
      <c r="AG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6"/>
      <c r="AF434" s="156"/>
      <c r="AG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  <c r="AA435" s="156"/>
      <c r="AB435" s="156"/>
      <c r="AC435" s="156"/>
      <c r="AD435" s="156"/>
      <c r="AE435" s="156"/>
      <c r="AF435" s="156"/>
      <c r="AG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  <c r="AA436" s="156"/>
      <c r="AB436" s="156"/>
      <c r="AC436" s="156"/>
      <c r="AD436" s="156"/>
      <c r="AE436" s="156"/>
      <c r="AF436" s="156"/>
      <c r="AG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  <c r="AA438" s="156"/>
      <c r="AB438" s="156"/>
      <c r="AC438" s="156"/>
      <c r="AD438" s="156"/>
      <c r="AE438" s="156"/>
      <c r="AF438" s="156"/>
      <c r="AG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  <c r="AA439" s="156"/>
      <c r="AB439" s="156"/>
      <c r="AC439" s="156"/>
      <c r="AD439" s="156"/>
      <c r="AE439" s="156"/>
      <c r="AF439" s="156"/>
      <c r="AG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  <c r="AA440" s="156"/>
      <c r="AB440" s="156"/>
      <c r="AC440" s="156"/>
      <c r="AD440" s="156"/>
      <c r="AE440" s="156"/>
      <c r="AF440" s="156"/>
      <c r="AG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  <c r="AA441" s="156"/>
      <c r="AB441" s="156"/>
      <c r="AC441" s="156"/>
      <c r="AD441" s="156"/>
      <c r="AE441" s="156"/>
      <c r="AF441" s="156"/>
      <c r="AG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  <c r="AA442" s="156"/>
      <c r="AB442" s="156"/>
      <c r="AC442" s="156"/>
      <c r="AD442" s="156"/>
      <c r="AE442" s="156"/>
      <c r="AF442" s="156"/>
      <c r="AG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  <c r="AA443" s="156"/>
      <c r="AB443" s="156"/>
      <c r="AC443" s="156"/>
      <c r="AD443" s="156"/>
      <c r="AE443" s="156"/>
      <c r="AF443" s="156"/>
      <c r="AG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  <c r="AA444" s="156"/>
      <c r="AB444" s="156"/>
      <c r="AC444" s="156"/>
      <c r="AD444" s="156"/>
      <c r="AE444" s="156"/>
      <c r="AF444" s="156"/>
      <c r="AG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  <c r="AA445" s="156"/>
      <c r="AB445" s="156"/>
      <c r="AC445" s="156"/>
      <c r="AD445" s="156"/>
      <c r="AE445" s="156"/>
      <c r="AF445" s="156"/>
      <c r="AG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  <c r="AA446" s="156"/>
      <c r="AB446" s="156"/>
      <c r="AC446" s="156"/>
      <c r="AD446" s="156"/>
      <c r="AE446" s="156"/>
      <c r="AF446" s="156"/>
      <c r="AG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  <c r="AA447" s="156"/>
      <c r="AB447" s="156"/>
      <c r="AC447" s="156"/>
      <c r="AD447" s="156"/>
      <c r="AE447" s="156"/>
      <c r="AF447" s="156"/>
      <c r="AG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  <c r="AA448" s="156"/>
      <c r="AB448" s="156"/>
      <c r="AC448" s="156"/>
      <c r="AD448" s="156"/>
      <c r="AE448" s="156"/>
      <c r="AF448" s="156"/>
      <c r="AG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  <c r="AA449" s="156"/>
      <c r="AB449" s="156"/>
      <c r="AC449" s="156"/>
      <c r="AD449" s="156"/>
      <c r="AE449" s="156"/>
      <c r="AF449" s="156"/>
      <c r="AG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  <c r="AA450" s="156"/>
      <c r="AB450" s="156"/>
      <c r="AC450" s="156"/>
      <c r="AD450" s="156"/>
      <c r="AE450" s="156"/>
      <c r="AF450" s="156"/>
      <c r="AG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  <c r="AA451" s="156"/>
      <c r="AB451" s="156"/>
      <c r="AC451" s="156"/>
      <c r="AD451" s="156"/>
      <c r="AE451" s="156"/>
      <c r="AF451" s="156"/>
      <c r="AG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  <c r="AA452" s="156"/>
      <c r="AB452" s="156"/>
      <c r="AC452" s="156"/>
      <c r="AD452" s="156"/>
      <c r="AE452" s="156"/>
      <c r="AF452" s="156"/>
      <c r="AG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  <c r="AA453" s="156"/>
      <c r="AB453" s="156"/>
      <c r="AC453" s="156"/>
      <c r="AD453" s="156"/>
      <c r="AE453" s="156"/>
      <c r="AF453" s="156"/>
      <c r="AG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  <c r="AA454" s="156"/>
      <c r="AB454" s="156"/>
      <c r="AC454" s="156"/>
      <c r="AD454" s="156"/>
      <c r="AE454" s="156"/>
      <c r="AF454" s="156"/>
      <c r="AG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  <c r="AA455" s="156"/>
      <c r="AB455" s="156"/>
      <c r="AC455" s="156"/>
      <c r="AD455" s="156"/>
      <c r="AE455" s="156"/>
      <c r="AF455" s="156"/>
      <c r="AG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  <c r="AA456" s="156"/>
      <c r="AB456" s="156"/>
      <c r="AC456" s="156"/>
      <c r="AD456" s="156"/>
      <c r="AE456" s="156"/>
      <c r="AF456" s="156"/>
      <c r="AG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  <c r="AA457" s="156"/>
      <c r="AB457" s="156"/>
      <c r="AC457" s="156"/>
      <c r="AD457" s="156"/>
      <c r="AE457" s="156"/>
      <c r="AF457" s="156"/>
      <c r="AG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  <c r="AA464" s="156"/>
      <c r="AB464" s="156"/>
      <c r="AC464" s="156"/>
      <c r="AD464" s="156"/>
      <c r="AE464" s="156"/>
      <c r="AF464" s="156"/>
      <c r="AG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  <c r="AA465" s="156"/>
      <c r="AB465" s="156"/>
      <c r="AC465" s="156"/>
      <c r="AD465" s="156"/>
      <c r="AE465" s="156"/>
      <c r="AF465" s="156"/>
      <c r="AG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  <c r="AA466" s="156"/>
      <c r="AB466" s="156"/>
      <c r="AC466" s="156"/>
      <c r="AD466" s="156"/>
      <c r="AE466" s="156"/>
      <c r="AF466" s="156"/>
      <c r="AG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  <c r="AA467" s="156"/>
      <c r="AB467" s="156"/>
      <c r="AC467" s="156"/>
      <c r="AD467" s="156"/>
      <c r="AE467" s="156"/>
      <c r="AF467" s="156"/>
      <c r="AG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  <c r="AA468" s="156"/>
      <c r="AB468" s="156"/>
      <c r="AC468" s="156"/>
      <c r="AD468" s="156"/>
      <c r="AE468" s="156"/>
      <c r="AF468" s="156"/>
      <c r="AG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  <c r="AA469" s="156"/>
      <c r="AB469" s="156"/>
      <c r="AC469" s="156"/>
      <c r="AD469" s="156"/>
      <c r="AE469" s="156"/>
      <c r="AF469" s="156"/>
      <c r="AG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  <c r="AA470" s="156"/>
      <c r="AB470" s="156"/>
      <c r="AC470" s="156"/>
      <c r="AD470" s="156"/>
      <c r="AE470" s="156"/>
      <c r="AF470" s="156"/>
      <c r="AG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  <c r="AA471" s="156"/>
      <c r="AB471" s="156"/>
      <c r="AC471" s="156"/>
      <c r="AD471" s="156"/>
      <c r="AE471" s="156"/>
      <c r="AF471" s="156"/>
      <c r="AG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  <c r="AA472" s="156"/>
      <c r="AB472" s="156"/>
      <c r="AC472" s="156"/>
      <c r="AD472" s="156"/>
      <c r="AE472" s="156"/>
      <c r="AF472" s="156"/>
      <c r="AG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  <c r="AA473" s="156"/>
      <c r="AB473" s="156"/>
      <c r="AC473" s="156"/>
      <c r="AD473" s="156"/>
      <c r="AE473" s="156"/>
      <c r="AF473" s="156"/>
      <c r="AG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  <c r="AA474" s="156"/>
      <c r="AB474" s="156"/>
      <c r="AC474" s="156"/>
      <c r="AD474" s="156"/>
      <c r="AE474" s="156"/>
      <c r="AF474" s="156"/>
      <c r="AG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  <c r="AA475" s="156"/>
      <c r="AB475" s="156"/>
      <c r="AC475" s="156"/>
      <c r="AD475" s="156"/>
      <c r="AE475" s="156"/>
      <c r="AF475" s="156"/>
      <c r="AG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  <c r="AA477" s="156"/>
      <c r="AB477" s="156"/>
      <c r="AC477" s="156"/>
      <c r="AD477" s="156"/>
      <c r="AE477" s="156"/>
      <c r="AF477" s="156"/>
      <c r="AG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  <c r="AA478" s="156"/>
      <c r="AB478" s="156"/>
      <c r="AC478" s="156"/>
      <c r="AD478" s="156"/>
      <c r="AE478" s="156"/>
      <c r="AF478" s="156"/>
      <c r="AG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  <c r="AA479" s="156"/>
      <c r="AB479" s="156"/>
      <c r="AC479" s="156"/>
      <c r="AD479" s="156"/>
      <c r="AE479" s="156"/>
      <c r="AF479" s="156"/>
      <c r="AG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  <c r="AA480" s="156"/>
      <c r="AB480" s="156"/>
      <c r="AC480" s="156"/>
      <c r="AD480" s="156"/>
      <c r="AE480" s="156"/>
      <c r="AF480" s="156"/>
      <c r="AG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  <c r="AA481" s="156"/>
      <c r="AB481" s="156"/>
      <c r="AC481" s="156"/>
      <c r="AD481" s="156"/>
      <c r="AE481" s="156"/>
      <c r="AF481" s="156"/>
      <c r="AG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  <c r="AA482" s="156"/>
      <c r="AB482" s="156"/>
      <c r="AC482" s="156"/>
      <c r="AD482" s="156"/>
      <c r="AE482" s="156"/>
      <c r="AF482" s="156"/>
      <c r="AG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  <c r="AA483" s="156"/>
      <c r="AB483" s="156"/>
      <c r="AC483" s="156"/>
      <c r="AD483" s="156"/>
      <c r="AE483" s="156"/>
      <c r="AF483" s="156"/>
      <c r="AG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  <c r="AA484" s="156"/>
      <c r="AB484" s="156"/>
      <c r="AC484" s="156"/>
      <c r="AD484" s="156"/>
      <c r="AE484" s="156"/>
      <c r="AF484" s="156"/>
      <c r="AG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  <c r="AA485" s="156"/>
      <c r="AB485" s="156"/>
      <c r="AC485" s="156"/>
      <c r="AD485" s="156"/>
      <c r="AE485" s="156"/>
      <c r="AF485" s="156"/>
      <c r="AG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  <c r="AA486" s="156"/>
      <c r="AB486" s="156"/>
      <c r="AC486" s="156"/>
      <c r="AD486" s="156"/>
      <c r="AE486" s="156"/>
      <c r="AF486" s="156"/>
      <c r="AG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6"/>
      <c r="AF487" s="156"/>
      <c r="AG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  <c r="AA488" s="156"/>
      <c r="AB488" s="156"/>
      <c r="AC488" s="156"/>
      <c r="AD488" s="156"/>
      <c r="AE488" s="156"/>
      <c r="AF488" s="156"/>
      <c r="AG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  <c r="AA489" s="156"/>
      <c r="AB489" s="156"/>
      <c r="AC489" s="156"/>
      <c r="AD489" s="156"/>
      <c r="AE489" s="156"/>
      <c r="AF489" s="156"/>
      <c r="AG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  <c r="AA490" s="156"/>
      <c r="AB490" s="156"/>
      <c r="AC490" s="156"/>
      <c r="AD490" s="156"/>
      <c r="AE490" s="156"/>
      <c r="AF490" s="156"/>
      <c r="AG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  <c r="AA491" s="156"/>
      <c r="AB491" s="156"/>
      <c r="AC491" s="156"/>
      <c r="AD491" s="156"/>
      <c r="AE491" s="156"/>
      <c r="AF491" s="156"/>
      <c r="AG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  <c r="AA492" s="156"/>
      <c r="AB492" s="156"/>
      <c r="AC492" s="156"/>
      <c r="AD492" s="156"/>
      <c r="AE492" s="156"/>
      <c r="AF492" s="156"/>
      <c r="AG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  <c r="AA493" s="156"/>
      <c r="AB493" s="156"/>
      <c r="AC493" s="156"/>
      <c r="AD493" s="156"/>
      <c r="AE493" s="156"/>
      <c r="AF493" s="156"/>
      <c r="AG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  <c r="AA494" s="156"/>
      <c r="AB494" s="156"/>
      <c r="AC494" s="156"/>
      <c r="AD494" s="156"/>
      <c r="AE494" s="156"/>
      <c r="AF494" s="156"/>
      <c r="AG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  <c r="AA495" s="156"/>
      <c r="AB495" s="156"/>
      <c r="AC495" s="156"/>
      <c r="AD495" s="156"/>
      <c r="AE495" s="156"/>
      <c r="AF495" s="156"/>
      <c r="AG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  <c r="AA496" s="156"/>
      <c r="AB496" s="156"/>
      <c r="AC496" s="156"/>
      <c r="AD496" s="156"/>
      <c r="AE496" s="156"/>
      <c r="AF496" s="156"/>
      <c r="AG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  <c r="AA497" s="156"/>
      <c r="AB497" s="156"/>
      <c r="AC497" s="156"/>
      <c r="AD497" s="156"/>
      <c r="AE497" s="156"/>
      <c r="AF497" s="156"/>
      <c r="AG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  <c r="AA498" s="156"/>
      <c r="AB498" s="156"/>
      <c r="AC498" s="156"/>
      <c r="AD498" s="156"/>
      <c r="AE498" s="156"/>
      <c r="AF498" s="156"/>
      <c r="AG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  <c r="AA499" s="156"/>
      <c r="AB499" s="156"/>
      <c r="AC499" s="156"/>
      <c r="AD499" s="156"/>
      <c r="AE499" s="156"/>
      <c r="AF499" s="156"/>
      <c r="AG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  <c r="AA500" s="156"/>
      <c r="AB500" s="156"/>
      <c r="AC500" s="156"/>
      <c r="AD500" s="156"/>
      <c r="AE500" s="156"/>
      <c r="AF500" s="156"/>
      <c r="AG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  <c r="AA501" s="156"/>
      <c r="AB501" s="156"/>
      <c r="AC501" s="156"/>
      <c r="AD501" s="156"/>
      <c r="AE501" s="156"/>
      <c r="AF501" s="156"/>
      <c r="AG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  <c r="AA502" s="156"/>
      <c r="AB502" s="156"/>
      <c r="AC502" s="156"/>
      <c r="AD502" s="156"/>
      <c r="AE502" s="156"/>
      <c r="AF502" s="156"/>
      <c r="AG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  <c r="AA503" s="156"/>
      <c r="AB503" s="156"/>
      <c r="AC503" s="156"/>
      <c r="AD503" s="156"/>
      <c r="AE503" s="156"/>
      <c r="AF503" s="156"/>
      <c r="AG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  <c r="AA504" s="156"/>
      <c r="AB504" s="156"/>
      <c r="AC504" s="156"/>
      <c r="AD504" s="156"/>
      <c r="AE504" s="156"/>
      <c r="AF504" s="156"/>
      <c r="AG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  <c r="AA505" s="156"/>
      <c r="AB505" s="156"/>
      <c r="AC505" s="156"/>
      <c r="AD505" s="156"/>
      <c r="AE505" s="156"/>
      <c r="AF505" s="156"/>
      <c r="AG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  <c r="AA506" s="156"/>
      <c r="AB506" s="156"/>
      <c r="AC506" s="156"/>
      <c r="AD506" s="156"/>
      <c r="AE506" s="156"/>
      <c r="AF506" s="156"/>
      <c r="AG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  <c r="AA507" s="156"/>
      <c r="AB507" s="156"/>
      <c r="AC507" s="156"/>
      <c r="AD507" s="156"/>
      <c r="AE507" s="156"/>
      <c r="AF507" s="156"/>
      <c r="AG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  <c r="AA508" s="156"/>
      <c r="AB508" s="156"/>
      <c r="AC508" s="156"/>
      <c r="AD508" s="156"/>
      <c r="AE508" s="156"/>
      <c r="AF508" s="156"/>
      <c r="AG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  <c r="AA509" s="156"/>
      <c r="AB509" s="156"/>
      <c r="AC509" s="156"/>
      <c r="AD509" s="156"/>
      <c r="AE509" s="156"/>
      <c r="AF509" s="156"/>
      <c r="AG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  <c r="AA510" s="156"/>
      <c r="AB510" s="156"/>
      <c r="AC510" s="156"/>
      <c r="AD510" s="156"/>
      <c r="AE510" s="156"/>
      <c r="AF510" s="156"/>
      <c r="AG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  <c r="AA511" s="156"/>
      <c r="AB511" s="156"/>
      <c r="AC511" s="156"/>
      <c r="AD511" s="156"/>
      <c r="AE511" s="156"/>
      <c r="AF511" s="156"/>
      <c r="AG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  <c r="AA512" s="156"/>
      <c r="AB512" s="156"/>
      <c r="AC512" s="156"/>
      <c r="AD512" s="156"/>
      <c r="AE512" s="156"/>
      <c r="AF512" s="156"/>
      <c r="AG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156"/>
      <c r="AB513" s="156"/>
      <c r="AC513" s="156"/>
      <c r="AD513" s="156"/>
      <c r="AE513" s="156"/>
      <c r="AF513" s="156"/>
      <c r="AG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  <c r="AA514" s="156"/>
      <c r="AB514" s="156"/>
      <c r="AC514" s="156"/>
      <c r="AD514" s="156"/>
      <c r="AE514" s="156"/>
      <c r="AF514" s="156"/>
      <c r="AG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  <c r="AA516" s="156"/>
      <c r="AB516" s="156"/>
      <c r="AC516" s="156"/>
      <c r="AD516" s="156"/>
      <c r="AE516" s="156"/>
      <c r="AF516" s="156"/>
      <c r="AG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  <c r="AA517" s="156"/>
      <c r="AB517" s="156"/>
      <c r="AC517" s="156"/>
      <c r="AD517" s="156"/>
      <c r="AE517" s="156"/>
      <c r="AF517" s="156"/>
      <c r="AG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  <c r="AA518" s="156"/>
      <c r="AB518" s="156"/>
      <c r="AC518" s="156"/>
      <c r="AD518" s="156"/>
      <c r="AE518" s="156"/>
      <c r="AF518" s="156"/>
      <c r="AG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  <c r="AA519" s="156"/>
      <c r="AB519" s="156"/>
      <c r="AC519" s="156"/>
      <c r="AD519" s="156"/>
      <c r="AE519" s="156"/>
      <c r="AF519" s="156"/>
      <c r="AG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  <c r="AA520" s="156"/>
      <c r="AB520" s="156"/>
      <c r="AC520" s="156"/>
      <c r="AD520" s="156"/>
      <c r="AE520" s="156"/>
      <c r="AF520" s="156"/>
      <c r="AG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  <c r="AA521" s="156"/>
      <c r="AB521" s="156"/>
      <c r="AC521" s="156"/>
      <c r="AD521" s="156"/>
      <c r="AE521" s="156"/>
      <c r="AF521" s="156"/>
      <c r="AG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  <c r="AA522" s="156"/>
      <c r="AB522" s="156"/>
      <c r="AC522" s="156"/>
      <c r="AD522" s="156"/>
      <c r="AE522" s="156"/>
      <c r="AF522" s="156"/>
      <c r="AG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  <c r="AA523" s="156"/>
      <c r="AB523" s="156"/>
      <c r="AC523" s="156"/>
      <c r="AD523" s="156"/>
      <c r="AE523" s="156"/>
      <c r="AF523" s="156"/>
      <c r="AG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  <c r="AB524" s="156"/>
      <c r="AC524" s="156"/>
      <c r="AD524" s="156"/>
      <c r="AE524" s="156"/>
      <c r="AF524" s="156"/>
      <c r="AG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  <c r="AA929" s="156"/>
      <c r="AB929" s="156"/>
      <c r="AC929" s="156"/>
      <c r="AD929" s="156"/>
      <c r="AE929" s="156"/>
      <c r="AF929" s="156"/>
      <c r="AG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  <c r="AA930" s="156"/>
      <c r="AB930" s="156"/>
      <c r="AC930" s="156"/>
      <c r="AD930" s="156"/>
      <c r="AE930" s="156"/>
      <c r="AF930" s="156"/>
      <c r="AG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  <c r="AA931" s="156"/>
      <c r="AB931" s="156"/>
      <c r="AC931" s="156"/>
      <c r="AD931" s="156"/>
      <c r="AE931" s="156"/>
      <c r="AF931" s="156"/>
      <c r="AG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  <c r="AA932" s="156"/>
      <c r="AB932" s="156"/>
      <c r="AC932" s="156"/>
      <c r="AD932" s="156"/>
      <c r="AE932" s="156"/>
      <c r="AF932" s="156"/>
      <c r="AG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  <c r="AA933" s="156"/>
      <c r="AB933" s="156"/>
      <c r="AC933" s="156"/>
      <c r="AD933" s="156"/>
      <c r="AE933" s="156"/>
      <c r="AF933" s="156"/>
      <c r="AG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  <c r="AA934" s="156"/>
      <c r="AB934" s="156"/>
      <c r="AC934" s="156"/>
      <c r="AD934" s="156"/>
      <c r="AE934" s="156"/>
      <c r="AF934" s="156"/>
      <c r="AG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  <c r="AA935" s="156"/>
      <c r="AB935" s="156"/>
      <c r="AC935" s="156"/>
      <c r="AD935" s="156"/>
      <c r="AE935" s="156"/>
      <c r="AF935" s="156"/>
      <c r="AG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  <c r="AA936" s="156"/>
      <c r="AB936" s="156"/>
      <c r="AC936" s="156"/>
      <c r="AD936" s="156"/>
      <c r="AE936" s="156"/>
      <c r="AF936" s="156"/>
      <c r="AG936" s="156"/>
    </row>
    <row r="937">
      <c r="A937" s="156"/>
      <c r="B937" s="156"/>
      <c r="C937" s="202"/>
      <c r="D937" s="202"/>
      <c r="E937" s="202"/>
      <c r="F937" s="202"/>
      <c r="G937" s="202"/>
      <c r="H937" s="202"/>
      <c r="I937" s="202"/>
      <c r="J937" s="202"/>
      <c r="K937" s="202"/>
      <c r="L937" s="16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  <c r="AB937" s="202"/>
      <c r="AC937" s="202"/>
      <c r="AD937" s="202"/>
      <c r="AE937" s="202"/>
      <c r="AF937" s="202"/>
      <c r="AG937" s="202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