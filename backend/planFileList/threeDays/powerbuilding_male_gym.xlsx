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قوه وا" sheetId="1" r:id="rId4"/>
    <sheet state="hidden" name="Copy of البلوك 1 ( التركيز علي " sheetId="2" r:id="rId5"/>
    <sheet state="visible" name="جدول المتابعة اليومي والاسبوعي" sheetId="3" r:id="rId6"/>
    <sheet state="hidden" name="Copy of جدول المتابعة اليومي وا" sheetId="4" r:id="rId7"/>
  </sheets>
  <definedNames/>
  <calcPr/>
</workbook>
</file>

<file path=xl/sharedStrings.xml><?xml version="1.0" encoding="utf-8"?>
<sst xmlns="http://schemas.openxmlformats.org/spreadsheetml/2006/main" count="1212" uniqueCount="142">
  <si>
    <t>الاسبوع 1</t>
  </si>
  <si>
    <t>الاسبوع 2</t>
  </si>
  <si>
    <t>الاسبوع 3</t>
  </si>
  <si>
    <t>الاسبوع 4</t>
  </si>
  <si>
    <t>اليوم 1- فل بودي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</si>
  <si>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</si>
  <si>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</si>
  <si>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</si>
  <si>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</si>
  <si>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</si>
  <si>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</si>
  <si>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</si>
  <si>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</si>
  <si>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</si>
  <si>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Squats</t>
  </si>
  <si>
    <t>Dumbbell Press</t>
  </si>
  <si>
    <t>10--12</t>
  </si>
  <si>
    <t>Seated row upperback maggrip</t>
  </si>
  <si>
    <t>Laying Leg Curls</t>
  </si>
  <si>
    <t>ثبات ثانية بالاعلى والنزول على ثانيتين</t>
  </si>
  <si>
    <t>Dumbbell Curls</t>
  </si>
  <si>
    <t>النزول على ثانيتين</t>
  </si>
  <si>
    <t>Cable Triceps Pushdown</t>
  </si>
  <si>
    <t>Plank</t>
  </si>
  <si>
    <t>15-50sec</t>
  </si>
  <si>
    <t>سوي اول تمرين يظهر لك</t>
  </si>
  <si>
    <t>يوم راحة</t>
  </si>
  <si>
    <t>اليوم 2- فل بودي</t>
  </si>
  <si>
    <t>الثلاثاء</t>
  </si>
  <si>
    <t>Barbell Bench Press</t>
  </si>
  <si>
    <t>Leg press 45 Degrees</t>
  </si>
  <si>
    <t>Lats  Pulldown</t>
  </si>
  <si>
    <t>Lateral Raise</t>
  </si>
  <si>
    <t>اليوم 3- فل بودي</t>
  </si>
  <si>
    <t>الخميس</t>
  </si>
  <si>
    <t>Conventional Deadlift</t>
  </si>
  <si>
    <t>Incline Dumbbell Press</t>
  </si>
  <si>
    <t>Hammer strength plate loaded lat row</t>
  </si>
  <si>
    <t>Leg Extensions</t>
  </si>
  <si>
    <t>seated hammer curls</t>
  </si>
  <si>
    <t>Ab crunches machine</t>
  </si>
  <si>
    <t>يومين راحة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</si>
  <si>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</si>
  <si>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</si>
  <si>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</si>
  <si>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</si>
  <si>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</si>
  <si>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</si>
  <si>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</si>
  <si>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</si>
  <si>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</si>
  <si>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</si>
  <si>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</si>
  <si>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</si>
  <si>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</si>
  <si>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</si>
  <si>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</si>
  <si>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</si>
  <si>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</si>
  <si>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</si>
  <si>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</si>
  <si>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</si>
  <si>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</si>
  <si>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</si>
  <si>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</si>
  <si>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</si>
  <si>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</si>
  <si>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</si>
  <si>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</si>
  <si>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</si>
  <si>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</si>
  <si>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</si>
  <si>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</si>
  <si>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</si>
  <si>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اليوم 1- دفع</t>
  </si>
  <si>
    <t>Shoulder press</t>
  </si>
  <si>
    <t>Machine Incline Press</t>
  </si>
  <si>
    <t>Single Arm Lateral raises</t>
  </si>
  <si>
    <t>Triceps Push Downs</t>
  </si>
  <si>
    <t>اليوم 2-فل بودي سحب</t>
  </si>
  <si>
    <t>الاثنين</t>
  </si>
  <si>
    <t>Seated Cable Rows</t>
  </si>
  <si>
    <t>Machine Rear delts</t>
  </si>
  <si>
    <t>كارديو</t>
  </si>
  <si>
    <t>15 دقيقة</t>
  </si>
  <si>
    <t>متوسطة</t>
  </si>
  <si>
    <t>اليوم 3- جزء علوي</t>
  </si>
  <si>
    <t>اربعاء</t>
  </si>
  <si>
    <t>Chest Press Machine</t>
  </si>
  <si>
    <t xml:space="preserve">Hammer Strength High Row </t>
  </si>
  <si>
    <t>Hammer Curl</t>
  </si>
  <si>
    <t>اليوم 4- جزء سفلي</t>
  </si>
  <si>
    <t>Hack Squats</t>
  </si>
  <si>
    <t>8--10</t>
  </si>
  <si>
    <t>Dumbbell Glutes Bridge</t>
  </si>
  <si>
    <t>Seated Calf raises</t>
  </si>
  <si>
    <t>تعديل مساحات كل جدول وحدة</t>
  </si>
  <si>
    <t xml:space="preserve">رقم عادي مش تاريخ </t>
  </si>
  <si>
    <t xml:space="preserve">صورة القياسات تتعمل وحده جديدة بالبراندنج كامل مع تصميم صورة ليها  مع اعطاء تعليمات ليها 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</si>
  <si>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</si>
  <si>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</si>
  <si>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</si>
  <si>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</si>
  <si>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</si>
  <si>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</si>
  <si>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</si>
  <si>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</si>
  <si>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</si>
  <si>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 فوق السره)</t>
  </si>
  <si>
    <t>الحوض</t>
  </si>
  <si>
    <t>الذراع</t>
  </si>
  <si>
    <t>الفخذ</t>
  </si>
  <si>
    <t>التاريخ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</si>
  <si>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</si>
  <si>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</si>
  <si>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</si>
  <si>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</si>
  <si>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</si>
  <si>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 xml:space="preserve">السعرات </t>
  </si>
  <si>
    <t>البروتين</t>
  </si>
  <si>
    <t>النشويات</t>
  </si>
  <si>
    <t>الدهون</t>
  </si>
  <si>
    <t>المتوسط</t>
  </si>
  <si>
    <t xml:space="preserve">القياسات الاسبوعية </t>
  </si>
  <si>
    <t>البطن (فوق السره)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</si>
  <si>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</si>
  <si>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</si>
  <si>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</si>
  <si>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</si>
  <si>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</si>
  <si>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</si>
  <si>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</si>
  <si>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</si>
  <si>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</si>
  <si>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</si>
  <si>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</si>
  <si>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</si>
  <si>
    <t>شرح ملف المتابعه</t>
  </si>
  <si>
    <t>البطن ( تحت السره)</t>
  </si>
  <si>
    <t>الورك</t>
  </si>
  <si>
    <t>البطن (تحت السره)</t>
  </si>
  <si>
    <t xml:space="preserve">الورك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</si>
</sst>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"/>
    <numFmt numFmtId="165" formatCode="m-d"/>
    <numFmt numFmtId="166" formatCode="m-d-yy"/>
    <numFmt numFmtId="167" formatCode="m/d/yyyy"/>
    <numFmt numFmtId="168" formatCode="M/d/yyyy"/>
  </numFmts>
  <fonts count="50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u/>
      <sz val="11.0"/>
      <color rgb="FF0000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sz val="11.0"/>
      <color rgb="FF000000"/>
      <name val="Cairo"/>
    </font>
    <font>
      <sz val="11.0"/>
      <color rgb="FFFFFF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3.0"/>
      <color theme="1"/>
      <name val="Arial"/>
      <scheme val="minor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1" fillId="2" fontId="7" numFmtId="0" xfId="0" applyAlignment="1" applyBorder="1" applyFont="1">
      <alignment horizontal="center" vertical="center"/>
    </xf>
    <xf borderId="0" fillId="2" fontId="4" numFmtId="0" xfId="0" applyAlignment="1" applyFont="1">
      <alignment horizontal="center" vertical="center"/>
    </xf>
    <xf borderId="2" fillId="3" fontId="8" numFmtId="0" xfId="0" applyAlignment="1" applyBorder="1" applyFill="1" applyFont="1">
      <alignment horizontal="center" readingOrder="0" vertical="center"/>
    </xf>
    <xf borderId="3" fillId="0" fontId="9" numFmtId="0" xfId="0" applyBorder="1" applyFont="1"/>
    <xf borderId="4" fillId="0" fontId="9" numFmtId="0" xfId="0" applyBorder="1" applyFont="1"/>
    <xf borderId="0" fillId="2" fontId="10" numFmtId="0" xfId="0" applyAlignment="1" applyFont="1">
      <alignment horizontal="center" vertical="center"/>
    </xf>
    <xf borderId="5" fillId="4" fontId="11" numFmtId="0" xfId="0" applyAlignment="1" applyBorder="1" applyFill="1" applyFont="1">
      <alignment horizontal="center" readingOrder="0" vertical="center"/>
    </xf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0" fillId="0" fontId="12" numFmtId="0" xfId="0" applyAlignment="1" applyFont="1">
      <alignment horizontal="center" vertical="center"/>
    </xf>
    <xf borderId="0" fillId="2" fontId="13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9" fillId="4" fontId="14" numFmtId="0" xfId="0" applyAlignment="1" applyBorder="1" applyFont="1">
      <alignment horizontal="center" vertical="center"/>
    </xf>
    <xf borderId="1" fillId="5" fontId="15" numFmtId="0" xfId="0" applyAlignment="1" applyBorder="1" applyFill="1" applyFont="1">
      <alignment horizontal="center" readingOrder="0" vertical="center"/>
    </xf>
    <xf borderId="1" fillId="5" fontId="15" numFmtId="0" xfId="0" applyAlignment="1" applyBorder="1" applyFont="1">
      <alignment horizontal="center" readingOrder="0" vertical="center"/>
    </xf>
    <xf borderId="5" fillId="5" fontId="15" numFmtId="0" xfId="0" applyAlignment="1" applyBorder="1" applyFont="1">
      <alignment horizontal="center" readingOrder="0" vertical="center"/>
    </xf>
    <xf borderId="10" fillId="0" fontId="9" numFmtId="0" xfId="0" applyBorder="1" applyFont="1"/>
    <xf borderId="0" fillId="2" fontId="1" numFmtId="0" xfId="0" applyAlignment="1" applyFont="1">
      <alignment horizontal="center" vertical="center"/>
    </xf>
    <xf borderId="0" fillId="2" fontId="15" numFmtId="0" xfId="0" applyAlignment="1" applyFont="1">
      <alignment horizontal="center" readingOrder="0" vertical="center"/>
    </xf>
    <xf borderId="1" fillId="6" fontId="16" numFmtId="0" xfId="0" applyAlignment="1" applyBorder="1" applyFill="1" applyFont="1">
      <alignment horizontal="center" readingOrder="0" vertical="center"/>
    </xf>
    <xf borderId="1" fillId="7" fontId="15" numFmtId="164" xfId="0" applyAlignment="1" applyBorder="1" applyFill="1" applyFont="1" applyNumberForma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5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1" fillId="6" fontId="16" numFmtId="0" xfId="0" applyAlignment="1" applyBorder="1" applyFont="1">
      <alignment horizontal="center" vertical="center"/>
    </xf>
    <xf borderId="1" fillId="6" fontId="16" numFmtId="9" xfId="0" applyAlignment="1" applyBorder="1" applyFont="1" applyNumberFormat="1">
      <alignment horizontal="center" readingOrder="0" vertical="center"/>
    </xf>
    <xf borderId="0" fillId="2" fontId="12" numFmtId="0" xfId="0" applyAlignment="1" applyFont="1">
      <alignment horizontal="center" vertical="center"/>
    </xf>
    <xf borderId="5" fillId="3" fontId="14" numFmtId="0" xfId="0" applyAlignment="1" applyBorder="1" applyFont="1">
      <alignment horizontal="center" readingOrder="0" vertical="center"/>
    </xf>
    <xf borderId="11" fillId="0" fontId="9" numFmtId="0" xfId="0" applyBorder="1" applyFont="1"/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horizontal="center" vertical="center"/>
    </xf>
    <xf borderId="5" fillId="5" fontId="15" numFmtId="0" xfId="0" applyAlignment="1" applyBorder="1" applyFont="1">
      <alignment horizontal="center" vertical="center"/>
    </xf>
    <xf borderId="1" fillId="6" fontId="15" numFmtId="0" xfId="0" applyAlignment="1" applyBorder="1" applyFont="1">
      <alignment horizontal="center" readingOrder="0" vertical="center"/>
    </xf>
    <xf borderId="1" fillId="7" fontId="15" numFmtId="0" xfId="0" applyAlignment="1" applyBorder="1" applyFont="1">
      <alignment horizontal="center" readingOrder="0" vertical="center"/>
    </xf>
    <xf borderId="1" fillId="7" fontId="1" numFmtId="165" xfId="0" applyAlignment="1" applyBorder="1" applyFont="1" applyNumberFormat="1">
      <alignment horizontal="center" readingOrder="0" vertical="center"/>
    </xf>
    <xf borderId="1" fillId="6" fontId="15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6" fillId="4" fontId="11" numFmtId="0" xfId="0" applyAlignment="1" applyBorder="1" applyFont="1">
      <alignment horizontal="center" readingOrder="0" vertical="center"/>
    </xf>
    <xf borderId="0" fillId="2" fontId="17" numFmtId="0" xfId="0" applyAlignment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9" fillId="2" fontId="17" numFmtId="0" xfId="0" applyAlignment="1" applyBorder="1" applyFont="1">
      <alignment horizontal="center" vertical="center"/>
    </xf>
    <xf borderId="5" fillId="7" fontId="4" numFmtId="0" xfId="0" applyAlignment="1" applyBorder="1" applyFont="1">
      <alignment horizontal="center" readingOrder="0" vertical="center"/>
    </xf>
    <xf borderId="5" fillId="6" fontId="15" numFmtId="0" xfId="0" applyAlignment="1" applyBorder="1" applyFont="1">
      <alignment horizontal="center" vertical="center"/>
    </xf>
    <xf borderId="5" fillId="6" fontId="15" numFmtId="0" xfId="0" applyAlignment="1" applyBorder="1" applyFont="1">
      <alignment horizontal="center" vertical="center"/>
    </xf>
    <xf borderId="1" fillId="7" fontId="1" numFmtId="166" xfId="0" applyAlignment="1" applyBorder="1" applyFont="1" applyNumberFormat="1">
      <alignment horizontal="center" readingOrder="0" vertical="center"/>
    </xf>
    <xf borderId="0" fillId="2" fontId="18" numFmtId="0" xfId="0" applyAlignment="1" applyFont="1">
      <alignment horizontal="center" readingOrder="0" vertical="center"/>
    </xf>
    <xf borderId="0" fillId="2" fontId="19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2" fillId="4" fontId="20" numFmtId="0" xfId="0" applyAlignment="1" applyBorder="1" applyFont="1">
      <alignment horizontal="center" readingOrder="0" vertical="center"/>
    </xf>
    <xf borderId="0" fillId="2" fontId="18" numFmtId="0" xfId="0" applyAlignment="1" applyFont="1">
      <alignment horizontal="center" vertical="center"/>
    </xf>
    <xf borderId="2" fillId="5" fontId="21" numFmtId="0" xfId="0" applyAlignment="1" applyBorder="1" applyFont="1">
      <alignment horizontal="center" readingOrder="0" vertical="center"/>
    </xf>
    <xf borderId="12" fillId="5" fontId="21" numFmtId="0" xfId="0" applyAlignment="1" applyBorder="1" applyFont="1">
      <alignment horizontal="center" readingOrder="0" vertical="center"/>
    </xf>
    <xf borderId="13" fillId="0" fontId="9" numFmtId="0" xfId="0" applyBorder="1" applyFont="1"/>
    <xf borderId="2" fillId="6" fontId="21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2" fillId="2" fontId="23" numFmtId="0" xfId="0" applyAlignment="1" applyBorder="1" applyFont="1">
      <alignment horizontal="center" vertical="center"/>
    </xf>
    <xf borderId="12" fillId="6" fontId="21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0" fillId="2" fontId="22" numFmtId="0" xfId="0" applyAlignment="1" applyFont="1">
      <alignment horizontal="center" vertical="center"/>
    </xf>
    <xf borderId="2" fillId="2" fontId="25" numFmtId="0" xfId="0" applyAlignment="1" applyBorder="1" applyFont="1">
      <alignment horizontal="center" vertical="center"/>
    </xf>
    <xf borderId="12" fillId="6" fontId="21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0" fillId="2" fontId="26" numFmtId="0" xfId="0" applyAlignment="1" applyFont="1">
      <alignment horizontal="center" readingOrder="0" vertical="center"/>
    </xf>
    <xf borderId="0" fillId="2" fontId="27" numFmtId="0" xfId="0" applyAlignment="1" applyFont="1">
      <alignment horizontal="center" readingOrder="0" vertical="center"/>
    </xf>
    <xf borderId="0" fillId="2" fontId="28" numFmtId="0" xfId="0" applyAlignment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14" fillId="2" fontId="17" numFmtId="0" xfId="0" applyAlignment="1" applyBorder="1" applyFont="1">
      <alignment horizontal="center" readingOrder="0" shrinkToFit="0" vertical="center" wrapText="0"/>
    </xf>
    <xf borderId="15" fillId="2" fontId="17" numFmtId="0" xfId="0" applyAlignment="1" applyBorder="1" applyFont="1">
      <alignment horizontal="center" readingOrder="0" shrinkToFit="0" vertical="center" wrapText="0"/>
    </xf>
    <xf borderId="15" fillId="2" fontId="29" numFmtId="0" xfId="0" applyAlignment="1" applyBorder="1" applyFont="1">
      <alignment horizontal="center" readingOrder="0" shrinkToFit="0" vertical="center" wrapText="0"/>
    </xf>
    <xf borderId="15" fillId="2" fontId="29" numFmtId="0" xfId="0" applyAlignment="1" applyBorder="1" applyFont="1">
      <alignment horizontal="center" readingOrder="0" shrinkToFit="0" vertical="center" wrapText="0"/>
    </xf>
    <xf borderId="0" fillId="2" fontId="30" numFmtId="0" xfId="0" applyAlignment="1" applyFont="1">
      <alignment horizontal="center" vertical="center"/>
    </xf>
    <xf borderId="0" fillId="2" fontId="17" numFmtId="0" xfId="0" applyAlignment="1" applyFont="1">
      <alignment horizontal="center" readingOrder="0" shrinkToFit="0" vertical="center" wrapText="0"/>
    </xf>
    <xf borderId="0" fillId="2" fontId="29" numFmtId="0" xfId="0" applyAlignment="1" applyFont="1">
      <alignment horizontal="center" readingOrder="0" shrinkToFit="0" vertical="center" wrapText="0"/>
    </xf>
    <xf borderId="5" fillId="4" fontId="11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vertical="center"/>
    </xf>
    <xf borderId="5" fillId="5" fontId="15" numFmtId="0" xfId="0" applyAlignment="1" applyBorder="1" applyFont="1">
      <alignment horizontal="center" vertical="center"/>
    </xf>
    <xf borderId="1" fillId="2" fontId="31" numFmtId="0" xfId="0" applyAlignment="1" applyBorder="1" applyFont="1">
      <alignment horizontal="center" readingOrder="0" vertical="center"/>
    </xf>
    <xf borderId="1" fillId="2" fontId="32" numFmtId="0" xfId="0" applyAlignment="1" applyBorder="1" applyFont="1">
      <alignment horizontal="center" vertical="center"/>
    </xf>
    <xf borderId="1" fillId="6" fontId="15" numFmtId="0" xfId="0" applyAlignment="1" applyBorder="1" applyFont="1">
      <alignment horizontal="center" vertical="center"/>
    </xf>
    <xf borderId="1" fillId="7" fontId="10" numFmtId="0" xfId="0" applyAlignment="1" applyBorder="1" applyFont="1">
      <alignment horizontal="center" vertical="center"/>
    </xf>
    <xf borderId="5" fillId="7" fontId="10" numFmtId="0" xfId="0" applyAlignment="1" applyBorder="1" applyFont="1">
      <alignment horizontal="center" vertical="center"/>
    </xf>
    <xf borderId="0" fillId="2" fontId="10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5" fillId="4" fontId="11" numFmtId="0" xfId="0" applyAlignment="1" applyBorder="1" applyFont="1">
      <alignment horizontal="center" vertical="center"/>
    </xf>
    <xf borderId="1" fillId="7" fontId="10" numFmtId="165" xfId="0" applyAlignment="1" applyBorder="1" applyFont="1" applyNumberFormat="1">
      <alignment horizontal="center" vertical="center"/>
    </xf>
    <xf borderId="1" fillId="2" fontId="33" numFmtId="0" xfId="0" applyAlignment="1" applyBorder="1" applyFont="1">
      <alignment horizontal="center" readingOrder="0" vertical="center"/>
    </xf>
    <xf borderId="12" fillId="6" fontId="15" numFmtId="0" xfId="0" applyAlignment="1" applyBorder="1" applyFont="1">
      <alignment horizontal="center" vertical="center"/>
    </xf>
    <xf borderId="12" fillId="6" fontId="15" numFmtId="0" xfId="0" applyAlignment="1" applyBorder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2" fillId="7" fontId="1" numFmtId="0" xfId="0" applyAlignment="1" applyBorder="1" applyFont="1">
      <alignment horizontal="center" readingOrder="0" vertical="center"/>
    </xf>
    <xf borderId="12" fillId="6" fontId="15" numFmtId="0" xfId="0" applyAlignment="1" applyBorder="1" applyFont="1">
      <alignment horizontal="center" vertical="center"/>
    </xf>
    <xf borderId="12" fillId="7" fontId="10" numFmtId="0" xfId="0" applyAlignment="1" applyBorder="1" applyFont="1">
      <alignment horizontal="center" vertical="center"/>
    </xf>
    <xf borderId="2" fillId="7" fontId="10" numFmtId="0" xfId="0" applyAlignment="1" applyBorder="1" applyFont="1">
      <alignment horizontal="center" vertical="center"/>
    </xf>
    <xf borderId="1" fillId="6" fontId="15" numFmtId="0" xfId="0" applyAlignment="1" applyBorder="1" applyFont="1">
      <alignment horizontal="center" readingOrder="0" vertical="center"/>
    </xf>
    <xf borderId="5" fillId="3" fontId="14" numFmtId="0" xfId="0" applyAlignment="1" applyBorder="1" applyFont="1">
      <alignment horizontal="center" vertical="center"/>
    </xf>
    <xf borderId="6" fillId="4" fontId="11" numFmtId="0" xfId="0" applyAlignment="1" applyBorder="1" applyFont="1">
      <alignment horizontal="center" vertical="center"/>
    </xf>
    <xf borderId="9" fillId="2" fontId="34" numFmtId="0" xfId="0" applyAlignment="1" applyBorder="1" applyFont="1">
      <alignment horizontal="center" readingOrder="0" vertical="center"/>
    </xf>
    <xf borderId="9" fillId="2" fontId="35" numFmtId="0" xfId="0" applyAlignment="1" applyBorder="1" applyFont="1">
      <alignment horizontal="center" vertical="center"/>
    </xf>
    <xf borderId="1" fillId="7" fontId="10" numFmtId="166" xfId="0" applyAlignment="1" applyBorder="1" applyFont="1" applyNumberFormat="1">
      <alignment horizontal="center" vertical="center"/>
    </xf>
    <xf borderId="5" fillId="7" fontId="10" numFmtId="166" xfId="0" applyAlignment="1" applyBorder="1" applyFont="1" applyNumberFormat="1">
      <alignment horizontal="center" vertical="center"/>
    </xf>
    <xf borderId="1" fillId="7" fontId="10" numFmtId="0" xfId="0" applyAlignment="1" applyBorder="1" applyFont="1">
      <alignment horizontal="center" vertical="center"/>
    </xf>
    <xf borderId="5" fillId="7" fontId="10" numFmtId="0" xfId="0" applyAlignment="1" applyBorder="1" applyFont="1">
      <alignment horizontal="center" vertical="center"/>
    </xf>
    <xf borderId="1" fillId="2" fontId="36" numFmtId="0" xfId="0" applyAlignment="1" applyBorder="1" applyFont="1">
      <alignment horizontal="center" readingOrder="0" shrinkToFit="0" vertical="center" wrapText="0"/>
    </xf>
    <xf borderId="1" fillId="2" fontId="37" numFmtId="0" xfId="0" applyAlignment="1" applyBorder="1" applyFont="1">
      <alignment horizontal="center" shrinkToFit="0" vertical="center" wrapText="0"/>
    </xf>
    <xf borderId="11" fillId="4" fontId="11" numFmtId="0" xfId="0" applyAlignment="1" applyBorder="1" applyFont="1">
      <alignment horizontal="center" readingOrder="0" vertical="center"/>
    </xf>
    <xf borderId="11" fillId="4" fontId="11" numFmtId="0" xfId="0" applyAlignment="1" applyBorder="1" applyFont="1">
      <alignment horizontal="center" vertical="center"/>
    </xf>
    <xf borderId="16" fillId="4" fontId="11" numFmtId="0" xfId="0" applyAlignment="1" applyBorder="1" applyFont="1">
      <alignment horizontal="center" readingOrder="0" vertical="center"/>
    </xf>
    <xf borderId="10" fillId="5" fontId="15" numFmtId="0" xfId="0" applyAlignment="1" applyBorder="1" applyFont="1">
      <alignment horizontal="center" readingOrder="0" vertical="center"/>
    </xf>
    <xf borderId="16" fillId="4" fontId="11" numFmtId="0" xfId="0" applyAlignment="1" applyBorder="1" applyFont="1">
      <alignment horizontal="center" vertical="center"/>
    </xf>
    <xf borderId="10" fillId="5" fontId="15" numFmtId="0" xfId="0" applyAlignment="1" applyBorder="1" applyFont="1">
      <alignment horizontal="center" vertical="center"/>
    </xf>
    <xf borderId="1" fillId="2" fontId="38" numFmtId="0" xfId="0" applyAlignment="1" applyBorder="1" applyFont="1">
      <alignment horizontal="center" readingOrder="1" vertical="center"/>
    </xf>
    <xf borderId="1" fillId="6" fontId="15" numFmtId="165" xfId="0" applyAlignment="1" applyBorder="1" applyFont="1" applyNumberFormat="1">
      <alignment horizontal="center" vertical="center"/>
    </xf>
    <xf borderId="0" fillId="2" fontId="17" numFmtId="0" xfId="0" applyAlignment="1" applyFont="1">
      <alignment horizontal="center" readingOrder="0" vertical="center"/>
    </xf>
    <xf borderId="1" fillId="6" fontId="15" numFmtId="165" xfId="0" applyAlignment="1" applyBorder="1" applyFont="1" applyNumberFormat="1">
      <alignment horizontal="center" readingOrder="0" vertical="center"/>
    </xf>
    <xf borderId="0" fillId="8" fontId="26" numFmtId="0" xfId="0" applyAlignment="1" applyFill="1" applyFont="1">
      <alignment horizontal="center" readingOrder="0" vertical="center"/>
    </xf>
    <xf borderId="0" fillId="2" fontId="39" numFmtId="0" xfId="0" applyAlignment="1" applyFont="1">
      <alignment horizontal="center" vertical="center"/>
    </xf>
    <xf borderId="0" fillId="2" fontId="39" numFmtId="167" xfId="0" applyAlignment="1" applyFont="1" applyNumberFormat="1">
      <alignment horizontal="center" readingOrder="0" vertical="center"/>
    </xf>
    <xf borderId="0" fillId="2" fontId="39" numFmtId="167" xfId="0" applyAlignment="1" applyFont="1" applyNumberFormat="1">
      <alignment horizontal="center" readingOrder="2" vertical="center"/>
    </xf>
    <xf borderId="5" fillId="2" fontId="27" numFmtId="0" xfId="0" applyAlignment="1" applyBorder="1" applyFont="1">
      <alignment horizontal="center" readingOrder="0" vertical="center"/>
    </xf>
    <xf borderId="0" fillId="2" fontId="40" numFmtId="167" xfId="0" applyAlignment="1" applyFont="1" applyNumberFormat="1">
      <alignment horizontal="center" readingOrder="0" vertical="center"/>
    </xf>
    <xf borderId="0" fillId="0" fontId="28" numFmtId="0" xfId="0" applyAlignment="1" applyFont="1">
      <alignment horizontal="center" vertical="center"/>
    </xf>
    <xf borderId="0" fillId="0" fontId="41" numFmtId="167" xfId="0" applyAlignment="1" applyFont="1" applyNumberFormat="1">
      <alignment horizontal="center" vertical="center"/>
    </xf>
    <xf borderId="0" fillId="2" fontId="27" numFmtId="0" xfId="0" applyAlignment="1" applyFont="1">
      <alignment horizontal="center" readingOrder="0" vertical="center"/>
    </xf>
    <xf borderId="0" fillId="0" fontId="41" numFmtId="0" xfId="0" applyAlignment="1" applyFont="1">
      <alignment horizontal="center" vertical="center"/>
    </xf>
    <xf borderId="5" fillId="3" fontId="42" numFmtId="0" xfId="0" applyAlignment="1" applyBorder="1" applyFont="1">
      <alignment horizontal="center" readingOrder="0" vertical="center"/>
    </xf>
    <xf borderId="1" fillId="9" fontId="40" numFmtId="0" xfId="0" applyAlignment="1" applyBorder="1" applyFill="1" applyFont="1">
      <alignment horizontal="center" readingOrder="0" vertical="center"/>
    </xf>
    <xf borderId="5" fillId="7" fontId="40" numFmtId="0" xfId="0" applyAlignment="1" applyBorder="1" applyFon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0" fillId="2" fontId="40" numFmtId="0" xfId="0" applyAlignment="1" applyFont="1">
      <alignment horizontal="center" readingOrder="0" vertical="center"/>
    </xf>
    <xf borderId="5" fillId="7" fontId="40" numFmtId="0" xfId="0" applyAlignment="1" applyBorder="1" applyFont="1">
      <alignment horizontal="center" readingOrder="0" vertical="center"/>
    </xf>
    <xf borderId="5" fillId="3" fontId="44" numFmtId="0" xfId="0" applyAlignment="1" applyBorder="1" applyFont="1">
      <alignment horizontal="center" readingOrder="1" shrinkToFit="0" vertical="center" wrapText="0"/>
    </xf>
    <xf borderId="1" fillId="3" fontId="45" numFmtId="0" xfId="0" applyAlignment="1" applyBorder="1" applyFont="1">
      <alignment horizontal="center" readingOrder="0" vertical="center"/>
    </xf>
    <xf borderId="0" fillId="2" fontId="28" numFmtId="0" xfId="0" applyAlignment="1" applyFont="1">
      <alignment horizontal="center" readingOrder="2" vertical="center"/>
    </xf>
    <xf borderId="0" fillId="2" fontId="45" numFmtId="0" xfId="0" applyAlignment="1" applyFont="1">
      <alignment horizontal="center" readingOrder="0" vertical="center"/>
    </xf>
    <xf borderId="5" fillId="3" fontId="45" numFmtId="0" xfId="0" applyAlignment="1" applyBorder="1" applyFont="1">
      <alignment horizontal="center" readingOrder="0" vertical="center"/>
    </xf>
    <xf borderId="1" fillId="9" fontId="46" numFmtId="0" xfId="0" applyAlignment="1" applyBorder="1" applyFont="1">
      <alignment horizontal="center" readingOrder="0" vertical="center"/>
    </xf>
    <xf borderId="1" fillId="0" fontId="47" numFmtId="16" xfId="0" applyAlignment="1" applyBorder="1" applyFont="1" applyNumberFormat="1">
      <alignment horizontal="center" vertical="center"/>
    </xf>
    <xf borderId="1" fillId="2" fontId="27" numFmtId="0" xfId="0" applyAlignment="1" applyBorder="1" applyFont="1">
      <alignment horizontal="center" readingOrder="0" vertical="center"/>
    </xf>
    <xf borderId="1" fillId="5" fontId="40" numFmtId="168" xfId="0" applyAlignment="1" applyBorder="1" applyFont="1" applyNumberFormat="1">
      <alignment horizontal="center" readingOrder="0" vertical="center"/>
    </xf>
    <xf borderId="1" fillId="7" fontId="27" numFmtId="4" xfId="0" applyAlignment="1" applyBorder="1" applyFont="1" applyNumberFormat="1">
      <alignment horizontal="center" readingOrder="0" vertical="center"/>
    </xf>
    <xf borderId="0" fillId="2" fontId="46" numFmtId="0" xfId="0" applyAlignment="1" applyFont="1">
      <alignment horizontal="center" readingOrder="0" vertical="center"/>
    </xf>
    <xf borderId="1" fillId="6" fontId="27" numFmtId="0" xfId="0" applyAlignment="1" applyBorder="1" applyFont="1">
      <alignment horizontal="center" readingOrder="0" vertical="center"/>
    </xf>
    <xf borderId="1" fillId="10" fontId="47" numFmtId="16" xfId="0" applyAlignment="1" applyBorder="1" applyFill="1" applyFont="1" applyNumberFormat="1">
      <alignment horizontal="center" vertical="center"/>
    </xf>
    <xf borderId="1" fillId="6" fontId="27" numFmtId="4" xfId="0" applyAlignment="1" applyBorder="1" applyFont="1" applyNumberFormat="1">
      <alignment horizontal="center" readingOrder="0" vertical="center"/>
    </xf>
    <xf borderId="1" fillId="6" fontId="27" numFmtId="49" xfId="0" applyAlignment="1" applyBorder="1" applyFont="1" applyNumberFormat="1">
      <alignment horizontal="center" readingOrder="0" vertical="center"/>
    </xf>
    <xf borderId="1" fillId="2" fontId="27" numFmtId="4" xfId="0" applyAlignment="1" applyBorder="1" applyFont="1" applyNumberFormat="1">
      <alignment horizontal="center" readingOrder="0" vertical="center"/>
    </xf>
    <xf borderId="1" fillId="2" fontId="27" numFmtId="49" xfId="0" applyAlignment="1" applyBorder="1" applyFont="1" applyNumberFormat="1">
      <alignment horizontal="center" readingOrder="0" vertical="center"/>
    </xf>
    <xf borderId="0" fillId="2" fontId="40" numFmtId="168" xfId="0" applyAlignment="1" applyFont="1" applyNumberFormat="1">
      <alignment horizontal="center" readingOrder="0" vertical="center"/>
    </xf>
    <xf borderId="1" fillId="7" fontId="27" numFmtId="49" xfId="0" applyAlignment="1" applyBorder="1" applyFont="1" applyNumberFormat="1">
      <alignment horizontal="center" readingOrder="0" vertical="center"/>
    </xf>
    <xf borderId="1" fillId="7" fontId="40" numFmtId="4" xfId="0" applyAlignment="1" applyBorder="1" applyFont="1" applyNumberFormat="1">
      <alignment horizontal="center" readingOrder="0" vertical="center"/>
    </xf>
    <xf borderId="1" fillId="11" fontId="48" numFmtId="0" xfId="0" applyAlignment="1" applyBorder="1" applyFill="1" applyFont="1">
      <alignment horizontal="center" readingOrder="0" vertical="center"/>
    </xf>
    <xf borderId="1" fillId="11" fontId="40" numFmtId="4" xfId="0" applyAlignment="1" applyBorder="1" applyFont="1" applyNumberFormat="1">
      <alignment horizontal="center" readingOrder="0" vertical="center"/>
    </xf>
    <xf borderId="0" fillId="2" fontId="48" numFmtId="0" xfId="0" applyAlignment="1" applyFont="1">
      <alignment horizontal="center" readingOrder="0" vertical="center"/>
    </xf>
    <xf borderId="0" fillId="2" fontId="40" numFmtId="0" xfId="0" applyAlignment="1" applyFont="1">
      <alignment horizontal="center" vertical="center"/>
    </xf>
    <xf borderId="1" fillId="7" fontId="27" numFmtId="0" xfId="0" applyAlignment="1" applyBorder="1" applyFont="1">
      <alignment horizontal="center" readingOrder="0" vertical="center"/>
    </xf>
    <xf borderId="5" fillId="4" fontId="42" numFmtId="0" xfId="0" applyAlignment="1" applyBorder="1" applyFont="1">
      <alignment horizontal="center" readingOrder="0" vertical="center"/>
    </xf>
    <xf borderId="1" fillId="9" fontId="27" numFmtId="0" xfId="0" applyAlignment="1" applyBorder="1" applyFont="1">
      <alignment horizontal="center" readingOrder="0" vertical="center"/>
    </xf>
    <xf borderId="1" fillId="7" fontId="27" numFmtId="0" xfId="0" applyAlignment="1" applyBorder="1" applyFont="1">
      <alignment horizontal="center" readingOrder="0" vertical="center"/>
    </xf>
    <xf borderId="5" fillId="3" fontId="49" numFmtId="0" xfId="0" applyAlignment="1" applyBorder="1" applyFont="1">
      <alignment horizontal="center" readingOrder="1" shrinkToFit="0" vertical="center" wrapText="0"/>
    </xf>
    <xf borderId="1" fillId="7" fontId="40" numFmtId="167" xfId="0" applyAlignment="1" applyBorder="1" applyFont="1" applyNumberFormat="1">
      <alignment horizontal="center" readingOrder="0" vertical="center"/>
    </xf>
    <xf borderId="7" fillId="2" fontId="39" numFmtId="0" xfId="0" applyAlignment="1" applyBorder="1" applyFont="1">
      <alignment horizontal="center" vertical="center"/>
    </xf>
    <xf borderId="1" fillId="3" fontId="43" numFmtId="0" xfId="0" applyAlignment="1" applyBorder="1" applyFont="1">
      <alignment horizontal="center" readingOrder="0" vertical="center"/>
    </xf>
    <xf borderId="1" fillId="5" fontId="2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jkQwOVIAVxA" TargetMode="External"/><Relationship Id="rId84" Type="http://schemas.openxmlformats.org/officeDocument/2006/relationships/hyperlink" Target="https://www.youtube.com/watch?v=kUZSOY0ev_s" TargetMode="External"/><Relationship Id="rId83" Type="http://schemas.openxmlformats.org/officeDocument/2006/relationships/hyperlink" Target="https://www.youtube.com/watch?v=kUZSOY0ev_s" TargetMode="External"/><Relationship Id="rId42" Type="http://schemas.openxmlformats.org/officeDocument/2006/relationships/hyperlink" Target="https://youtu.be/Oxy31rMrTeo?t=47" TargetMode="External"/><Relationship Id="rId86" Type="http://schemas.openxmlformats.org/officeDocument/2006/relationships/hyperlink" Target="https://www.youtube.com/watch?v=fuPFq2EYswE" TargetMode="External"/><Relationship Id="rId41" Type="http://schemas.openxmlformats.org/officeDocument/2006/relationships/hyperlink" Target="https://youtu.be/Oxy31rMrTeo?t=47" TargetMode="External"/><Relationship Id="rId85" Type="http://schemas.openxmlformats.org/officeDocument/2006/relationships/hyperlink" Target="https://www.youtube.com/watch?v=fuPFq2EYswE" TargetMode="External"/><Relationship Id="rId44" Type="http://schemas.openxmlformats.org/officeDocument/2006/relationships/hyperlink" Target="https://youtu.be/Oxy31rMrTeo?t=47" TargetMode="External"/><Relationship Id="rId88" Type="http://schemas.openxmlformats.org/officeDocument/2006/relationships/hyperlink" Target="https://www.youtube.com/watch?v=fuPFq2EYswE" TargetMode="External"/><Relationship Id="rId43" Type="http://schemas.openxmlformats.org/officeDocument/2006/relationships/hyperlink" Target="https://youtu.be/Oxy31rMrTeo?t=47" TargetMode="External"/><Relationship Id="rId87" Type="http://schemas.openxmlformats.org/officeDocument/2006/relationships/hyperlink" Target="https://www.youtube.com/watch?v=fuPFq2EYswE" TargetMode="External"/><Relationship Id="rId46" Type="http://schemas.openxmlformats.org/officeDocument/2006/relationships/hyperlink" Target="https://youtu.be/CAwf7n6Luuc?t=73" TargetMode="External"/><Relationship Id="rId45" Type="http://schemas.openxmlformats.org/officeDocument/2006/relationships/hyperlink" Target="https://youtu.be/CAwf7n6Luuc?t=73" TargetMode="External"/><Relationship Id="rId89" Type="http://schemas.openxmlformats.org/officeDocument/2006/relationships/hyperlink" Target="https://www.youtube.com/watch?v=uW3-Ue07H0M" TargetMode="External"/><Relationship Id="rId80" Type="http://schemas.openxmlformats.org/officeDocument/2006/relationships/hyperlink" Target="https://youtu.be/3VcKaXpzqRo?t=67" TargetMode="External"/><Relationship Id="rId82" Type="http://schemas.openxmlformats.org/officeDocument/2006/relationships/hyperlink" Target="https://www.youtube.com/watch?v=kUZSOY0ev_s" TargetMode="External"/><Relationship Id="rId81" Type="http://schemas.openxmlformats.org/officeDocument/2006/relationships/hyperlink" Target="https://www.youtube.com/watch?v=kUZSOY0ev_s" TargetMode="External"/><Relationship Id="rId1" Type="http://schemas.openxmlformats.org/officeDocument/2006/relationships/hyperlink" Target="https://www.youtube.com/watch?v=t6bz_-wLHI0&amp;t=244s" TargetMode="External"/><Relationship Id="rId2" Type="http://schemas.openxmlformats.org/officeDocument/2006/relationships/hyperlink" Target="https://www.youtube.com/watch?v=t6bz_-wLHI0&amp;t=244s" TargetMode="External"/><Relationship Id="rId3" Type="http://schemas.openxmlformats.org/officeDocument/2006/relationships/hyperlink" Target="https://www.youtube.com/watch?v=t6bz_-wLHI0&amp;t=244s" TargetMode="External"/><Relationship Id="rId4" Type="http://schemas.openxmlformats.org/officeDocument/2006/relationships/hyperlink" Target="https://www.youtube.com/watch?v=t6bz_-wLHI0&amp;t=244s" TargetMode="External"/><Relationship Id="rId9" Type="http://schemas.openxmlformats.org/officeDocument/2006/relationships/hyperlink" Target="https://www.youtube.com/watch?v=t90Vb6IBi0E" TargetMode="External"/><Relationship Id="rId48" Type="http://schemas.openxmlformats.org/officeDocument/2006/relationships/hyperlink" Target="https://youtu.be/CAwf7n6Luuc?t=73" TargetMode="External"/><Relationship Id="rId47" Type="http://schemas.openxmlformats.org/officeDocument/2006/relationships/hyperlink" Target="https://youtu.be/CAwf7n6Luuc?t=73" TargetMode="External"/><Relationship Id="rId49" Type="http://schemas.openxmlformats.org/officeDocument/2006/relationships/hyperlink" Target="https://youtu.be/3VcKaXpzqRo?t=67" TargetMode="External"/><Relationship Id="rId5" Type="http://schemas.openxmlformats.org/officeDocument/2006/relationships/hyperlink" Target="https://www.youtube.com/watch?v=t6bz_-wLHI0&amp;t=244s" TargetMode="External"/><Relationship Id="rId6" Type="http://schemas.openxmlformats.org/officeDocument/2006/relationships/hyperlink" Target="https://www.youtube.com/watch?v=t6bz_-wLHI0&amp;t=244s" TargetMode="External"/><Relationship Id="rId7" Type="http://schemas.openxmlformats.org/officeDocument/2006/relationships/hyperlink" Target="https://www.youtube.com/watch?v=t6bz_-wLHI0&amp;t=244s" TargetMode="External"/><Relationship Id="rId8" Type="http://schemas.openxmlformats.org/officeDocument/2006/relationships/hyperlink" Target="https://www.youtube.com/watch?v=t6bz_-wLHI0&amp;t=244s" TargetMode="External"/><Relationship Id="rId73" Type="http://schemas.openxmlformats.org/officeDocument/2006/relationships/hyperlink" Target="https://youtu.be/vRQpiTwUeyM?t=14" TargetMode="External"/><Relationship Id="rId72" Type="http://schemas.openxmlformats.org/officeDocument/2006/relationships/hyperlink" Target="https://youtu.be/BeTZjAneZpk?t=130" TargetMode="External"/><Relationship Id="rId31" Type="http://schemas.openxmlformats.org/officeDocument/2006/relationships/hyperlink" Target="https://youtu.be/eDu68xpNsKE?t=365" TargetMode="External"/><Relationship Id="rId75" Type="http://schemas.openxmlformats.org/officeDocument/2006/relationships/hyperlink" Target="https://youtu.be/vRQpiTwUeyM?t=14" TargetMode="External"/><Relationship Id="rId30" Type="http://schemas.openxmlformats.org/officeDocument/2006/relationships/hyperlink" Target="https://youtu.be/eDu68xpNsKE?t=365" TargetMode="External"/><Relationship Id="rId74" Type="http://schemas.openxmlformats.org/officeDocument/2006/relationships/hyperlink" Target="https://youtu.be/vRQpiTwUeyM?t=14" TargetMode="External"/><Relationship Id="rId33" Type="http://schemas.openxmlformats.org/officeDocument/2006/relationships/hyperlink" Target="https://www.youtube.com/watch?v=jkQwOVIAVxA" TargetMode="External"/><Relationship Id="rId77" Type="http://schemas.openxmlformats.org/officeDocument/2006/relationships/hyperlink" Target="https://youtu.be/3VcKaXpzqRo?t=67" TargetMode="External"/><Relationship Id="rId32" Type="http://schemas.openxmlformats.org/officeDocument/2006/relationships/hyperlink" Target="https://youtu.be/eDu68xpNsKE?t=365" TargetMode="External"/><Relationship Id="rId76" Type="http://schemas.openxmlformats.org/officeDocument/2006/relationships/hyperlink" Target="https://youtu.be/vRQpiTwUeyM?t=14" TargetMode="External"/><Relationship Id="rId35" Type="http://schemas.openxmlformats.org/officeDocument/2006/relationships/hyperlink" Target="https://www.youtube.com/watch?v=jkQwOVIAVxA" TargetMode="External"/><Relationship Id="rId79" Type="http://schemas.openxmlformats.org/officeDocument/2006/relationships/hyperlink" Target="https://youtu.be/3VcKaXpzqRo?t=67" TargetMode="External"/><Relationship Id="rId34" Type="http://schemas.openxmlformats.org/officeDocument/2006/relationships/hyperlink" Target="https://www.youtube.com/watch?v=jkQwOVIAVxA" TargetMode="External"/><Relationship Id="rId78" Type="http://schemas.openxmlformats.org/officeDocument/2006/relationships/hyperlink" Target="https://youtu.be/3VcKaXpzqRo?t=67" TargetMode="External"/><Relationship Id="rId71" Type="http://schemas.openxmlformats.org/officeDocument/2006/relationships/hyperlink" Target="https://youtu.be/BeTZjAneZpk?t=130" TargetMode="External"/><Relationship Id="rId70" Type="http://schemas.openxmlformats.org/officeDocument/2006/relationships/hyperlink" Target="https://youtu.be/BeTZjAneZpk?t=130" TargetMode="External"/><Relationship Id="rId37" Type="http://schemas.openxmlformats.org/officeDocument/2006/relationships/hyperlink" Target="https://www.youtube.com/watch?v=jkQwOVIAVxA" TargetMode="External"/><Relationship Id="rId36" Type="http://schemas.openxmlformats.org/officeDocument/2006/relationships/hyperlink" Target="https://www.youtube.com/watch?v=jkQwOVIAVxA" TargetMode="External"/><Relationship Id="rId39" Type="http://schemas.openxmlformats.org/officeDocument/2006/relationships/hyperlink" Target="https://www.youtube.com/watch?v=jkQwOVIAVxA" TargetMode="External"/><Relationship Id="rId38" Type="http://schemas.openxmlformats.org/officeDocument/2006/relationships/hyperlink" Target="https://www.youtube.com/watch?v=jkQwOVIAVxA" TargetMode="External"/><Relationship Id="rId62" Type="http://schemas.openxmlformats.org/officeDocument/2006/relationships/hyperlink" Target="https://www.youtube.com/watch?v=yPsj9TNs3B4" TargetMode="External"/><Relationship Id="rId61" Type="http://schemas.openxmlformats.org/officeDocument/2006/relationships/hyperlink" Target="https://www.youtube.com/watch?v=yPsj9TNs3B4" TargetMode="External"/><Relationship Id="rId20" Type="http://schemas.openxmlformats.org/officeDocument/2006/relationships/hyperlink" Target="https://youtu.be/1Tq3QdYUuHs?t=55" TargetMode="External"/><Relationship Id="rId64" Type="http://schemas.openxmlformats.org/officeDocument/2006/relationships/hyperlink" Target="https://www.youtube.com/watch?v=yPsj9TNs3B4" TargetMode="External"/><Relationship Id="rId63" Type="http://schemas.openxmlformats.org/officeDocument/2006/relationships/hyperlink" Target="https://www.youtube.com/watch?v=yPsj9TNs3B4" TargetMode="External"/><Relationship Id="rId22" Type="http://schemas.openxmlformats.org/officeDocument/2006/relationships/hyperlink" Target="https://youtu.be/sAq_ocpRh_I?t=18" TargetMode="External"/><Relationship Id="rId66" Type="http://schemas.openxmlformats.org/officeDocument/2006/relationships/hyperlink" Target="https://youtu.be/0G2_XV7slIg?t=179" TargetMode="External"/><Relationship Id="rId21" Type="http://schemas.openxmlformats.org/officeDocument/2006/relationships/hyperlink" Target="https://youtu.be/sAq_ocpRh_I?t=18" TargetMode="External"/><Relationship Id="rId65" Type="http://schemas.openxmlformats.org/officeDocument/2006/relationships/hyperlink" Target="https://youtu.be/0G2_XV7slIg?t=179" TargetMode="External"/><Relationship Id="rId24" Type="http://schemas.openxmlformats.org/officeDocument/2006/relationships/hyperlink" Target="https://youtu.be/sAq_ocpRh_I?t=18" TargetMode="External"/><Relationship Id="rId68" Type="http://schemas.openxmlformats.org/officeDocument/2006/relationships/hyperlink" Target="https://youtu.be/0G2_XV7slIg?t=179" TargetMode="External"/><Relationship Id="rId23" Type="http://schemas.openxmlformats.org/officeDocument/2006/relationships/hyperlink" Target="https://youtu.be/sAq_ocpRh_I?t=18" TargetMode="External"/><Relationship Id="rId67" Type="http://schemas.openxmlformats.org/officeDocument/2006/relationships/hyperlink" Target="https://youtu.be/0G2_XV7slIg?t=179" TargetMode="External"/><Relationship Id="rId60" Type="http://schemas.openxmlformats.org/officeDocument/2006/relationships/hyperlink" Target="https://www.youtube.com/watch?v=yPsj9TNs3B4" TargetMode="External"/><Relationship Id="rId26" Type="http://schemas.openxmlformats.org/officeDocument/2006/relationships/hyperlink" Target="https://youtu.be/vB5OHsJ3EME?t=29" TargetMode="External"/><Relationship Id="rId25" Type="http://schemas.openxmlformats.org/officeDocument/2006/relationships/hyperlink" Target="https://youtu.be/vB5OHsJ3EME?t=29" TargetMode="External"/><Relationship Id="rId69" Type="http://schemas.openxmlformats.org/officeDocument/2006/relationships/hyperlink" Target="https://youtu.be/BeTZjAneZpk?t=130" TargetMode="External"/><Relationship Id="rId28" Type="http://schemas.openxmlformats.org/officeDocument/2006/relationships/hyperlink" Target="https://youtu.be/vB5OHsJ3EME?t=29" TargetMode="External"/><Relationship Id="rId27" Type="http://schemas.openxmlformats.org/officeDocument/2006/relationships/hyperlink" Target="https://youtu.be/vB5OHsJ3EME?t=29" TargetMode="External"/><Relationship Id="rId29" Type="http://schemas.openxmlformats.org/officeDocument/2006/relationships/hyperlink" Target="https://youtu.be/eDu68xpNsKE?t=365" TargetMode="External"/><Relationship Id="rId51" Type="http://schemas.openxmlformats.org/officeDocument/2006/relationships/hyperlink" Target="https://youtu.be/3VcKaXpzqRo?t=67" TargetMode="External"/><Relationship Id="rId50" Type="http://schemas.openxmlformats.org/officeDocument/2006/relationships/hyperlink" Target="https://youtu.be/3VcKaXpzqRo?t=67" TargetMode="External"/><Relationship Id="rId53" Type="http://schemas.openxmlformats.org/officeDocument/2006/relationships/hyperlink" Target="https://youtu.be/1Tq3QdYUuHs?t=55" TargetMode="External"/><Relationship Id="rId52" Type="http://schemas.openxmlformats.org/officeDocument/2006/relationships/hyperlink" Target="https://youtu.be/3VcKaXpzqRo?t=67" TargetMode="External"/><Relationship Id="rId11" Type="http://schemas.openxmlformats.org/officeDocument/2006/relationships/hyperlink" Target="https://www.youtube.com/watch?v=t90Vb6IBi0E" TargetMode="External"/><Relationship Id="rId55" Type="http://schemas.openxmlformats.org/officeDocument/2006/relationships/hyperlink" Target="https://youtu.be/1Tq3QdYUuHs?t=55" TargetMode="External"/><Relationship Id="rId10" Type="http://schemas.openxmlformats.org/officeDocument/2006/relationships/hyperlink" Target="https://www.youtube.com/watch?v=t90Vb6IBi0E" TargetMode="External"/><Relationship Id="rId54" Type="http://schemas.openxmlformats.org/officeDocument/2006/relationships/hyperlink" Target="https://youtu.be/1Tq3QdYUuHs?t=55" TargetMode="External"/><Relationship Id="rId13" Type="http://schemas.openxmlformats.org/officeDocument/2006/relationships/hyperlink" Target="https://www.youtube.com/shorts/Isb8D3s37zc" TargetMode="External"/><Relationship Id="rId57" Type="http://schemas.openxmlformats.org/officeDocument/2006/relationships/hyperlink" Target="https://www.youtube.com/watch?v=yPsj9TNs3B4" TargetMode="External"/><Relationship Id="rId12" Type="http://schemas.openxmlformats.org/officeDocument/2006/relationships/hyperlink" Target="https://www.youtube.com/watch?v=t90Vb6IBi0E" TargetMode="External"/><Relationship Id="rId56" Type="http://schemas.openxmlformats.org/officeDocument/2006/relationships/hyperlink" Target="https://youtu.be/1Tq3QdYUuHs?t=55" TargetMode="External"/><Relationship Id="rId91" Type="http://schemas.openxmlformats.org/officeDocument/2006/relationships/hyperlink" Target="https://www.youtube.com/watch?v=0lEADrqPPNM" TargetMode="External"/><Relationship Id="rId90" Type="http://schemas.openxmlformats.org/officeDocument/2006/relationships/hyperlink" Target="https://www.youtube.com/shorts/5MNZ2x9Qzsw" TargetMode="External"/><Relationship Id="rId92" Type="http://schemas.openxmlformats.org/officeDocument/2006/relationships/drawing" Target="../drawings/drawing1.xml"/><Relationship Id="rId15" Type="http://schemas.openxmlformats.org/officeDocument/2006/relationships/hyperlink" Target="https://www.youtube.com/shorts/Isb8D3s37zc" TargetMode="External"/><Relationship Id="rId59" Type="http://schemas.openxmlformats.org/officeDocument/2006/relationships/hyperlink" Target="https://www.youtube.com/watch?v=yPsj9TNs3B4" TargetMode="External"/><Relationship Id="rId14" Type="http://schemas.openxmlformats.org/officeDocument/2006/relationships/hyperlink" Target="https://www.youtube.com/shorts/Isb8D3s37zc" TargetMode="External"/><Relationship Id="rId58" Type="http://schemas.openxmlformats.org/officeDocument/2006/relationships/hyperlink" Target="https://www.youtube.com/watch?v=yPsj9TNs3B4" TargetMode="External"/><Relationship Id="rId17" Type="http://schemas.openxmlformats.org/officeDocument/2006/relationships/hyperlink" Target="https://youtu.be/1Tq3QdYUuHs?t=55" TargetMode="External"/><Relationship Id="rId16" Type="http://schemas.openxmlformats.org/officeDocument/2006/relationships/hyperlink" Target="https://www.youtube.com/shorts/Isb8D3s37zc" TargetMode="External"/><Relationship Id="rId19" Type="http://schemas.openxmlformats.org/officeDocument/2006/relationships/hyperlink" Target="https://youtu.be/1Tq3QdYUuHs?t=55" TargetMode="External"/><Relationship Id="rId18" Type="http://schemas.openxmlformats.org/officeDocument/2006/relationships/hyperlink" Target="https://youtu.be/1Tq3QdYUuHs?t=55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xQNrFHEMhI4?t=9" TargetMode="External"/><Relationship Id="rId42" Type="http://schemas.openxmlformats.org/officeDocument/2006/relationships/hyperlink" Target="https://youtu.be/1Tq3QdYUuHs?t=55" TargetMode="External"/><Relationship Id="rId41" Type="http://schemas.openxmlformats.org/officeDocument/2006/relationships/hyperlink" Target="https://youtu.be/1Tq3QdYUuHs?t=55" TargetMode="External"/><Relationship Id="rId44" Type="http://schemas.openxmlformats.org/officeDocument/2006/relationships/hyperlink" Target="https://youtu.be/1Tq3QdYUuHs?t=55" TargetMode="External"/><Relationship Id="rId43" Type="http://schemas.openxmlformats.org/officeDocument/2006/relationships/hyperlink" Target="https://youtu.be/1Tq3QdYUuHs?t=55" TargetMode="External"/><Relationship Id="rId46" Type="http://schemas.openxmlformats.org/officeDocument/2006/relationships/hyperlink" Target="https://youtu.be/sAq_ocpRh_I?t=18" TargetMode="External"/><Relationship Id="rId45" Type="http://schemas.openxmlformats.org/officeDocument/2006/relationships/hyperlink" Target="https://youtu.be/sAq_ocpRh_I?t=18" TargetMode="External"/><Relationship Id="rId104" Type="http://schemas.openxmlformats.org/officeDocument/2006/relationships/drawing" Target="../drawings/drawing2.xml"/><Relationship Id="rId48" Type="http://schemas.openxmlformats.org/officeDocument/2006/relationships/hyperlink" Target="https://youtu.be/sAq_ocpRh_I?t=18" TargetMode="External"/><Relationship Id="rId47" Type="http://schemas.openxmlformats.org/officeDocument/2006/relationships/hyperlink" Target="https://youtu.be/sAq_ocpRh_I?t=18" TargetMode="External"/><Relationship Id="rId49" Type="http://schemas.openxmlformats.org/officeDocument/2006/relationships/hyperlink" Target="https://youtu.be/6yMdhi2DVao?t=68" TargetMode="External"/><Relationship Id="rId103" Type="http://schemas.openxmlformats.org/officeDocument/2006/relationships/hyperlink" Target="https://www.youtube.com/watch?v=0lEADrqPPNM" TargetMode="External"/><Relationship Id="rId102" Type="http://schemas.openxmlformats.org/officeDocument/2006/relationships/hyperlink" Target="https://www.youtube.com/shorts/5MNZ2x9Qzsw" TargetMode="External"/><Relationship Id="rId101" Type="http://schemas.openxmlformats.org/officeDocument/2006/relationships/hyperlink" Target="https://www.youtube.com/watch?v=uW3-Ue07H0M" TargetMode="External"/><Relationship Id="rId100" Type="http://schemas.openxmlformats.org/officeDocument/2006/relationships/hyperlink" Target="https://www.youtube.com/watch?v=fuPFq2EYswE" TargetMode="External"/><Relationship Id="rId31" Type="http://schemas.openxmlformats.org/officeDocument/2006/relationships/hyperlink" Target="https://youtu.be/Oxy31rMrTeo?t=47" TargetMode="External"/><Relationship Id="rId30" Type="http://schemas.openxmlformats.org/officeDocument/2006/relationships/hyperlink" Target="https://youtu.be/Oxy31rMrTeo?t=47" TargetMode="External"/><Relationship Id="rId33" Type="http://schemas.openxmlformats.org/officeDocument/2006/relationships/hyperlink" Target="https://youtu.be/CAwf7n6Luuc?t=73" TargetMode="External"/><Relationship Id="rId32" Type="http://schemas.openxmlformats.org/officeDocument/2006/relationships/hyperlink" Target="https://youtu.be/Oxy31rMrTeo?t=47" TargetMode="External"/><Relationship Id="rId35" Type="http://schemas.openxmlformats.org/officeDocument/2006/relationships/hyperlink" Target="https://youtu.be/CAwf7n6Luuc?t=73" TargetMode="External"/><Relationship Id="rId34" Type="http://schemas.openxmlformats.org/officeDocument/2006/relationships/hyperlink" Target="https://youtu.be/CAwf7n6Luuc?t=73" TargetMode="External"/><Relationship Id="rId37" Type="http://schemas.openxmlformats.org/officeDocument/2006/relationships/hyperlink" Target="https://youtu.be/xQNrFHEMhI4?t=9" TargetMode="External"/><Relationship Id="rId36" Type="http://schemas.openxmlformats.org/officeDocument/2006/relationships/hyperlink" Target="https://youtu.be/CAwf7n6Luuc?t=73" TargetMode="External"/><Relationship Id="rId39" Type="http://schemas.openxmlformats.org/officeDocument/2006/relationships/hyperlink" Target="https://youtu.be/xQNrFHEMhI4?t=9" TargetMode="External"/><Relationship Id="rId38" Type="http://schemas.openxmlformats.org/officeDocument/2006/relationships/hyperlink" Target="https://youtu.be/xQNrFHEMhI4?t=9" TargetMode="External"/><Relationship Id="rId20" Type="http://schemas.openxmlformats.org/officeDocument/2006/relationships/hyperlink" Target="https://www.youtube.com/watch?v=6Fzep104f0s" TargetMode="External"/><Relationship Id="rId22" Type="http://schemas.openxmlformats.org/officeDocument/2006/relationships/hyperlink" Target="https://youtu.be/eDu68xpNsKE?t=365" TargetMode="External"/><Relationship Id="rId21" Type="http://schemas.openxmlformats.org/officeDocument/2006/relationships/hyperlink" Target="https://youtu.be/eDu68xpNsKE?t=365" TargetMode="External"/><Relationship Id="rId24" Type="http://schemas.openxmlformats.org/officeDocument/2006/relationships/hyperlink" Target="https://youtu.be/eDu68xpNsKE?t=365" TargetMode="External"/><Relationship Id="rId23" Type="http://schemas.openxmlformats.org/officeDocument/2006/relationships/hyperlink" Target="https://youtu.be/eDu68xpNsKE?t=365" TargetMode="External"/><Relationship Id="rId26" Type="http://schemas.openxmlformats.org/officeDocument/2006/relationships/hyperlink" Target="https://youtu.be/BeTZjAneZpk?t=130" TargetMode="External"/><Relationship Id="rId25" Type="http://schemas.openxmlformats.org/officeDocument/2006/relationships/hyperlink" Target="https://youtu.be/BeTZjAneZpk?t=130" TargetMode="External"/><Relationship Id="rId28" Type="http://schemas.openxmlformats.org/officeDocument/2006/relationships/hyperlink" Target="https://youtu.be/BeTZjAneZpk?t=130" TargetMode="External"/><Relationship Id="rId27" Type="http://schemas.openxmlformats.org/officeDocument/2006/relationships/hyperlink" Target="https://youtu.be/BeTZjAneZpk?t=130" TargetMode="External"/><Relationship Id="rId29" Type="http://schemas.openxmlformats.org/officeDocument/2006/relationships/hyperlink" Target="https://youtu.be/Oxy31rMrTeo?t=47" TargetMode="External"/><Relationship Id="rId95" Type="http://schemas.openxmlformats.org/officeDocument/2006/relationships/hyperlink" Target="https://youtu.be/_LxQH4o7COk?t=5" TargetMode="External"/><Relationship Id="rId94" Type="http://schemas.openxmlformats.org/officeDocument/2006/relationships/hyperlink" Target="https://youtu.be/_LxQH4o7COk?t=5" TargetMode="External"/><Relationship Id="rId97" Type="http://schemas.openxmlformats.org/officeDocument/2006/relationships/hyperlink" Target="https://www.youtube.com/watch?v=fuPFq2EYswE" TargetMode="External"/><Relationship Id="rId96" Type="http://schemas.openxmlformats.org/officeDocument/2006/relationships/hyperlink" Target="https://youtu.be/_LxQH4o7COk?t=5" TargetMode="External"/><Relationship Id="rId11" Type="http://schemas.openxmlformats.org/officeDocument/2006/relationships/hyperlink" Target="https://youtu.be/ig0NyNlSce4?t=57" TargetMode="External"/><Relationship Id="rId99" Type="http://schemas.openxmlformats.org/officeDocument/2006/relationships/hyperlink" Target="https://www.youtube.com/watch?v=fuPFq2EYswE" TargetMode="External"/><Relationship Id="rId10" Type="http://schemas.openxmlformats.org/officeDocument/2006/relationships/hyperlink" Target="https://youtu.be/ig0NyNlSce4?t=57" TargetMode="External"/><Relationship Id="rId98" Type="http://schemas.openxmlformats.org/officeDocument/2006/relationships/hyperlink" Target="https://www.youtube.com/watch?v=fuPFq2EYswE" TargetMode="External"/><Relationship Id="rId13" Type="http://schemas.openxmlformats.org/officeDocument/2006/relationships/hyperlink" Target="https://www.youtube.com/watch?v=fpWpQ9OAjZ4" TargetMode="External"/><Relationship Id="rId12" Type="http://schemas.openxmlformats.org/officeDocument/2006/relationships/hyperlink" Target="https://youtu.be/ig0NyNlSce4?t=57" TargetMode="External"/><Relationship Id="rId91" Type="http://schemas.openxmlformats.org/officeDocument/2006/relationships/hyperlink" Target="https://www.youtube.com/watch?v=PSMW7iSi2BU" TargetMode="External"/><Relationship Id="rId90" Type="http://schemas.openxmlformats.org/officeDocument/2006/relationships/hyperlink" Target="https://www.youtube.com/watch?v=PSMW7iSi2BU" TargetMode="External"/><Relationship Id="rId93" Type="http://schemas.openxmlformats.org/officeDocument/2006/relationships/hyperlink" Target="https://youtu.be/_LxQH4o7COk?t=5" TargetMode="External"/><Relationship Id="rId92" Type="http://schemas.openxmlformats.org/officeDocument/2006/relationships/hyperlink" Target="https://www.youtube.com/watch?v=PSMW7iSi2BU" TargetMode="External"/><Relationship Id="rId15" Type="http://schemas.openxmlformats.org/officeDocument/2006/relationships/hyperlink" Target="https://www.youtube.com/watch?v=fpWpQ9OAjZ4" TargetMode="External"/><Relationship Id="rId14" Type="http://schemas.openxmlformats.org/officeDocument/2006/relationships/hyperlink" Target="https://www.youtube.com/watch?v=fpWpQ9OAjZ4" TargetMode="External"/><Relationship Id="rId17" Type="http://schemas.openxmlformats.org/officeDocument/2006/relationships/hyperlink" Target="https://www.youtube.com/watch?v=6Fzep104f0s" TargetMode="External"/><Relationship Id="rId16" Type="http://schemas.openxmlformats.org/officeDocument/2006/relationships/hyperlink" Target="https://www.youtube.com/watch?v=fpWpQ9OAjZ4" TargetMode="External"/><Relationship Id="rId19" Type="http://schemas.openxmlformats.org/officeDocument/2006/relationships/hyperlink" Target="https://www.youtube.com/watch?v=6Fzep104f0s" TargetMode="External"/><Relationship Id="rId18" Type="http://schemas.openxmlformats.org/officeDocument/2006/relationships/hyperlink" Target="https://www.youtube.com/watch?v=6Fzep104f0s" TargetMode="External"/><Relationship Id="rId84" Type="http://schemas.openxmlformats.org/officeDocument/2006/relationships/hyperlink" Target="https://youtu.be/1Tq3QdYUuHs?t=55" TargetMode="External"/><Relationship Id="rId83" Type="http://schemas.openxmlformats.org/officeDocument/2006/relationships/hyperlink" Target="https://youtu.be/1Tq3QdYUuHs?t=55" TargetMode="External"/><Relationship Id="rId86" Type="http://schemas.openxmlformats.org/officeDocument/2006/relationships/hyperlink" Target="https://youtu.be/vRQpiTwUeyM?t=14" TargetMode="External"/><Relationship Id="rId85" Type="http://schemas.openxmlformats.org/officeDocument/2006/relationships/hyperlink" Target="https://youtu.be/vRQpiTwUeyM?t=14" TargetMode="External"/><Relationship Id="rId88" Type="http://schemas.openxmlformats.org/officeDocument/2006/relationships/hyperlink" Target="https://youtu.be/vRQpiTwUeyM?t=14" TargetMode="External"/><Relationship Id="rId87" Type="http://schemas.openxmlformats.org/officeDocument/2006/relationships/hyperlink" Target="https://youtu.be/vRQpiTwUeyM?t=14" TargetMode="External"/><Relationship Id="rId89" Type="http://schemas.openxmlformats.org/officeDocument/2006/relationships/hyperlink" Target="https://www.youtube.com/watch?v=PSMW7iSi2BU" TargetMode="External"/><Relationship Id="rId80" Type="http://schemas.openxmlformats.org/officeDocument/2006/relationships/hyperlink" Target="https://www.youtube.com/watch?v=0tn5K9NlCfo" TargetMode="External"/><Relationship Id="rId82" Type="http://schemas.openxmlformats.org/officeDocument/2006/relationships/hyperlink" Target="https://youtu.be/1Tq3QdYUuHs?t=55" TargetMode="External"/><Relationship Id="rId81" Type="http://schemas.openxmlformats.org/officeDocument/2006/relationships/hyperlink" Target="https://youtu.be/1Tq3QdYUuHs?t=55" TargetMode="External"/><Relationship Id="rId1" Type="http://schemas.openxmlformats.org/officeDocument/2006/relationships/hyperlink" Target="https://www.youtube.com/watch?v=t90Vb6IBi0E" TargetMode="External"/><Relationship Id="rId2" Type="http://schemas.openxmlformats.org/officeDocument/2006/relationships/hyperlink" Target="https://www.youtube.com/watch?v=t90Vb6IBi0E" TargetMode="External"/><Relationship Id="rId3" Type="http://schemas.openxmlformats.org/officeDocument/2006/relationships/hyperlink" Target="https://www.youtube.com/watch?v=t90Vb6IBi0E" TargetMode="External"/><Relationship Id="rId4" Type="http://schemas.openxmlformats.org/officeDocument/2006/relationships/hyperlink" Target="https://www.youtube.com/watch?v=t90Vb6IBi0E" TargetMode="External"/><Relationship Id="rId9" Type="http://schemas.openxmlformats.org/officeDocument/2006/relationships/hyperlink" Target="https://youtu.be/ig0NyNlSce4?t=57" TargetMode="External"/><Relationship Id="rId5" Type="http://schemas.openxmlformats.org/officeDocument/2006/relationships/hyperlink" Target="https://www.youtube.com/shorts/ALRjJ0yPRzc" TargetMode="External"/><Relationship Id="rId6" Type="http://schemas.openxmlformats.org/officeDocument/2006/relationships/hyperlink" Target="https://www.youtube.com/shorts/ALRjJ0yPRzc" TargetMode="External"/><Relationship Id="rId7" Type="http://schemas.openxmlformats.org/officeDocument/2006/relationships/hyperlink" Target="https://www.youtube.com/shorts/ALRjJ0yPRzc" TargetMode="External"/><Relationship Id="rId8" Type="http://schemas.openxmlformats.org/officeDocument/2006/relationships/hyperlink" Target="https://www.youtube.com/shorts/ALRjJ0yPRzc" TargetMode="External"/><Relationship Id="rId73" Type="http://schemas.openxmlformats.org/officeDocument/2006/relationships/hyperlink" Target="https://www.youtube.com/watch?v=zC3nLlEvin4" TargetMode="External"/><Relationship Id="rId72" Type="http://schemas.openxmlformats.org/officeDocument/2006/relationships/hyperlink" Target="https://youtube.com/shorts/JxQPsGSTPA8?feature=share" TargetMode="External"/><Relationship Id="rId75" Type="http://schemas.openxmlformats.org/officeDocument/2006/relationships/hyperlink" Target="https://www.youtube.com/watch?v=zC3nLlEvin4" TargetMode="External"/><Relationship Id="rId74" Type="http://schemas.openxmlformats.org/officeDocument/2006/relationships/hyperlink" Target="https://www.youtube.com/watch?v=zC3nLlEvin4" TargetMode="External"/><Relationship Id="rId77" Type="http://schemas.openxmlformats.org/officeDocument/2006/relationships/hyperlink" Target="https://www.youtube.com/watch?v=0tn5K9NlCfo" TargetMode="External"/><Relationship Id="rId76" Type="http://schemas.openxmlformats.org/officeDocument/2006/relationships/hyperlink" Target="https://www.youtube.com/watch?v=zC3nLlEvin4" TargetMode="External"/><Relationship Id="rId79" Type="http://schemas.openxmlformats.org/officeDocument/2006/relationships/hyperlink" Target="https://www.youtube.com/watch?v=0tn5K9NlCfo" TargetMode="External"/><Relationship Id="rId78" Type="http://schemas.openxmlformats.org/officeDocument/2006/relationships/hyperlink" Target="https://www.youtube.com/watch?v=0tn5K9NlCfo" TargetMode="External"/><Relationship Id="rId71" Type="http://schemas.openxmlformats.org/officeDocument/2006/relationships/hyperlink" Target="https://youtube.com/shorts/JxQPsGSTPA8?feature=share" TargetMode="External"/><Relationship Id="rId70" Type="http://schemas.openxmlformats.org/officeDocument/2006/relationships/hyperlink" Target="https://youtube.com/shorts/JxQPsGSTPA8?feature=share" TargetMode="External"/><Relationship Id="rId62" Type="http://schemas.openxmlformats.org/officeDocument/2006/relationships/hyperlink" Target="https://youtu.be/_RHM6c8M_ws?t=54" TargetMode="External"/><Relationship Id="rId61" Type="http://schemas.openxmlformats.org/officeDocument/2006/relationships/hyperlink" Target="https://youtu.be/_RHM6c8M_ws?t=54" TargetMode="External"/><Relationship Id="rId64" Type="http://schemas.openxmlformats.org/officeDocument/2006/relationships/hyperlink" Target="https://youtu.be/_RHM6c8M_ws?t=54" TargetMode="External"/><Relationship Id="rId63" Type="http://schemas.openxmlformats.org/officeDocument/2006/relationships/hyperlink" Target="https://youtu.be/_RHM6c8M_ws?t=54" TargetMode="External"/><Relationship Id="rId66" Type="http://schemas.openxmlformats.org/officeDocument/2006/relationships/hyperlink" Target="https://www.youtube.com/watch?v=nhWPIm0tcTI" TargetMode="External"/><Relationship Id="rId65" Type="http://schemas.openxmlformats.org/officeDocument/2006/relationships/hyperlink" Target="https://www.youtube.com/watch?v=nhWPIm0tcTI" TargetMode="External"/><Relationship Id="rId68" Type="http://schemas.openxmlformats.org/officeDocument/2006/relationships/hyperlink" Target="https://www.youtube.com/watch?v=nhWPIm0tcTI" TargetMode="External"/><Relationship Id="rId67" Type="http://schemas.openxmlformats.org/officeDocument/2006/relationships/hyperlink" Target="https://www.youtube.com/watch?v=nhWPIm0tcTI" TargetMode="External"/><Relationship Id="rId60" Type="http://schemas.openxmlformats.org/officeDocument/2006/relationships/hyperlink" Target="https://www.youtube.com/shorts/Isb8D3s37zc" TargetMode="External"/><Relationship Id="rId69" Type="http://schemas.openxmlformats.org/officeDocument/2006/relationships/hyperlink" Target="https://youtube.com/shorts/JxQPsGSTPA8?feature=share" TargetMode="External"/><Relationship Id="rId51" Type="http://schemas.openxmlformats.org/officeDocument/2006/relationships/hyperlink" Target="https://youtu.be/6yMdhi2DVao?t=68" TargetMode="External"/><Relationship Id="rId50" Type="http://schemas.openxmlformats.org/officeDocument/2006/relationships/hyperlink" Target="https://youtu.be/6yMdhi2DVao?t=68" TargetMode="External"/><Relationship Id="rId53" Type="http://schemas.openxmlformats.org/officeDocument/2006/relationships/hyperlink" Target="https://youtu.be/0G2_XV7slIg?t=179" TargetMode="External"/><Relationship Id="rId52" Type="http://schemas.openxmlformats.org/officeDocument/2006/relationships/hyperlink" Target="https://youtu.be/6yMdhi2DVao?t=68" TargetMode="External"/><Relationship Id="rId55" Type="http://schemas.openxmlformats.org/officeDocument/2006/relationships/hyperlink" Target="https://youtu.be/0G2_XV7slIg?t=179" TargetMode="External"/><Relationship Id="rId54" Type="http://schemas.openxmlformats.org/officeDocument/2006/relationships/hyperlink" Target="https://youtu.be/0G2_XV7slIg?t=179" TargetMode="External"/><Relationship Id="rId57" Type="http://schemas.openxmlformats.org/officeDocument/2006/relationships/hyperlink" Target="https://www.youtube.com/shorts/Isb8D3s37zc" TargetMode="External"/><Relationship Id="rId56" Type="http://schemas.openxmlformats.org/officeDocument/2006/relationships/hyperlink" Target="https://youtu.be/0G2_XV7slIg?t=179" TargetMode="External"/><Relationship Id="rId59" Type="http://schemas.openxmlformats.org/officeDocument/2006/relationships/hyperlink" Target="https://www.youtube.com/shorts/Isb8D3s37zc" TargetMode="External"/><Relationship Id="rId58" Type="http://schemas.openxmlformats.org/officeDocument/2006/relationships/hyperlink" Target="https://www.youtube.com/shorts/Isb8D3s37z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22.88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21.38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7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8"/>
      <c r="C9" s="8"/>
      <c r="D9" s="8"/>
      <c r="E9" s="8"/>
      <c r="F9" s="9" t="s">
        <v>0</v>
      </c>
      <c r="G9" s="10"/>
      <c r="H9" s="10"/>
      <c r="I9" s="11"/>
      <c r="J9" s="4"/>
      <c r="K9" s="4"/>
      <c r="L9" s="4"/>
      <c r="M9" s="5"/>
      <c r="N9" s="8"/>
      <c r="O9" s="8"/>
      <c r="P9" s="8"/>
      <c r="Q9" s="8"/>
      <c r="R9" s="9" t="s">
        <v>1</v>
      </c>
      <c r="S9" s="10"/>
      <c r="T9" s="10"/>
      <c r="U9" s="11"/>
      <c r="V9" s="4"/>
      <c r="W9" s="4"/>
      <c r="X9" s="4"/>
      <c r="Y9" s="2"/>
      <c r="Z9" s="12"/>
      <c r="AA9" s="12"/>
      <c r="AB9" s="12"/>
      <c r="AC9" s="12"/>
      <c r="AD9" s="9" t="s">
        <v>2</v>
      </c>
      <c r="AE9" s="10"/>
      <c r="AF9" s="10"/>
      <c r="AG9" s="11"/>
      <c r="AH9" s="12"/>
      <c r="AI9" s="12"/>
      <c r="AJ9" s="12"/>
      <c r="AK9" s="2"/>
      <c r="AL9" s="12"/>
      <c r="AM9" s="12"/>
      <c r="AN9" s="12"/>
      <c r="AO9" s="12"/>
      <c r="AP9" s="9" t="s">
        <v>3</v>
      </c>
      <c r="AQ9" s="10"/>
      <c r="AR9" s="10"/>
      <c r="AS9" s="11"/>
      <c r="AT9" s="12"/>
      <c r="AU9" s="12"/>
      <c r="AV9" s="12"/>
      <c r="AW9" s="12"/>
      <c r="AX9" s="12"/>
    </row>
    <row r="10" ht="20.25" customHeight="1">
      <c r="A10" s="1"/>
      <c r="B10" s="8"/>
      <c r="C10" s="13" t="s">
        <v>4</v>
      </c>
      <c r="D10" s="8"/>
      <c r="E10" s="8"/>
      <c r="F10" s="14"/>
      <c r="G10" s="15"/>
      <c r="H10" s="15"/>
      <c r="I10" s="16"/>
      <c r="J10" s="17"/>
      <c r="K10" s="17"/>
      <c r="L10" s="17"/>
      <c r="M10" s="18"/>
      <c r="N10" s="8"/>
      <c r="O10" s="13" t="s">
        <v>4</v>
      </c>
      <c r="P10" s="8"/>
      <c r="Q10" s="8"/>
      <c r="R10" s="14"/>
      <c r="S10" s="15"/>
      <c r="T10" s="15"/>
      <c r="U10" s="16"/>
      <c r="V10" s="17"/>
      <c r="W10" s="17"/>
      <c r="X10" s="17"/>
      <c r="Y10" s="8"/>
      <c r="Z10" s="12"/>
      <c r="AA10" s="13" t="s">
        <v>4</v>
      </c>
      <c r="AB10" s="12"/>
      <c r="AC10" s="12"/>
      <c r="AD10" s="14"/>
      <c r="AE10" s="15"/>
      <c r="AF10" s="15"/>
      <c r="AG10" s="16"/>
      <c r="AH10" s="19"/>
      <c r="AI10" s="19"/>
      <c r="AJ10" s="19"/>
      <c r="AK10" s="2"/>
      <c r="AL10" s="12"/>
      <c r="AM10" s="13" t="s">
        <v>4</v>
      </c>
      <c r="AN10" s="12"/>
      <c r="AO10" s="12"/>
      <c r="AP10" s="14"/>
      <c r="AQ10" s="15"/>
      <c r="AR10" s="15"/>
      <c r="AS10" s="16"/>
      <c r="AT10" s="19"/>
      <c r="AU10" s="19"/>
      <c r="AV10" s="19"/>
      <c r="AW10" s="12"/>
      <c r="AX10" s="12"/>
    </row>
    <row r="11" ht="20.25" customHeight="1">
      <c r="A11" s="1"/>
      <c r="B11" s="20" t="s">
        <v>5</v>
      </c>
      <c r="C11" s="21" t="s">
        <v>6</v>
      </c>
      <c r="D11" s="21" t="s">
        <v>7</v>
      </c>
      <c r="E11" s="21" t="s">
        <v>8</v>
      </c>
      <c r="F11" s="21" t="s">
        <v>9</v>
      </c>
      <c r="G11" s="21" t="s">
        <v>10</v>
      </c>
      <c r="H11" s="22" t="s">
        <v>11</v>
      </c>
      <c r="I11" s="23" t="s">
        <v>12</v>
      </c>
      <c r="J11" s="24"/>
      <c r="K11" s="23" t="s">
        <v>13</v>
      </c>
      <c r="L11" s="24"/>
      <c r="M11" s="5"/>
      <c r="N11" s="20" t="s">
        <v>5</v>
      </c>
      <c r="O11" s="21" t="s">
        <v>6</v>
      </c>
      <c r="P11" s="21" t="s">
        <v>7</v>
      </c>
      <c r="Q11" s="21" t="s">
        <v>8</v>
      </c>
      <c r="R11" s="21" t="s">
        <v>9</v>
      </c>
      <c r="S11" s="21" t="s">
        <v>10</v>
      </c>
      <c r="T11" s="22" t="s">
        <v>11</v>
      </c>
      <c r="U11" s="23" t="s">
        <v>12</v>
      </c>
      <c r="V11" s="24"/>
      <c r="W11" s="23" t="s">
        <v>13</v>
      </c>
      <c r="X11" s="24"/>
      <c r="Y11" s="25"/>
      <c r="Z11" s="20" t="s">
        <v>5</v>
      </c>
      <c r="AA11" s="21" t="s">
        <v>6</v>
      </c>
      <c r="AB11" s="21" t="s">
        <v>7</v>
      </c>
      <c r="AC11" s="21" t="s">
        <v>8</v>
      </c>
      <c r="AD11" s="21" t="s">
        <v>9</v>
      </c>
      <c r="AE11" s="21" t="s">
        <v>10</v>
      </c>
      <c r="AF11" s="22" t="s">
        <v>11</v>
      </c>
      <c r="AG11" s="23" t="s">
        <v>12</v>
      </c>
      <c r="AH11" s="24"/>
      <c r="AI11" s="23" t="s">
        <v>13</v>
      </c>
      <c r="AJ11" s="24"/>
      <c r="AK11" s="2"/>
      <c r="AL11" s="20" t="s">
        <v>5</v>
      </c>
      <c r="AM11" s="21" t="s">
        <v>6</v>
      </c>
      <c r="AN11" s="21" t="s">
        <v>7</v>
      </c>
      <c r="AO11" s="21" t="s">
        <v>8</v>
      </c>
      <c r="AP11" s="21" t="s">
        <v>9</v>
      </c>
      <c r="AQ11" s="21" t="s">
        <v>10</v>
      </c>
      <c r="AR11" s="22" t="s">
        <v>11</v>
      </c>
      <c r="AS11" s="23" t="s">
        <v>12</v>
      </c>
      <c r="AT11" s="24"/>
      <c r="AU11" s="23" t="s">
        <v>13</v>
      </c>
      <c r="AV11" s="24"/>
      <c r="AW11" s="26"/>
      <c r="AX11" s="26"/>
    </row>
    <row r="12" ht="20.25" customHeight="1">
      <c r="A12" s="1"/>
      <c r="B12" s="1"/>
      <c r="C12" s="7" t="s">
        <v>14</v>
      </c>
      <c r="D12" s="27">
        <v>1.0</v>
      </c>
      <c r="E12" s="27">
        <v>3.0</v>
      </c>
      <c r="F12" s="27">
        <v>5.0</v>
      </c>
      <c r="G12" s="28"/>
      <c r="H12" s="29"/>
      <c r="I12" s="30"/>
      <c r="J12" s="24"/>
      <c r="K12" s="30"/>
      <c r="L12" s="24"/>
      <c r="M12" s="31"/>
      <c r="N12" s="1"/>
      <c r="O12" s="7" t="s">
        <v>14</v>
      </c>
      <c r="P12" s="27">
        <v>1.0</v>
      </c>
      <c r="Q12" s="27">
        <v>3.0</v>
      </c>
      <c r="R12" s="27">
        <v>6.0</v>
      </c>
      <c r="S12" s="28"/>
      <c r="T12" s="29"/>
      <c r="U12" s="30"/>
      <c r="V12" s="24"/>
      <c r="W12" s="30"/>
      <c r="X12" s="24"/>
      <c r="Y12" s="1"/>
      <c r="Z12" s="1"/>
      <c r="AA12" s="7" t="s">
        <v>14</v>
      </c>
      <c r="AB12" s="27">
        <v>1.0</v>
      </c>
      <c r="AC12" s="27">
        <v>3.0</v>
      </c>
      <c r="AD12" s="27">
        <v>7.0</v>
      </c>
      <c r="AE12" s="28"/>
      <c r="AF12" s="29"/>
      <c r="AG12" s="30"/>
      <c r="AH12" s="24"/>
      <c r="AI12" s="30"/>
      <c r="AJ12" s="24"/>
      <c r="AK12" s="32"/>
      <c r="AL12" s="1"/>
      <c r="AM12" s="7" t="s">
        <v>14</v>
      </c>
      <c r="AN12" s="27">
        <v>1.0</v>
      </c>
      <c r="AO12" s="27">
        <v>3.0</v>
      </c>
      <c r="AP12" s="27">
        <v>8.0</v>
      </c>
      <c r="AQ12" s="28"/>
      <c r="AR12" s="29"/>
      <c r="AS12" s="30"/>
      <c r="AT12" s="24"/>
      <c r="AU12" s="30"/>
      <c r="AV12" s="24"/>
      <c r="AW12" s="33"/>
      <c r="AX12" s="33"/>
    </row>
    <row r="13" ht="20.25" customHeight="1">
      <c r="A13" s="4"/>
      <c r="B13" s="1"/>
      <c r="C13" s="7" t="s">
        <v>14</v>
      </c>
      <c r="D13" s="34">
        <v>3.0</v>
      </c>
      <c r="E13" s="27">
        <v>5.0</v>
      </c>
      <c r="F13" s="35">
        <v>-0.1</v>
      </c>
      <c r="G13" s="29"/>
      <c r="H13" s="29"/>
      <c r="I13" s="30"/>
      <c r="J13" s="24"/>
      <c r="K13" s="30"/>
      <c r="L13" s="24"/>
      <c r="M13" s="31"/>
      <c r="N13" s="1"/>
      <c r="O13" s="7" t="s">
        <v>14</v>
      </c>
      <c r="P13" s="34">
        <v>3.0</v>
      </c>
      <c r="Q13" s="27">
        <v>5.0</v>
      </c>
      <c r="R13" s="35">
        <v>-0.1</v>
      </c>
      <c r="S13" s="29"/>
      <c r="T13" s="29"/>
      <c r="U13" s="30"/>
      <c r="V13" s="24"/>
      <c r="W13" s="30"/>
      <c r="X13" s="24"/>
      <c r="Y13" s="1"/>
      <c r="Z13" s="1"/>
      <c r="AA13" s="7" t="s">
        <v>14</v>
      </c>
      <c r="AB13" s="34">
        <v>3.0</v>
      </c>
      <c r="AC13" s="27">
        <v>5.0</v>
      </c>
      <c r="AD13" s="35">
        <v>-0.1</v>
      </c>
      <c r="AE13" s="29"/>
      <c r="AF13" s="29"/>
      <c r="AG13" s="30"/>
      <c r="AH13" s="24"/>
      <c r="AI13" s="30"/>
      <c r="AJ13" s="24"/>
      <c r="AK13" s="32"/>
      <c r="AL13" s="1"/>
      <c r="AM13" s="7" t="s">
        <v>14</v>
      </c>
      <c r="AN13" s="34">
        <v>3.0</v>
      </c>
      <c r="AO13" s="27">
        <v>5.0</v>
      </c>
      <c r="AP13" s="35">
        <v>-0.1</v>
      </c>
      <c r="AQ13" s="29"/>
      <c r="AR13" s="29"/>
      <c r="AS13" s="30"/>
      <c r="AT13" s="24"/>
      <c r="AU13" s="30"/>
      <c r="AV13" s="24"/>
      <c r="AW13" s="33"/>
      <c r="AX13" s="33"/>
    </row>
    <row r="14" ht="20.25" customHeight="1">
      <c r="A14" s="4"/>
      <c r="B14" s="1"/>
      <c r="C14" s="7" t="s">
        <v>15</v>
      </c>
      <c r="D14" s="34">
        <v>3.0</v>
      </c>
      <c r="E14" s="27" t="s">
        <v>16</v>
      </c>
      <c r="F14" s="27">
        <v>7.0</v>
      </c>
      <c r="G14" s="29"/>
      <c r="H14" s="29"/>
      <c r="I14" s="30"/>
      <c r="J14" s="24"/>
      <c r="K14" s="30"/>
      <c r="L14" s="24"/>
      <c r="M14" s="31"/>
      <c r="N14" s="1"/>
      <c r="O14" s="7" t="s">
        <v>15</v>
      </c>
      <c r="P14" s="34">
        <v>3.0</v>
      </c>
      <c r="Q14" s="27" t="s">
        <v>16</v>
      </c>
      <c r="R14" s="27">
        <v>8.0</v>
      </c>
      <c r="S14" s="29"/>
      <c r="T14" s="29"/>
      <c r="U14" s="30"/>
      <c r="V14" s="24"/>
      <c r="W14" s="30"/>
      <c r="X14" s="24"/>
      <c r="Y14" s="25"/>
      <c r="Z14" s="1"/>
      <c r="AA14" s="7" t="s">
        <v>15</v>
      </c>
      <c r="AB14" s="34">
        <v>3.0</v>
      </c>
      <c r="AC14" s="27" t="s">
        <v>16</v>
      </c>
      <c r="AD14" s="27">
        <v>8.0</v>
      </c>
      <c r="AE14" s="29"/>
      <c r="AF14" s="29"/>
      <c r="AG14" s="30"/>
      <c r="AH14" s="24"/>
      <c r="AI14" s="30"/>
      <c r="AJ14" s="24"/>
      <c r="AK14" s="32"/>
      <c r="AL14" s="1"/>
      <c r="AM14" s="7" t="s">
        <v>15</v>
      </c>
      <c r="AN14" s="34">
        <v>3.0</v>
      </c>
      <c r="AO14" s="27" t="s">
        <v>16</v>
      </c>
      <c r="AP14" s="27">
        <v>8.0</v>
      </c>
      <c r="AQ14" s="29"/>
      <c r="AR14" s="29"/>
      <c r="AS14" s="30"/>
      <c r="AT14" s="24"/>
      <c r="AU14" s="30"/>
      <c r="AV14" s="24"/>
      <c r="AW14" s="33"/>
      <c r="AX14" s="33"/>
    </row>
    <row r="15" ht="20.25" customHeight="1">
      <c r="A15" s="1"/>
      <c r="B15" s="1"/>
      <c r="C15" s="7" t="s">
        <v>17</v>
      </c>
      <c r="D15" s="34">
        <v>3.0</v>
      </c>
      <c r="E15" s="34" t="s">
        <v>16</v>
      </c>
      <c r="F15" s="27">
        <v>8.0</v>
      </c>
      <c r="G15" s="29"/>
      <c r="H15" s="29"/>
      <c r="I15" s="30"/>
      <c r="J15" s="24"/>
      <c r="K15" s="30"/>
      <c r="L15" s="24"/>
      <c r="M15" s="31"/>
      <c r="N15" s="1"/>
      <c r="O15" s="7" t="s">
        <v>17</v>
      </c>
      <c r="P15" s="34">
        <v>3.0</v>
      </c>
      <c r="Q15" s="34" t="s">
        <v>16</v>
      </c>
      <c r="R15" s="27">
        <v>8.0</v>
      </c>
      <c r="S15" s="29"/>
      <c r="T15" s="29"/>
      <c r="U15" s="30"/>
      <c r="V15" s="24"/>
      <c r="W15" s="30"/>
      <c r="X15" s="24"/>
      <c r="Y15" s="25"/>
      <c r="Z15" s="1"/>
      <c r="AA15" s="7" t="s">
        <v>17</v>
      </c>
      <c r="AB15" s="34">
        <v>3.0</v>
      </c>
      <c r="AC15" s="34" t="s">
        <v>16</v>
      </c>
      <c r="AD15" s="27">
        <v>8.0</v>
      </c>
      <c r="AE15" s="29"/>
      <c r="AF15" s="29"/>
      <c r="AG15" s="30"/>
      <c r="AH15" s="24"/>
      <c r="AI15" s="30"/>
      <c r="AJ15" s="24"/>
      <c r="AK15" s="32"/>
      <c r="AL15" s="1"/>
      <c r="AM15" s="7" t="s">
        <v>17</v>
      </c>
      <c r="AN15" s="34">
        <v>3.0</v>
      </c>
      <c r="AO15" s="34" t="s">
        <v>16</v>
      </c>
      <c r="AP15" s="27">
        <v>8.0</v>
      </c>
      <c r="AQ15" s="29"/>
      <c r="AR15" s="29"/>
      <c r="AS15" s="30"/>
      <c r="AT15" s="24"/>
      <c r="AU15" s="30"/>
      <c r="AV15" s="24"/>
      <c r="AW15" s="33"/>
      <c r="AX15" s="33"/>
    </row>
    <row r="16">
      <c r="A16" s="1"/>
      <c r="B16" s="1"/>
      <c r="C16" s="7" t="s">
        <v>18</v>
      </c>
      <c r="D16" s="34">
        <v>3.0</v>
      </c>
      <c r="E16" s="34" t="s">
        <v>16</v>
      </c>
      <c r="F16" s="27">
        <v>8.0</v>
      </c>
      <c r="G16" s="29"/>
      <c r="H16" s="29"/>
      <c r="I16" s="30" t="s">
        <v>19</v>
      </c>
      <c r="J16" s="24"/>
      <c r="K16" s="30"/>
      <c r="L16" s="24"/>
      <c r="M16" s="31"/>
      <c r="N16" s="1"/>
      <c r="O16" s="7" t="s">
        <v>18</v>
      </c>
      <c r="P16" s="34">
        <v>3.0</v>
      </c>
      <c r="Q16" s="34" t="s">
        <v>16</v>
      </c>
      <c r="R16" s="27">
        <v>8.0</v>
      </c>
      <c r="S16" s="29"/>
      <c r="T16" s="29"/>
      <c r="U16" s="30" t="s">
        <v>19</v>
      </c>
      <c r="V16" s="24"/>
      <c r="W16" s="30"/>
      <c r="X16" s="24"/>
      <c r="Y16" s="1"/>
      <c r="Z16" s="1"/>
      <c r="AA16" s="7" t="s">
        <v>18</v>
      </c>
      <c r="AB16" s="34">
        <v>3.0</v>
      </c>
      <c r="AC16" s="34" t="s">
        <v>16</v>
      </c>
      <c r="AD16" s="27">
        <v>8.0</v>
      </c>
      <c r="AE16" s="29"/>
      <c r="AF16" s="29"/>
      <c r="AG16" s="30" t="s">
        <v>19</v>
      </c>
      <c r="AH16" s="24"/>
      <c r="AI16" s="30"/>
      <c r="AJ16" s="24"/>
      <c r="AK16" s="32"/>
      <c r="AL16" s="1"/>
      <c r="AM16" s="7" t="s">
        <v>18</v>
      </c>
      <c r="AN16" s="34">
        <v>3.0</v>
      </c>
      <c r="AO16" s="34" t="s">
        <v>16</v>
      </c>
      <c r="AP16" s="27">
        <v>8.0</v>
      </c>
      <c r="AQ16" s="29"/>
      <c r="AR16" s="29"/>
      <c r="AS16" s="30" t="s">
        <v>19</v>
      </c>
      <c r="AT16" s="24"/>
      <c r="AU16" s="30"/>
      <c r="AV16" s="24"/>
      <c r="AW16" s="33"/>
      <c r="AX16" s="33"/>
    </row>
    <row r="17" ht="20.25" customHeight="1">
      <c r="A17" s="1"/>
      <c r="B17" s="1"/>
      <c r="C17" s="7" t="s">
        <v>20</v>
      </c>
      <c r="D17" s="27">
        <v>2.0</v>
      </c>
      <c r="E17" s="34" t="s">
        <v>16</v>
      </c>
      <c r="F17" s="27">
        <v>8.0</v>
      </c>
      <c r="G17" s="29"/>
      <c r="H17" s="29"/>
      <c r="I17" s="30" t="s">
        <v>21</v>
      </c>
      <c r="J17" s="24"/>
      <c r="K17" s="30"/>
      <c r="L17" s="24"/>
      <c r="M17" s="31"/>
      <c r="N17" s="1"/>
      <c r="O17" s="7" t="s">
        <v>20</v>
      </c>
      <c r="P17" s="27">
        <v>2.0</v>
      </c>
      <c r="Q17" s="34" t="s">
        <v>16</v>
      </c>
      <c r="R17" s="27">
        <v>8.0</v>
      </c>
      <c r="S17" s="29"/>
      <c r="T17" s="29"/>
      <c r="U17" s="30" t="s">
        <v>21</v>
      </c>
      <c r="V17" s="24"/>
      <c r="W17" s="30"/>
      <c r="X17" s="24"/>
      <c r="Y17" s="25"/>
      <c r="Z17" s="1"/>
      <c r="AA17" s="7" t="s">
        <v>20</v>
      </c>
      <c r="AB17" s="27">
        <v>2.0</v>
      </c>
      <c r="AC17" s="34" t="s">
        <v>16</v>
      </c>
      <c r="AD17" s="27">
        <v>8.0</v>
      </c>
      <c r="AE17" s="29"/>
      <c r="AF17" s="29"/>
      <c r="AG17" s="30" t="s">
        <v>21</v>
      </c>
      <c r="AH17" s="24"/>
      <c r="AI17" s="30"/>
      <c r="AJ17" s="24"/>
      <c r="AK17" s="32"/>
      <c r="AL17" s="1"/>
      <c r="AM17" s="7" t="s">
        <v>20</v>
      </c>
      <c r="AN17" s="27">
        <v>2.0</v>
      </c>
      <c r="AO17" s="34" t="s">
        <v>16</v>
      </c>
      <c r="AP17" s="27">
        <v>8.0</v>
      </c>
      <c r="AQ17" s="29"/>
      <c r="AR17" s="29"/>
      <c r="AS17" s="30" t="s">
        <v>21</v>
      </c>
      <c r="AT17" s="24"/>
      <c r="AU17" s="30"/>
      <c r="AV17" s="24"/>
      <c r="AW17" s="33"/>
      <c r="AX17" s="33"/>
    </row>
    <row r="18" ht="20.25" customHeight="1">
      <c r="A18" s="1"/>
      <c r="B18" s="1"/>
      <c r="C18" s="7" t="s">
        <v>22</v>
      </c>
      <c r="D18" s="27">
        <v>2.0</v>
      </c>
      <c r="E18" s="34" t="s">
        <v>16</v>
      </c>
      <c r="F18" s="27">
        <v>8.0</v>
      </c>
      <c r="G18" s="29"/>
      <c r="H18" s="29"/>
      <c r="I18" s="30"/>
      <c r="J18" s="24"/>
      <c r="K18" s="30"/>
      <c r="L18" s="24"/>
      <c r="M18" s="31"/>
      <c r="N18" s="1"/>
      <c r="O18" s="7" t="s">
        <v>22</v>
      </c>
      <c r="P18" s="27">
        <v>2.0</v>
      </c>
      <c r="Q18" s="34" t="s">
        <v>16</v>
      </c>
      <c r="R18" s="27">
        <v>8.0</v>
      </c>
      <c r="S18" s="29"/>
      <c r="T18" s="29"/>
      <c r="U18" s="30"/>
      <c r="V18" s="24"/>
      <c r="W18" s="30"/>
      <c r="X18" s="24"/>
      <c r="Y18" s="25"/>
      <c r="Z18" s="1"/>
      <c r="AA18" s="7" t="s">
        <v>22</v>
      </c>
      <c r="AB18" s="27">
        <v>2.0</v>
      </c>
      <c r="AC18" s="34" t="s">
        <v>16</v>
      </c>
      <c r="AD18" s="27">
        <v>8.0</v>
      </c>
      <c r="AE18" s="29"/>
      <c r="AF18" s="29"/>
      <c r="AG18" s="30"/>
      <c r="AH18" s="24"/>
      <c r="AI18" s="30"/>
      <c r="AJ18" s="24"/>
      <c r="AK18" s="32"/>
      <c r="AL18" s="1"/>
      <c r="AM18" s="7" t="s">
        <v>22</v>
      </c>
      <c r="AN18" s="27">
        <v>2.0</v>
      </c>
      <c r="AO18" s="34" t="s">
        <v>16</v>
      </c>
      <c r="AP18" s="27">
        <v>8.0</v>
      </c>
      <c r="AQ18" s="29"/>
      <c r="AR18" s="29"/>
      <c r="AS18" s="30"/>
      <c r="AT18" s="24"/>
      <c r="AU18" s="30"/>
      <c r="AV18" s="24"/>
      <c r="AW18" s="33"/>
      <c r="AX18" s="33"/>
    </row>
    <row r="19" ht="20.25" customHeight="1">
      <c r="A19" s="1"/>
      <c r="B19" s="17"/>
      <c r="C19" s="7" t="s">
        <v>23</v>
      </c>
      <c r="D19" s="34">
        <v>3.0</v>
      </c>
      <c r="E19" s="27" t="s">
        <v>24</v>
      </c>
      <c r="F19" s="27">
        <v>8.0</v>
      </c>
      <c r="G19" s="29"/>
      <c r="H19" s="29"/>
      <c r="I19" s="30" t="s">
        <v>25</v>
      </c>
      <c r="J19" s="24"/>
      <c r="K19" s="30"/>
      <c r="L19" s="24"/>
      <c r="M19" s="5"/>
      <c r="N19" s="17"/>
      <c r="O19" s="7" t="s">
        <v>23</v>
      </c>
      <c r="P19" s="34">
        <v>3.0</v>
      </c>
      <c r="Q19" s="27" t="s">
        <v>24</v>
      </c>
      <c r="R19" s="27">
        <v>8.0</v>
      </c>
      <c r="S19" s="29"/>
      <c r="T19" s="29"/>
      <c r="U19" s="30" t="s">
        <v>25</v>
      </c>
      <c r="V19" s="24"/>
      <c r="W19" s="30"/>
      <c r="X19" s="24"/>
      <c r="Y19" s="4"/>
      <c r="Z19" s="17"/>
      <c r="AA19" s="7" t="s">
        <v>23</v>
      </c>
      <c r="AB19" s="34">
        <v>3.0</v>
      </c>
      <c r="AC19" s="27" t="s">
        <v>24</v>
      </c>
      <c r="AD19" s="27">
        <v>8.0</v>
      </c>
      <c r="AE19" s="29"/>
      <c r="AF19" s="29"/>
      <c r="AG19" s="30" t="s">
        <v>25</v>
      </c>
      <c r="AH19" s="24"/>
      <c r="AI19" s="30"/>
      <c r="AJ19" s="24"/>
      <c r="AK19" s="2"/>
      <c r="AL19" s="17"/>
      <c r="AM19" s="7" t="s">
        <v>23</v>
      </c>
      <c r="AN19" s="34">
        <v>3.0</v>
      </c>
      <c r="AO19" s="27" t="s">
        <v>24</v>
      </c>
      <c r="AP19" s="27">
        <v>8.0</v>
      </c>
      <c r="AQ19" s="29"/>
      <c r="AR19" s="29"/>
      <c r="AS19" s="30" t="s">
        <v>25</v>
      </c>
      <c r="AT19" s="24"/>
      <c r="AU19" s="30"/>
      <c r="AV19" s="24"/>
      <c r="AW19" s="33"/>
      <c r="AX19" s="33"/>
    </row>
    <row r="20" ht="20.25" customHeight="1">
      <c r="A20" s="1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5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4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2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36"/>
      <c r="AX20" s="36"/>
    </row>
    <row r="21" ht="20.25" customHeight="1">
      <c r="A21" s="1"/>
      <c r="B21" s="17"/>
      <c r="C21" s="37" t="s">
        <v>26</v>
      </c>
      <c r="D21" s="38"/>
      <c r="E21" s="38"/>
      <c r="F21" s="38"/>
      <c r="G21" s="38"/>
      <c r="H21" s="38"/>
      <c r="I21" s="38"/>
      <c r="J21" s="38"/>
      <c r="K21" s="38"/>
      <c r="L21" s="24"/>
      <c r="M21" s="5"/>
      <c r="N21" s="17"/>
      <c r="O21" s="37" t="s">
        <v>26</v>
      </c>
      <c r="P21" s="38"/>
      <c r="Q21" s="38"/>
      <c r="R21" s="38"/>
      <c r="S21" s="38"/>
      <c r="T21" s="38"/>
      <c r="U21" s="38"/>
      <c r="V21" s="38"/>
      <c r="W21" s="38"/>
      <c r="X21" s="24"/>
      <c r="Y21" s="4"/>
      <c r="Z21" s="17"/>
      <c r="AA21" s="37" t="s">
        <v>26</v>
      </c>
      <c r="AB21" s="38"/>
      <c r="AC21" s="38"/>
      <c r="AD21" s="38"/>
      <c r="AE21" s="38"/>
      <c r="AF21" s="38"/>
      <c r="AG21" s="38"/>
      <c r="AH21" s="38"/>
      <c r="AI21" s="38"/>
      <c r="AJ21" s="24"/>
      <c r="AK21" s="2"/>
      <c r="AL21" s="17"/>
      <c r="AM21" s="37" t="s">
        <v>26</v>
      </c>
      <c r="AN21" s="38"/>
      <c r="AO21" s="38"/>
      <c r="AP21" s="38"/>
      <c r="AQ21" s="38"/>
      <c r="AR21" s="38"/>
      <c r="AS21" s="38"/>
      <c r="AT21" s="38"/>
      <c r="AU21" s="38"/>
      <c r="AV21" s="24"/>
      <c r="AW21" s="39"/>
      <c r="AX21" s="39"/>
    </row>
    <row r="22" ht="20.25" customHeight="1">
      <c r="A22" s="1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5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4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2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36"/>
      <c r="AX22" s="36"/>
    </row>
    <row r="23" ht="20.25" customHeight="1">
      <c r="A23" s="1"/>
      <c r="B23" s="4"/>
      <c r="C23" s="13" t="s">
        <v>27</v>
      </c>
      <c r="D23" s="40"/>
      <c r="E23" s="40"/>
      <c r="F23" s="1"/>
      <c r="G23" s="1"/>
      <c r="H23" s="1"/>
      <c r="I23" s="1"/>
      <c r="J23" s="1"/>
      <c r="K23" s="1"/>
      <c r="L23" s="1"/>
      <c r="M23" s="5"/>
      <c r="N23" s="4"/>
      <c r="O23" s="13" t="s">
        <v>27</v>
      </c>
      <c r="P23" s="40"/>
      <c r="Q23" s="40"/>
      <c r="R23" s="1"/>
      <c r="S23" s="1"/>
      <c r="T23" s="1"/>
      <c r="U23" s="1"/>
      <c r="V23" s="1"/>
      <c r="W23" s="1"/>
      <c r="X23" s="1"/>
      <c r="Y23" s="25"/>
      <c r="Z23" s="4"/>
      <c r="AA23" s="13" t="s">
        <v>27</v>
      </c>
      <c r="AB23" s="40"/>
      <c r="AC23" s="40"/>
      <c r="AD23" s="1"/>
      <c r="AE23" s="1"/>
      <c r="AF23" s="1"/>
      <c r="AG23" s="1"/>
      <c r="AH23" s="1"/>
      <c r="AI23" s="1"/>
      <c r="AJ23" s="1"/>
      <c r="AK23" s="3"/>
      <c r="AL23" s="4"/>
      <c r="AM23" s="13" t="s">
        <v>27</v>
      </c>
      <c r="AN23" s="40"/>
      <c r="AO23" s="40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3" t="s">
        <v>28</v>
      </c>
      <c r="C24" s="41" t="s">
        <v>6</v>
      </c>
      <c r="D24" s="22" t="s">
        <v>7</v>
      </c>
      <c r="E24" s="22" t="s">
        <v>8</v>
      </c>
      <c r="F24" s="21" t="s">
        <v>9</v>
      </c>
      <c r="G24" s="22" t="s">
        <v>10</v>
      </c>
      <c r="H24" s="22" t="s">
        <v>11</v>
      </c>
      <c r="I24" s="23" t="s">
        <v>12</v>
      </c>
      <c r="J24" s="24"/>
      <c r="K24" s="23" t="s">
        <v>13</v>
      </c>
      <c r="L24" s="24"/>
      <c r="M24" s="31"/>
      <c r="N24" s="13" t="s">
        <v>28</v>
      </c>
      <c r="O24" s="41" t="s">
        <v>6</v>
      </c>
      <c r="P24" s="22" t="s">
        <v>7</v>
      </c>
      <c r="Q24" s="22" t="s">
        <v>8</v>
      </c>
      <c r="R24" s="21" t="s">
        <v>9</v>
      </c>
      <c r="S24" s="22" t="s">
        <v>10</v>
      </c>
      <c r="T24" s="22" t="s">
        <v>11</v>
      </c>
      <c r="U24" s="23" t="s">
        <v>12</v>
      </c>
      <c r="V24" s="24"/>
      <c r="W24" s="23" t="s">
        <v>13</v>
      </c>
      <c r="X24" s="24"/>
      <c r="Y24" s="25"/>
      <c r="Z24" s="13" t="s">
        <v>28</v>
      </c>
      <c r="AA24" s="41" t="s">
        <v>6</v>
      </c>
      <c r="AB24" s="22" t="s">
        <v>7</v>
      </c>
      <c r="AC24" s="22" t="s">
        <v>8</v>
      </c>
      <c r="AD24" s="21" t="s">
        <v>9</v>
      </c>
      <c r="AE24" s="22" t="s">
        <v>10</v>
      </c>
      <c r="AF24" s="22" t="s">
        <v>11</v>
      </c>
      <c r="AG24" s="23" t="s">
        <v>12</v>
      </c>
      <c r="AH24" s="24"/>
      <c r="AI24" s="23" t="s">
        <v>13</v>
      </c>
      <c r="AJ24" s="24"/>
      <c r="AK24" s="32"/>
      <c r="AL24" s="13" t="s">
        <v>28</v>
      </c>
      <c r="AM24" s="41" t="s">
        <v>6</v>
      </c>
      <c r="AN24" s="22" t="s">
        <v>7</v>
      </c>
      <c r="AO24" s="22" t="s">
        <v>8</v>
      </c>
      <c r="AP24" s="21" t="s">
        <v>9</v>
      </c>
      <c r="AQ24" s="22" t="s">
        <v>10</v>
      </c>
      <c r="AR24" s="22" t="s">
        <v>11</v>
      </c>
      <c r="AS24" s="23" t="s">
        <v>12</v>
      </c>
      <c r="AT24" s="24"/>
      <c r="AU24" s="23" t="s">
        <v>13</v>
      </c>
      <c r="AV24" s="24"/>
      <c r="AW24" s="26"/>
      <c r="AX24" s="26"/>
    </row>
    <row r="25" ht="20.25" customHeight="1">
      <c r="A25" s="4"/>
      <c r="B25" s="1"/>
      <c r="C25" s="7" t="s">
        <v>29</v>
      </c>
      <c r="D25" s="42">
        <v>1.0</v>
      </c>
      <c r="E25" s="42">
        <v>3.0</v>
      </c>
      <c r="F25" s="27">
        <v>5.0</v>
      </c>
      <c r="G25" s="43"/>
      <c r="H25" s="44"/>
      <c r="I25" s="30"/>
      <c r="J25" s="24"/>
      <c r="K25" s="30"/>
      <c r="L25" s="24"/>
      <c r="M25" s="18"/>
      <c r="N25" s="1"/>
      <c r="O25" s="7" t="s">
        <v>29</v>
      </c>
      <c r="P25" s="42">
        <v>1.0</v>
      </c>
      <c r="Q25" s="42">
        <v>3.0</v>
      </c>
      <c r="R25" s="27">
        <v>6.0</v>
      </c>
      <c r="S25" s="43"/>
      <c r="T25" s="44"/>
      <c r="U25" s="30"/>
      <c r="V25" s="24"/>
      <c r="W25" s="30"/>
      <c r="X25" s="24"/>
      <c r="Y25" s="1"/>
      <c r="Z25" s="1"/>
      <c r="AA25" s="7" t="s">
        <v>29</v>
      </c>
      <c r="AB25" s="42">
        <v>1.0</v>
      </c>
      <c r="AC25" s="42">
        <v>3.0</v>
      </c>
      <c r="AD25" s="27">
        <v>7.0</v>
      </c>
      <c r="AE25" s="43"/>
      <c r="AF25" s="44"/>
      <c r="AG25" s="30"/>
      <c r="AH25" s="24"/>
      <c r="AI25" s="30"/>
      <c r="AJ25" s="24"/>
      <c r="AK25" s="32"/>
      <c r="AL25" s="1"/>
      <c r="AM25" s="7" t="s">
        <v>29</v>
      </c>
      <c r="AN25" s="42">
        <v>1.0</v>
      </c>
      <c r="AO25" s="42">
        <v>3.0</v>
      </c>
      <c r="AP25" s="27">
        <v>8.0</v>
      </c>
      <c r="AQ25" s="43"/>
      <c r="AR25" s="44"/>
      <c r="AS25" s="30"/>
      <c r="AT25" s="24"/>
      <c r="AU25" s="30"/>
      <c r="AV25" s="24"/>
      <c r="AW25" s="33"/>
      <c r="AX25" s="33"/>
    </row>
    <row r="26" ht="20.25" customHeight="1">
      <c r="A26" s="1"/>
      <c r="B26" s="1"/>
      <c r="C26" s="7" t="s">
        <v>29</v>
      </c>
      <c r="D26" s="45">
        <v>3.0</v>
      </c>
      <c r="E26" s="42">
        <v>5.0</v>
      </c>
      <c r="F26" s="35">
        <v>-0.1</v>
      </c>
      <c r="G26" s="29"/>
      <c r="H26" s="29"/>
      <c r="I26" s="30"/>
      <c r="J26" s="24"/>
      <c r="K26" s="30"/>
      <c r="L26" s="24"/>
      <c r="M26" s="31"/>
      <c r="N26" s="1"/>
      <c r="O26" s="7" t="s">
        <v>29</v>
      </c>
      <c r="P26" s="45">
        <v>3.0</v>
      </c>
      <c r="Q26" s="42">
        <v>5.0</v>
      </c>
      <c r="R26" s="35">
        <v>-0.1</v>
      </c>
      <c r="S26" s="29"/>
      <c r="T26" s="29"/>
      <c r="U26" s="30"/>
      <c r="V26" s="24"/>
      <c r="W26" s="30"/>
      <c r="X26" s="24"/>
      <c r="Y26" s="25"/>
      <c r="Z26" s="1"/>
      <c r="AA26" s="7" t="s">
        <v>29</v>
      </c>
      <c r="AB26" s="45">
        <v>3.0</v>
      </c>
      <c r="AC26" s="42">
        <v>5.0</v>
      </c>
      <c r="AD26" s="35">
        <v>-0.1</v>
      </c>
      <c r="AE26" s="29"/>
      <c r="AF26" s="29"/>
      <c r="AG26" s="30"/>
      <c r="AH26" s="24"/>
      <c r="AI26" s="30"/>
      <c r="AJ26" s="24"/>
      <c r="AK26" s="32"/>
      <c r="AL26" s="1"/>
      <c r="AM26" s="7" t="s">
        <v>29</v>
      </c>
      <c r="AN26" s="45">
        <v>3.0</v>
      </c>
      <c r="AO26" s="42">
        <v>5.0</v>
      </c>
      <c r="AP26" s="35">
        <v>-0.1</v>
      </c>
      <c r="AQ26" s="29"/>
      <c r="AR26" s="29"/>
      <c r="AS26" s="30"/>
      <c r="AT26" s="24"/>
      <c r="AU26" s="30"/>
      <c r="AV26" s="24"/>
      <c r="AW26" s="33"/>
      <c r="AX26" s="33"/>
    </row>
    <row r="27" ht="20.25" customHeight="1">
      <c r="A27" s="1"/>
      <c r="B27" s="1"/>
      <c r="C27" s="7" t="s">
        <v>30</v>
      </c>
      <c r="D27" s="45">
        <v>3.0</v>
      </c>
      <c r="E27" s="42" t="s">
        <v>16</v>
      </c>
      <c r="F27" s="42">
        <v>7.0</v>
      </c>
      <c r="G27" s="29"/>
      <c r="H27" s="29"/>
      <c r="I27" s="30"/>
      <c r="J27" s="24"/>
      <c r="K27" s="30"/>
      <c r="L27" s="24"/>
      <c r="M27" s="31"/>
      <c r="N27" s="1"/>
      <c r="O27" s="7" t="s">
        <v>30</v>
      </c>
      <c r="P27" s="45">
        <v>3.0</v>
      </c>
      <c r="Q27" s="42" t="s">
        <v>16</v>
      </c>
      <c r="R27" s="27">
        <v>8.0</v>
      </c>
      <c r="S27" s="29"/>
      <c r="T27" s="29"/>
      <c r="U27" s="30"/>
      <c r="V27" s="24"/>
      <c r="W27" s="30"/>
      <c r="X27" s="24"/>
      <c r="Y27" s="25"/>
      <c r="Z27" s="1"/>
      <c r="AA27" s="7" t="s">
        <v>30</v>
      </c>
      <c r="AB27" s="45">
        <v>3.0</v>
      </c>
      <c r="AC27" s="42" t="s">
        <v>16</v>
      </c>
      <c r="AD27" s="27">
        <v>8.0</v>
      </c>
      <c r="AE27" s="29"/>
      <c r="AF27" s="29"/>
      <c r="AG27" s="30"/>
      <c r="AH27" s="24"/>
      <c r="AI27" s="30"/>
      <c r="AJ27" s="24"/>
      <c r="AK27" s="32"/>
      <c r="AL27" s="1"/>
      <c r="AM27" s="7" t="s">
        <v>30</v>
      </c>
      <c r="AN27" s="45">
        <v>3.0</v>
      </c>
      <c r="AO27" s="42" t="s">
        <v>16</v>
      </c>
      <c r="AP27" s="27">
        <v>8.0</v>
      </c>
      <c r="AQ27" s="29"/>
      <c r="AR27" s="29"/>
      <c r="AS27" s="30"/>
      <c r="AT27" s="24"/>
      <c r="AU27" s="30"/>
      <c r="AV27" s="24"/>
      <c r="AW27" s="33"/>
      <c r="AX27" s="33"/>
    </row>
    <row r="28" ht="20.25" customHeight="1">
      <c r="A28" s="1"/>
      <c r="B28" s="1"/>
      <c r="C28" s="7" t="s">
        <v>31</v>
      </c>
      <c r="D28" s="45">
        <v>3.0</v>
      </c>
      <c r="E28" s="42" t="s">
        <v>16</v>
      </c>
      <c r="F28" s="42">
        <v>8.0</v>
      </c>
      <c r="G28" s="29"/>
      <c r="H28" s="29"/>
      <c r="I28" s="30"/>
      <c r="J28" s="24"/>
      <c r="K28" s="30"/>
      <c r="L28" s="24"/>
      <c r="M28" s="31"/>
      <c r="N28" s="1"/>
      <c r="O28" s="7" t="s">
        <v>31</v>
      </c>
      <c r="P28" s="45">
        <v>3.0</v>
      </c>
      <c r="Q28" s="42" t="s">
        <v>16</v>
      </c>
      <c r="R28" s="42">
        <v>8.0</v>
      </c>
      <c r="S28" s="29"/>
      <c r="T28" s="29"/>
      <c r="U28" s="30"/>
      <c r="V28" s="24"/>
      <c r="W28" s="30"/>
      <c r="X28" s="24"/>
      <c r="Y28" s="25"/>
      <c r="Z28" s="1"/>
      <c r="AA28" s="7" t="s">
        <v>31</v>
      </c>
      <c r="AB28" s="45">
        <v>3.0</v>
      </c>
      <c r="AC28" s="42" t="s">
        <v>16</v>
      </c>
      <c r="AD28" s="42">
        <v>8.0</v>
      </c>
      <c r="AE28" s="29"/>
      <c r="AF28" s="29"/>
      <c r="AG28" s="30"/>
      <c r="AH28" s="24"/>
      <c r="AI28" s="30"/>
      <c r="AJ28" s="24"/>
      <c r="AK28" s="32"/>
      <c r="AL28" s="1"/>
      <c r="AM28" s="7" t="s">
        <v>31</v>
      </c>
      <c r="AN28" s="45">
        <v>3.0</v>
      </c>
      <c r="AO28" s="42" t="s">
        <v>16</v>
      </c>
      <c r="AP28" s="42">
        <v>8.0</v>
      </c>
      <c r="AQ28" s="29"/>
      <c r="AR28" s="29"/>
      <c r="AS28" s="30"/>
      <c r="AT28" s="24"/>
      <c r="AU28" s="30"/>
      <c r="AV28" s="24"/>
      <c r="AW28" s="33"/>
      <c r="AX28" s="33"/>
    </row>
    <row r="29" ht="20.25" customHeight="1">
      <c r="A29" s="1"/>
      <c r="B29" s="1"/>
      <c r="C29" s="7" t="s">
        <v>32</v>
      </c>
      <c r="D29" s="45">
        <v>3.0</v>
      </c>
      <c r="E29" s="42" t="s">
        <v>16</v>
      </c>
      <c r="F29" s="42">
        <v>8.0</v>
      </c>
      <c r="G29" s="29"/>
      <c r="H29" s="29"/>
      <c r="I29" s="30" t="s">
        <v>19</v>
      </c>
      <c r="J29" s="24"/>
      <c r="K29" s="30"/>
      <c r="L29" s="24"/>
      <c r="M29" s="31"/>
      <c r="N29" s="1"/>
      <c r="O29" s="7" t="s">
        <v>32</v>
      </c>
      <c r="P29" s="45">
        <v>3.0</v>
      </c>
      <c r="Q29" s="42" t="s">
        <v>16</v>
      </c>
      <c r="R29" s="42">
        <v>8.0</v>
      </c>
      <c r="S29" s="29"/>
      <c r="T29" s="29"/>
      <c r="U29" s="30" t="s">
        <v>19</v>
      </c>
      <c r="V29" s="24"/>
      <c r="W29" s="30"/>
      <c r="X29" s="24"/>
      <c r="Y29" s="25"/>
      <c r="Z29" s="1"/>
      <c r="AA29" s="7" t="s">
        <v>32</v>
      </c>
      <c r="AB29" s="45">
        <v>3.0</v>
      </c>
      <c r="AC29" s="42" t="s">
        <v>16</v>
      </c>
      <c r="AD29" s="42">
        <v>8.0</v>
      </c>
      <c r="AE29" s="29"/>
      <c r="AF29" s="29"/>
      <c r="AG29" s="30" t="s">
        <v>19</v>
      </c>
      <c r="AH29" s="24"/>
      <c r="AI29" s="30"/>
      <c r="AJ29" s="24"/>
      <c r="AK29" s="32"/>
      <c r="AL29" s="1"/>
      <c r="AM29" s="7" t="s">
        <v>32</v>
      </c>
      <c r="AN29" s="45">
        <v>3.0</v>
      </c>
      <c r="AO29" s="42" t="s">
        <v>16</v>
      </c>
      <c r="AP29" s="42">
        <v>8.0</v>
      </c>
      <c r="AQ29" s="29"/>
      <c r="AR29" s="29"/>
      <c r="AS29" s="30" t="s">
        <v>19</v>
      </c>
      <c r="AT29" s="24"/>
      <c r="AU29" s="30"/>
      <c r="AV29" s="24"/>
      <c r="AW29" s="33"/>
      <c r="AX29" s="33"/>
    </row>
    <row r="30" ht="20.25" customHeight="1">
      <c r="A30" s="1"/>
      <c r="B30" s="1"/>
      <c r="C30" s="7" t="s">
        <v>18</v>
      </c>
      <c r="D30" s="45">
        <v>3.0</v>
      </c>
      <c r="E30" s="45" t="s">
        <v>16</v>
      </c>
      <c r="F30" s="42">
        <v>8.0</v>
      </c>
      <c r="G30" s="29"/>
      <c r="H30" s="29"/>
      <c r="I30" s="30" t="s">
        <v>19</v>
      </c>
      <c r="J30" s="24"/>
      <c r="K30" s="30"/>
      <c r="L30" s="24"/>
      <c r="M30" s="31"/>
      <c r="N30" s="1"/>
      <c r="O30" s="7" t="s">
        <v>18</v>
      </c>
      <c r="P30" s="45">
        <v>3.0</v>
      </c>
      <c r="Q30" s="45" t="s">
        <v>16</v>
      </c>
      <c r="R30" s="42">
        <v>8.0</v>
      </c>
      <c r="S30" s="29"/>
      <c r="T30" s="29"/>
      <c r="U30" s="30" t="s">
        <v>19</v>
      </c>
      <c r="V30" s="24"/>
      <c r="W30" s="30"/>
      <c r="X30" s="24"/>
      <c r="Y30" s="33"/>
      <c r="Z30" s="1"/>
      <c r="AA30" s="7" t="s">
        <v>18</v>
      </c>
      <c r="AB30" s="45">
        <v>3.0</v>
      </c>
      <c r="AC30" s="45" t="s">
        <v>16</v>
      </c>
      <c r="AD30" s="42">
        <v>8.0</v>
      </c>
      <c r="AE30" s="29"/>
      <c r="AF30" s="29"/>
      <c r="AG30" s="30" t="s">
        <v>19</v>
      </c>
      <c r="AH30" s="24"/>
      <c r="AI30" s="30"/>
      <c r="AJ30" s="24"/>
      <c r="AK30" s="32"/>
      <c r="AL30" s="1"/>
      <c r="AM30" s="7" t="s">
        <v>18</v>
      </c>
      <c r="AN30" s="45">
        <v>3.0</v>
      </c>
      <c r="AO30" s="45" t="s">
        <v>16</v>
      </c>
      <c r="AP30" s="42">
        <v>8.0</v>
      </c>
      <c r="AQ30" s="29"/>
      <c r="AR30" s="29"/>
      <c r="AS30" s="30" t="s">
        <v>19</v>
      </c>
      <c r="AT30" s="24"/>
      <c r="AU30" s="30"/>
      <c r="AV30" s="24"/>
      <c r="AW30" s="33"/>
      <c r="AX30" s="33"/>
    </row>
    <row r="31" ht="20.25" customHeight="1">
      <c r="A31" s="1"/>
      <c r="B31" s="17"/>
      <c r="C31" s="7" t="str">
        <f>HYPERLINK("https://youtu.be/h0XtRD5YUmo", "Overhead cable extension ")</f>
        <v>Overhead cable extension </v>
      </c>
      <c r="D31" s="45">
        <v>3.0</v>
      </c>
      <c r="E31" s="45" t="s">
        <v>16</v>
      </c>
      <c r="F31" s="42">
        <v>8.0</v>
      </c>
      <c r="G31" s="29"/>
      <c r="H31" s="29"/>
      <c r="I31" s="30"/>
      <c r="J31" s="24"/>
      <c r="K31" s="30"/>
      <c r="L31" s="24"/>
      <c r="M31" s="18"/>
      <c r="N31" s="17"/>
      <c r="O31" s="7" t="str">
        <f>HYPERLINK("https://youtu.be/h0XtRD5YUmo", "Overhead cable extension ")</f>
        <v>Overhead cable extension </v>
      </c>
      <c r="P31" s="45">
        <v>3.0</v>
      </c>
      <c r="Q31" s="45" t="s">
        <v>16</v>
      </c>
      <c r="R31" s="42">
        <v>8.0</v>
      </c>
      <c r="S31" s="29"/>
      <c r="T31" s="29"/>
      <c r="U31" s="30"/>
      <c r="V31" s="24"/>
      <c r="W31" s="30"/>
      <c r="X31" s="24"/>
      <c r="Y31" s="46"/>
      <c r="Z31" s="17"/>
      <c r="AA31" s="7" t="str">
        <f>HYPERLINK("https://youtu.be/h0XtRD5YUmo", "Overhead cable extension ")</f>
        <v>Overhead cable extension </v>
      </c>
      <c r="AB31" s="45">
        <v>3.0</v>
      </c>
      <c r="AC31" s="45" t="s">
        <v>16</v>
      </c>
      <c r="AD31" s="42">
        <v>8.0</v>
      </c>
      <c r="AE31" s="29"/>
      <c r="AF31" s="29"/>
      <c r="AG31" s="30"/>
      <c r="AH31" s="24"/>
      <c r="AI31" s="30"/>
      <c r="AJ31" s="24"/>
      <c r="AK31" s="47"/>
      <c r="AL31" s="17"/>
      <c r="AM31" s="7" t="str">
        <f>HYPERLINK("https://youtu.be/h0XtRD5YUmo", "Overhead cable extension ")</f>
        <v>Overhead cable extension </v>
      </c>
      <c r="AN31" s="45">
        <v>3.0</v>
      </c>
      <c r="AO31" s="45" t="s">
        <v>16</v>
      </c>
      <c r="AP31" s="42">
        <v>8.0</v>
      </c>
      <c r="AQ31" s="29"/>
      <c r="AR31" s="29"/>
      <c r="AS31" s="30"/>
      <c r="AT31" s="24"/>
      <c r="AU31" s="30"/>
      <c r="AV31" s="24"/>
      <c r="AW31" s="33"/>
      <c r="AX31" s="33"/>
    </row>
    <row r="32" ht="20.25" customHeight="1">
      <c r="A32" s="1"/>
      <c r="B32" s="1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5"/>
      <c r="N32" s="1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2"/>
      <c r="Z32" s="1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2"/>
      <c r="AL32" s="1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36"/>
      <c r="AX32" s="36"/>
    </row>
    <row r="33" ht="20.25" customHeight="1">
      <c r="A33" s="1"/>
      <c r="B33" s="1"/>
      <c r="C33" s="37" t="s">
        <v>26</v>
      </c>
      <c r="D33" s="38"/>
      <c r="E33" s="38"/>
      <c r="F33" s="38"/>
      <c r="G33" s="38"/>
      <c r="H33" s="38"/>
      <c r="I33" s="38"/>
      <c r="J33" s="38"/>
      <c r="K33" s="38"/>
      <c r="L33" s="24"/>
      <c r="M33" s="5"/>
      <c r="N33" s="1"/>
      <c r="O33" s="37" t="s">
        <v>26</v>
      </c>
      <c r="P33" s="38"/>
      <c r="Q33" s="38"/>
      <c r="R33" s="38"/>
      <c r="S33" s="38"/>
      <c r="T33" s="38"/>
      <c r="U33" s="38"/>
      <c r="V33" s="38"/>
      <c r="W33" s="38"/>
      <c r="X33" s="24"/>
      <c r="Y33" s="48"/>
      <c r="Z33" s="1"/>
      <c r="AA33" s="37" t="s">
        <v>26</v>
      </c>
      <c r="AB33" s="38"/>
      <c r="AC33" s="38"/>
      <c r="AD33" s="38"/>
      <c r="AE33" s="38"/>
      <c r="AF33" s="38"/>
      <c r="AG33" s="38"/>
      <c r="AH33" s="38"/>
      <c r="AI33" s="38"/>
      <c r="AJ33" s="24"/>
      <c r="AK33" s="3"/>
      <c r="AL33" s="1"/>
      <c r="AM33" s="37" t="s">
        <v>26</v>
      </c>
      <c r="AN33" s="38"/>
      <c r="AO33" s="38"/>
      <c r="AP33" s="38"/>
      <c r="AQ33" s="38"/>
      <c r="AR33" s="38"/>
      <c r="AS33" s="38"/>
      <c r="AT33" s="38"/>
      <c r="AU33" s="38"/>
      <c r="AV33" s="24"/>
      <c r="AW33" s="39"/>
      <c r="AX33" s="39"/>
    </row>
    <row r="34" ht="27.0" customHeight="1">
      <c r="A34" s="4"/>
      <c r="B34" s="2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31"/>
      <c r="N34" s="2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33"/>
      <c r="Z34" s="2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32"/>
      <c r="AL34" s="2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36"/>
      <c r="AX34" s="36"/>
    </row>
    <row r="35">
      <c r="A35" s="1"/>
      <c r="B35" s="17"/>
      <c r="C35" s="13" t="s">
        <v>33</v>
      </c>
      <c r="D35" s="40"/>
      <c r="E35" s="40"/>
      <c r="F35" s="1"/>
      <c r="G35" s="1"/>
      <c r="H35" s="1"/>
      <c r="I35" s="1"/>
      <c r="J35" s="1"/>
      <c r="K35" s="1"/>
      <c r="L35" s="1"/>
      <c r="M35" s="31"/>
      <c r="N35" s="17"/>
      <c r="O35" s="13" t="s">
        <v>33</v>
      </c>
      <c r="P35" s="40"/>
      <c r="Q35" s="40"/>
      <c r="R35" s="1"/>
      <c r="S35" s="1"/>
      <c r="T35" s="1"/>
      <c r="U35" s="1"/>
      <c r="V35" s="1"/>
      <c r="W35" s="1"/>
      <c r="X35" s="1"/>
      <c r="Y35" s="33"/>
      <c r="Z35" s="17"/>
      <c r="AA35" s="13" t="s">
        <v>33</v>
      </c>
      <c r="AB35" s="40"/>
      <c r="AC35" s="40"/>
      <c r="AD35" s="1"/>
      <c r="AE35" s="1"/>
      <c r="AF35" s="1"/>
      <c r="AG35" s="1"/>
      <c r="AH35" s="1"/>
      <c r="AI35" s="1"/>
      <c r="AJ35" s="1"/>
      <c r="AK35" s="32"/>
      <c r="AL35" s="17"/>
      <c r="AM35" s="13" t="s">
        <v>33</v>
      </c>
      <c r="AN35" s="40"/>
      <c r="AO35" s="40"/>
      <c r="AP35" s="1"/>
      <c r="AQ35" s="1"/>
      <c r="AR35" s="1"/>
      <c r="AS35" s="1"/>
      <c r="AT35" s="1"/>
      <c r="AU35" s="1"/>
      <c r="AV35" s="1"/>
      <c r="AW35" s="1"/>
      <c r="AX35" s="1"/>
    </row>
    <row r="36" ht="20.25" customHeight="1">
      <c r="A36" s="8"/>
      <c r="B36" s="49" t="s">
        <v>34</v>
      </c>
      <c r="C36" s="22" t="s">
        <v>6</v>
      </c>
      <c r="D36" s="22" t="s">
        <v>7</v>
      </c>
      <c r="E36" s="22" t="s">
        <v>8</v>
      </c>
      <c r="F36" s="21" t="s">
        <v>9</v>
      </c>
      <c r="G36" s="22" t="s">
        <v>10</v>
      </c>
      <c r="H36" s="22" t="s">
        <v>11</v>
      </c>
      <c r="I36" s="23" t="s">
        <v>12</v>
      </c>
      <c r="J36" s="24"/>
      <c r="K36" s="23" t="s">
        <v>13</v>
      </c>
      <c r="L36" s="24"/>
      <c r="M36" s="5"/>
      <c r="N36" s="49" t="s">
        <v>34</v>
      </c>
      <c r="O36" s="22" t="s">
        <v>6</v>
      </c>
      <c r="P36" s="22" t="s">
        <v>7</v>
      </c>
      <c r="Q36" s="22" t="s">
        <v>8</v>
      </c>
      <c r="R36" s="21" t="s">
        <v>9</v>
      </c>
      <c r="S36" s="22" t="s">
        <v>10</v>
      </c>
      <c r="T36" s="22" t="s">
        <v>11</v>
      </c>
      <c r="U36" s="23" t="s">
        <v>12</v>
      </c>
      <c r="V36" s="24"/>
      <c r="W36" s="23" t="s">
        <v>13</v>
      </c>
      <c r="X36" s="24"/>
      <c r="Y36" s="33"/>
      <c r="Z36" s="49" t="s">
        <v>34</v>
      </c>
      <c r="AA36" s="22" t="s">
        <v>6</v>
      </c>
      <c r="AB36" s="22" t="s">
        <v>7</v>
      </c>
      <c r="AC36" s="22" t="s">
        <v>8</v>
      </c>
      <c r="AD36" s="21" t="s">
        <v>9</v>
      </c>
      <c r="AE36" s="22" t="s">
        <v>10</v>
      </c>
      <c r="AF36" s="22" t="s">
        <v>11</v>
      </c>
      <c r="AG36" s="23" t="s">
        <v>12</v>
      </c>
      <c r="AH36" s="24"/>
      <c r="AI36" s="23" t="s">
        <v>13</v>
      </c>
      <c r="AJ36" s="24"/>
      <c r="AK36" s="50"/>
      <c r="AL36" s="49" t="s">
        <v>34</v>
      </c>
      <c r="AM36" s="22" t="s">
        <v>6</v>
      </c>
      <c r="AN36" s="22" t="s">
        <v>7</v>
      </c>
      <c r="AO36" s="22" t="s">
        <v>8</v>
      </c>
      <c r="AP36" s="21" t="s">
        <v>9</v>
      </c>
      <c r="AQ36" s="22" t="s">
        <v>10</v>
      </c>
      <c r="AR36" s="22" t="s">
        <v>11</v>
      </c>
      <c r="AS36" s="23" t="s">
        <v>12</v>
      </c>
      <c r="AT36" s="24"/>
      <c r="AU36" s="23" t="s">
        <v>13</v>
      </c>
      <c r="AV36" s="24"/>
      <c r="AW36" s="26"/>
      <c r="AX36" s="26"/>
    </row>
    <row r="37" ht="20.25" customHeight="1">
      <c r="A37" s="51"/>
      <c r="B37" s="1"/>
      <c r="C37" s="7" t="s">
        <v>35</v>
      </c>
      <c r="D37" s="27">
        <v>1.0</v>
      </c>
      <c r="E37" s="27">
        <v>3.0</v>
      </c>
      <c r="F37" s="27">
        <v>5.0</v>
      </c>
      <c r="G37" s="43"/>
      <c r="H37" s="29"/>
      <c r="I37" s="30"/>
      <c r="J37" s="24"/>
      <c r="K37" s="30"/>
      <c r="L37" s="24"/>
      <c r="M37" s="5"/>
      <c r="N37" s="1"/>
      <c r="O37" s="7" t="s">
        <v>35</v>
      </c>
      <c r="P37" s="27">
        <v>1.0</v>
      </c>
      <c r="Q37" s="27">
        <v>3.0</v>
      </c>
      <c r="R37" s="27">
        <v>6.0</v>
      </c>
      <c r="S37" s="43"/>
      <c r="T37" s="29"/>
      <c r="U37" s="30"/>
      <c r="V37" s="24"/>
      <c r="W37" s="30"/>
      <c r="X37" s="24"/>
      <c r="Y37" s="25"/>
      <c r="Z37" s="1"/>
      <c r="AA37" s="7" t="s">
        <v>35</v>
      </c>
      <c r="AB37" s="27">
        <v>1.0</v>
      </c>
      <c r="AC37" s="27">
        <v>3.0</v>
      </c>
      <c r="AD37" s="27">
        <v>7.0</v>
      </c>
      <c r="AE37" s="43"/>
      <c r="AF37" s="29"/>
      <c r="AG37" s="30"/>
      <c r="AH37" s="24"/>
      <c r="AI37" s="30"/>
      <c r="AJ37" s="24"/>
      <c r="AK37" s="52"/>
      <c r="AL37" s="1"/>
      <c r="AM37" s="7" t="s">
        <v>35</v>
      </c>
      <c r="AN37" s="27">
        <v>1.0</v>
      </c>
      <c r="AO37" s="27">
        <v>3.0</v>
      </c>
      <c r="AP37" s="27">
        <v>8.0</v>
      </c>
      <c r="AQ37" s="43"/>
      <c r="AR37" s="29"/>
      <c r="AS37" s="30"/>
      <c r="AT37" s="24"/>
      <c r="AU37" s="30"/>
      <c r="AV37" s="24"/>
      <c r="AW37" s="33"/>
      <c r="AX37" s="33"/>
    </row>
    <row r="38" ht="20.25" customHeight="1">
      <c r="A38" s="4"/>
      <c r="B38" s="1"/>
      <c r="C38" s="7" t="s">
        <v>35</v>
      </c>
      <c r="D38" s="34">
        <v>3.0</v>
      </c>
      <c r="E38" s="27">
        <v>5.0</v>
      </c>
      <c r="F38" s="35">
        <v>-0.1</v>
      </c>
      <c r="G38" s="29"/>
      <c r="H38" s="29"/>
      <c r="I38" s="30"/>
      <c r="J38" s="24"/>
      <c r="K38" s="30"/>
      <c r="L38" s="24"/>
      <c r="M38" s="31"/>
      <c r="N38" s="1"/>
      <c r="O38" s="7" t="s">
        <v>35</v>
      </c>
      <c r="P38" s="34">
        <v>3.0</v>
      </c>
      <c r="Q38" s="27">
        <v>5.0</v>
      </c>
      <c r="R38" s="35">
        <v>-0.1</v>
      </c>
      <c r="S38" s="29"/>
      <c r="T38" s="29"/>
      <c r="U38" s="30"/>
      <c r="V38" s="24"/>
      <c r="W38" s="30"/>
      <c r="X38" s="24"/>
      <c r="Y38" s="33"/>
      <c r="Z38" s="1"/>
      <c r="AA38" s="7" t="s">
        <v>35</v>
      </c>
      <c r="AB38" s="34">
        <v>3.0</v>
      </c>
      <c r="AC38" s="27">
        <v>5.0</v>
      </c>
      <c r="AD38" s="35">
        <v>-0.1</v>
      </c>
      <c r="AE38" s="29"/>
      <c r="AF38" s="29"/>
      <c r="AG38" s="30"/>
      <c r="AH38" s="24"/>
      <c r="AI38" s="30"/>
      <c r="AJ38" s="24"/>
      <c r="AK38" s="32"/>
      <c r="AL38" s="1"/>
      <c r="AM38" s="7" t="s">
        <v>35</v>
      </c>
      <c r="AN38" s="34">
        <v>3.0</v>
      </c>
      <c r="AO38" s="27">
        <v>5.0</v>
      </c>
      <c r="AP38" s="35">
        <v>-0.1</v>
      </c>
      <c r="AQ38" s="29"/>
      <c r="AR38" s="29"/>
      <c r="AS38" s="30"/>
      <c r="AT38" s="24"/>
      <c r="AU38" s="30"/>
      <c r="AV38" s="24"/>
      <c r="AW38" s="33"/>
      <c r="AX38" s="33"/>
    </row>
    <row r="39" ht="20.25" customHeight="1">
      <c r="A39" s="1"/>
      <c r="B39" s="1"/>
      <c r="C39" s="7" t="s">
        <v>36</v>
      </c>
      <c r="D39" s="42">
        <v>3.0</v>
      </c>
      <c r="E39" s="45" t="s">
        <v>16</v>
      </c>
      <c r="F39" s="42">
        <v>7.0</v>
      </c>
      <c r="G39" s="29"/>
      <c r="H39" s="53"/>
      <c r="I39" s="30"/>
      <c r="J39" s="24"/>
      <c r="K39" s="30"/>
      <c r="L39" s="24"/>
      <c r="M39" s="31"/>
      <c r="N39" s="1"/>
      <c r="O39" s="7" t="s">
        <v>36</v>
      </c>
      <c r="P39" s="42">
        <v>3.0</v>
      </c>
      <c r="Q39" s="45" t="s">
        <v>16</v>
      </c>
      <c r="R39" s="27">
        <v>8.0</v>
      </c>
      <c r="S39" s="29"/>
      <c r="T39" s="53"/>
      <c r="U39" s="30"/>
      <c r="V39" s="24"/>
      <c r="W39" s="30"/>
      <c r="X39" s="24"/>
      <c r="Y39" s="1"/>
      <c r="Z39" s="1"/>
      <c r="AA39" s="7" t="s">
        <v>36</v>
      </c>
      <c r="AB39" s="42">
        <v>3.0</v>
      </c>
      <c r="AC39" s="45" t="s">
        <v>16</v>
      </c>
      <c r="AD39" s="27">
        <v>8.0</v>
      </c>
      <c r="AE39" s="29"/>
      <c r="AF39" s="53"/>
      <c r="AG39" s="30"/>
      <c r="AH39" s="24"/>
      <c r="AI39" s="30"/>
      <c r="AJ39" s="24"/>
      <c r="AK39" s="32"/>
      <c r="AL39" s="1"/>
      <c r="AM39" s="7" t="s">
        <v>36</v>
      </c>
      <c r="AN39" s="42">
        <v>3.0</v>
      </c>
      <c r="AO39" s="45" t="s">
        <v>16</v>
      </c>
      <c r="AP39" s="27">
        <v>8.0</v>
      </c>
      <c r="AQ39" s="29"/>
      <c r="AR39" s="53"/>
      <c r="AS39" s="30"/>
      <c r="AT39" s="24"/>
      <c r="AU39" s="30"/>
      <c r="AV39" s="24"/>
      <c r="AW39" s="33"/>
      <c r="AX39" s="33"/>
    </row>
    <row r="40" ht="20.25" customHeight="1">
      <c r="A40" s="1"/>
      <c r="B40" s="1"/>
      <c r="C40" s="7" t="s">
        <v>37</v>
      </c>
      <c r="D40" s="42">
        <v>3.0</v>
      </c>
      <c r="E40" s="45" t="s">
        <v>16</v>
      </c>
      <c r="F40" s="42">
        <v>8.0</v>
      </c>
      <c r="G40" s="29"/>
      <c r="H40" s="53"/>
      <c r="I40" s="30"/>
      <c r="J40" s="24"/>
      <c r="K40" s="30"/>
      <c r="L40" s="24"/>
      <c r="M40" s="31"/>
      <c r="N40" s="1"/>
      <c r="O40" s="7" t="s">
        <v>37</v>
      </c>
      <c r="P40" s="42">
        <v>3.0</v>
      </c>
      <c r="Q40" s="45" t="s">
        <v>16</v>
      </c>
      <c r="R40" s="42">
        <v>8.0</v>
      </c>
      <c r="S40" s="29"/>
      <c r="T40" s="53"/>
      <c r="U40" s="30"/>
      <c r="V40" s="24"/>
      <c r="W40" s="30"/>
      <c r="X40" s="24"/>
      <c r="Y40" s="1"/>
      <c r="Z40" s="1"/>
      <c r="AA40" s="7" t="s">
        <v>37</v>
      </c>
      <c r="AB40" s="42">
        <v>3.0</v>
      </c>
      <c r="AC40" s="45" t="s">
        <v>16</v>
      </c>
      <c r="AD40" s="42">
        <v>8.0</v>
      </c>
      <c r="AE40" s="29"/>
      <c r="AF40" s="53"/>
      <c r="AG40" s="30"/>
      <c r="AH40" s="24"/>
      <c r="AI40" s="30"/>
      <c r="AJ40" s="24"/>
      <c r="AK40" s="32"/>
      <c r="AL40" s="1"/>
      <c r="AM40" s="7" t="s">
        <v>37</v>
      </c>
      <c r="AN40" s="42">
        <v>3.0</v>
      </c>
      <c r="AO40" s="45" t="s">
        <v>16</v>
      </c>
      <c r="AP40" s="42">
        <v>8.0</v>
      </c>
      <c r="AQ40" s="29"/>
      <c r="AR40" s="53"/>
      <c r="AS40" s="30"/>
      <c r="AT40" s="24"/>
      <c r="AU40" s="30"/>
      <c r="AV40" s="24"/>
      <c r="AW40" s="33"/>
      <c r="AX40" s="33"/>
    </row>
    <row r="41" ht="20.25" customHeight="1">
      <c r="A41" s="1"/>
      <c r="B41" s="1"/>
      <c r="C41" s="7" t="s">
        <v>38</v>
      </c>
      <c r="D41" s="42">
        <v>3.0</v>
      </c>
      <c r="E41" s="45" t="s">
        <v>16</v>
      </c>
      <c r="F41" s="42">
        <v>8.0</v>
      </c>
      <c r="G41" s="29"/>
      <c r="H41" s="53"/>
      <c r="I41" s="30" t="s">
        <v>19</v>
      </c>
      <c r="J41" s="24"/>
      <c r="K41" s="30"/>
      <c r="L41" s="24"/>
      <c r="M41" s="31"/>
      <c r="N41" s="1"/>
      <c r="O41" s="7" t="s">
        <v>38</v>
      </c>
      <c r="P41" s="42">
        <v>3.0</v>
      </c>
      <c r="Q41" s="45" t="s">
        <v>16</v>
      </c>
      <c r="R41" s="42">
        <v>8.0</v>
      </c>
      <c r="S41" s="29"/>
      <c r="T41" s="53"/>
      <c r="U41" s="30" t="s">
        <v>19</v>
      </c>
      <c r="V41" s="24"/>
      <c r="W41" s="30"/>
      <c r="X41" s="24"/>
      <c r="Y41" s="1"/>
      <c r="Z41" s="1"/>
      <c r="AA41" s="7" t="s">
        <v>38</v>
      </c>
      <c r="AB41" s="42">
        <v>3.0</v>
      </c>
      <c r="AC41" s="45" t="s">
        <v>16</v>
      </c>
      <c r="AD41" s="42">
        <v>8.0</v>
      </c>
      <c r="AE41" s="29"/>
      <c r="AF41" s="53"/>
      <c r="AG41" s="30" t="s">
        <v>19</v>
      </c>
      <c r="AH41" s="24"/>
      <c r="AI41" s="30"/>
      <c r="AJ41" s="24"/>
      <c r="AK41" s="32"/>
      <c r="AL41" s="1"/>
      <c r="AM41" s="7" t="s">
        <v>38</v>
      </c>
      <c r="AN41" s="42">
        <v>3.0</v>
      </c>
      <c r="AO41" s="45" t="s">
        <v>16</v>
      </c>
      <c r="AP41" s="42">
        <v>8.0</v>
      </c>
      <c r="AQ41" s="29"/>
      <c r="AR41" s="53"/>
      <c r="AS41" s="30" t="s">
        <v>19</v>
      </c>
      <c r="AT41" s="24"/>
      <c r="AU41" s="30"/>
      <c r="AV41" s="24"/>
      <c r="AW41" s="33"/>
      <c r="AX41" s="33"/>
    </row>
    <row r="42" ht="20.25" customHeight="1">
      <c r="A42" s="1"/>
      <c r="B42" s="1"/>
      <c r="C42" s="7" t="s">
        <v>32</v>
      </c>
      <c r="D42" s="54">
        <v>3.0</v>
      </c>
      <c r="E42" s="55" t="s">
        <v>16</v>
      </c>
      <c r="F42" s="42">
        <v>8.0</v>
      </c>
      <c r="G42" s="29"/>
      <c r="H42" s="29"/>
      <c r="I42" s="30" t="s">
        <v>19</v>
      </c>
      <c r="J42" s="24"/>
      <c r="K42" s="30"/>
      <c r="L42" s="24"/>
      <c r="M42" s="5"/>
      <c r="N42" s="1"/>
      <c r="O42" s="7" t="s">
        <v>32</v>
      </c>
      <c r="P42" s="54">
        <v>3.0</v>
      </c>
      <c r="Q42" s="55" t="s">
        <v>16</v>
      </c>
      <c r="R42" s="42">
        <v>8.0</v>
      </c>
      <c r="S42" s="29"/>
      <c r="T42" s="29"/>
      <c r="U42" s="30" t="s">
        <v>19</v>
      </c>
      <c r="V42" s="24"/>
      <c r="W42" s="30"/>
      <c r="X42" s="24"/>
      <c r="Y42" s="2"/>
      <c r="Z42" s="1"/>
      <c r="AA42" s="7" t="s">
        <v>32</v>
      </c>
      <c r="AB42" s="54">
        <v>3.0</v>
      </c>
      <c r="AC42" s="55" t="s">
        <v>16</v>
      </c>
      <c r="AD42" s="42">
        <v>8.0</v>
      </c>
      <c r="AE42" s="29"/>
      <c r="AF42" s="29"/>
      <c r="AG42" s="30" t="s">
        <v>19</v>
      </c>
      <c r="AH42" s="24"/>
      <c r="AI42" s="30"/>
      <c r="AJ42" s="24"/>
      <c r="AK42" s="2"/>
      <c r="AL42" s="1"/>
      <c r="AM42" s="7" t="s">
        <v>32</v>
      </c>
      <c r="AN42" s="54">
        <v>3.0</v>
      </c>
      <c r="AO42" s="55" t="s">
        <v>16</v>
      </c>
      <c r="AP42" s="42">
        <v>8.0</v>
      </c>
      <c r="AQ42" s="29"/>
      <c r="AR42" s="29"/>
      <c r="AS42" s="30" t="s">
        <v>19</v>
      </c>
      <c r="AT42" s="24"/>
      <c r="AU42" s="30"/>
      <c r="AV42" s="24"/>
      <c r="AW42" s="33"/>
      <c r="AX42" s="33"/>
    </row>
    <row r="43" ht="20.25" customHeight="1">
      <c r="A43" s="1"/>
      <c r="B43" s="17"/>
      <c r="C43" s="7" t="s">
        <v>39</v>
      </c>
      <c r="D43" s="42">
        <v>2.0</v>
      </c>
      <c r="E43" s="45" t="s">
        <v>16</v>
      </c>
      <c r="F43" s="42">
        <v>8.0</v>
      </c>
      <c r="G43" s="29"/>
      <c r="H43" s="29"/>
      <c r="I43" s="30"/>
      <c r="J43" s="24"/>
      <c r="K43" s="30"/>
      <c r="L43" s="24"/>
      <c r="M43" s="5"/>
      <c r="N43" s="17"/>
      <c r="O43" s="7" t="s">
        <v>39</v>
      </c>
      <c r="P43" s="42">
        <v>2.0</v>
      </c>
      <c r="Q43" s="45" t="s">
        <v>16</v>
      </c>
      <c r="R43" s="42">
        <v>8.0</v>
      </c>
      <c r="S43" s="29"/>
      <c r="T43" s="29"/>
      <c r="U43" s="30"/>
      <c r="V43" s="24"/>
      <c r="W43" s="30"/>
      <c r="X43" s="24"/>
      <c r="Y43" s="48"/>
      <c r="Z43" s="17"/>
      <c r="AA43" s="7" t="s">
        <v>39</v>
      </c>
      <c r="AB43" s="42">
        <v>2.0</v>
      </c>
      <c r="AC43" s="45" t="s">
        <v>16</v>
      </c>
      <c r="AD43" s="42">
        <v>8.0</v>
      </c>
      <c r="AE43" s="29"/>
      <c r="AF43" s="29"/>
      <c r="AG43" s="30"/>
      <c r="AH43" s="24"/>
      <c r="AI43" s="30"/>
      <c r="AJ43" s="24"/>
      <c r="AK43" s="3"/>
      <c r="AL43" s="17"/>
      <c r="AM43" s="7" t="s">
        <v>39</v>
      </c>
      <c r="AN43" s="42">
        <v>2.0</v>
      </c>
      <c r="AO43" s="45" t="s">
        <v>16</v>
      </c>
      <c r="AP43" s="42">
        <v>8.0</v>
      </c>
      <c r="AQ43" s="29"/>
      <c r="AR43" s="29"/>
      <c r="AS43" s="30"/>
      <c r="AT43" s="24"/>
      <c r="AU43" s="30"/>
      <c r="AV43" s="24"/>
      <c r="AW43" s="33"/>
      <c r="AX43" s="33"/>
    </row>
    <row r="44" ht="20.25" customHeight="1">
      <c r="A44" s="4"/>
      <c r="B44" s="17"/>
      <c r="C44" s="7" t="s">
        <v>40</v>
      </c>
      <c r="D44" s="42">
        <v>2.0</v>
      </c>
      <c r="E44" s="42" t="s">
        <v>16</v>
      </c>
      <c r="F44" s="42">
        <v>8.0</v>
      </c>
      <c r="G44" s="29"/>
      <c r="H44" s="56"/>
      <c r="I44" s="30"/>
      <c r="J44" s="24"/>
      <c r="K44" s="30"/>
      <c r="L44" s="24"/>
      <c r="M44" s="31"/>
      <c r="N44" s="17"/>
      <c r="O44" s="7" t="s">
        <v>40</v>
      </c>
      <c r="P44" s="45">
        <v>3.0</v>
      </c>
      <c r="Q44" s="42" t="s">
        <v>16</v>
      </c>
      <c r="R44" s="42">
        <v>8.0</v>
      </c>
      <c r="S44" s="29"/>
      <c r="T44" s="56"/>
      <c r="U44" s="30"/>
      <c r="V44" s="24"/>
      <c r="W44" s="30"/>
      <c r="X44" s="24"/>
      <c r="Y44" s="33"/>
      <c r="Z44" s="17"/>
      <c r="AA44" s="7" t="s">
        <v>40</v>
      </c>
      <c r="AB44" s="45">
        <v>3.0</v>
      </c>
      <c r="AC44" s="42" t="s">
        <v>16</v>
      </c>
      <c r="AD44" s="42">
        <v>8.0</v>
      </c>
      <c r="AE44" s="29"/>
      <c r="AF44" s="56"/>
      <c r="AG44" s="30"/>
      <c r="AH44" s="24"/>
      <c r="AI44" s="30"/>
      <c r="AJ44" s="24"/>
      <c r="AK44" s="32"/>
      <c r="AL44" s="17"/>
      <c r="AM44" s="7" t="s">
        <v>40</v>
      </c>
      <c r="AN44" s="45">
        <v>3.0</v>
      </c>
      <c r="AO44" s="42" t="s">
        <v>16</v>
      </c>
      <c r="AP44" s="42">
        <v>8.0</v>
      </c>
      <c r="AQ44" s="29"/>
      <c r="AR44" s="56"/>
      <c r="AS44" s="30"/>
      <c r="AT44" s="24"/>
      <c r="AU44" s="30"/>
      <c r="AV44" s="24"/>
      <c r="AW44" s="33"/>
      <c r="AX44" s="33"/>
    </row>
    <row r="45" ht="20.25" customHeight="1">
      <c r="A45" s="1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5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2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2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36"/>
      <c r="AX45" s="36"/>
    </row>
    <row r="46" ht="20.25" customHeight="1">
      <c r="A46" s="1"/>
      <c r="B46" s="1"/>
      <c r="C46" s="37" t="s">
        <v>41</v>
      </c>
      <c r="D46" s="38"/>
      <c r="E46" s="38"/>
      <c r="F46" s="38"/>
      <c r="G46" s="38"/>
      <c r="H46" s="38"/>
      <c r="I46" s="38"/>
      <c r="J46" s="38"/>
      <c r="K46" s="38"/>
      <c r="L46" s="24"/>
      <c r="M46" s="5"/>
      <c r="N46" s="1"/>
      <c r="O46" s="37" t="s">
        <v>41</v>
      </c>
      <c r="P46" s="38"/>
      <c r="Q46" s="38"/>
      <c r="R46" s="38"/>
      <c r="S46" s="38"/>
      <c r="T46" s="38"/>
      <c r="U46" s="38"/>
      <c r="V46" s="38"/>
      <c r="W46" s="38"/>
      <c r="X46" s="24"/>
      <c r="Y46" s="2"/>
      <c r="Z46" s="1"/>
      <c r="AA46" s="37" t="s">
        <v>41</v>
      </c>
      <c r="AB46" s="38"/>
      <c r="AC46" s="38"/>
      <c r="AD46" s="38"/>
      <c r="AE46" s="38"/>
      <c r="AF46" s="38"/>
      <c r="AG46" s="38"/>
      <c r="AH46" s="38"/>
      <c r="AI46" s="38"/>
      <c r="AJ46" s="24"/>
      <c r="AK46" s="2"/>
      <c r="AL46" s="1"/>
      <c r="AM46" s="37" t="s">
        <v>41</v>
      </c>
      <c r="AN46" s="38"/>
      <c r="AO46" s="38"/>
      <c r="AP46" s="38"/>
      <c r="AQ46" s="38"/>
      <c r="AR46" s="38"/>
      <c r="AS46" s="38"/>
      <c r="AT46" s="38"/>
      <c r="AU46" s="38"/>
      <c r="AV46" s="24"/>
      <c r="AW46" s="39"/>
      <c r="AX46" s="39"/>
    </row>
    <row r="47" ht="20.25" customHeight="1">
      <c r="A47" s="1"/>
      <c r="B47" s="17"/>
      <c r="C47" s="17"/>
      <c r="D47" s="17"/>
      <c r="E47" s="17"/>
      <c r="F47" s="17"/>
      <c r="G47" s="57"/>
      <c r="H47" s="1"/>
      <c r="I47" s="1"/>
      <c r="J47" s="1"/>
      <c r="K47" s="1"/>
      <c r="L47" s="1"/>
      <c r="M47" s="5"/>
      <c r="N47" s="17"/>
      <c r="O47" s="17"/>
      <c r="P47" s="17"/>
      <c r="Q47" s="17"/>
      <c r="R47" s="17"/>
      <c r="S47" s="57"/>
      <c r="T47" s="1"/>
      <c r="U47" s="1"/>
      <c r="V47" s="1"/>
      <c r="W47" s="1"/>
      <c r="X47" s="1"/>
      <c r="Y47" s="58"/>
      <c r="Z47" s="19"/>
      <c r="AA47" s="19"/>
      <c r="AB47" s="19"/>
      <c r="AC47" s="19"/>
      <c r="AD47" s="19"/>
      <c r="AE47" s="12"/>
      <c r="AF47" s="12"/>
      <c r="AG47" s="12"/>
      <c r="AH47" s="12"/>
      <c r="AI47" s="12"/>
      <c r="AJ47" s="12"/>
      <c r="AK47" s="2"/>
      <c r="AL47" s="19"/>
      <c r="AM47" s="19"/>
      <c r="AN47" s="19"/>
      <c r="AO47" s="19"/>
      <c r="AP47" s="19"/>
      <c r="AQ47" s="12"/>
      <c r="AR47" s="12"/>
      <c r="AS47" s="12"/>
      <c r="AT47" s="12"/>
      <c r="AU47" s="12"/>
      <c r="AV47" s="12"/>
      <c r="AW47" s="12"/>
      <c r="AX47" s="12"/>
    </row>
    <row r="48" ht="20.25" customHeight="1">
      <c r="A48" s="1"/>
      <c r="B48" s="17"/>
      <c r="C48" s="17"/>
      <c r="D48" s="17"/>
      <c r="E48" s="17"/>
      <c r="F48" s="17"/>
      <c r="G48" s="57"/>
      <c r="H48" s="59"/>
      <c r="I48" s="1"/>
      <c r="J48" s="1"/>
      <c r="K48" s="1"/>
      <c r="L48" s="1"/>
      <c r="M48" s="5"/>
      <c r="N48" s="2"/>
      <c r="O48" s="2"/>
      <c r="P48" s="2"/>
      <c r="Q48" s="2"/>
      <c r="R48" s="2"/>
      <c r="S48" s="2"/>
      <c r="T48" s="59"/>
      <c r="U48" s="1"/>
      <c r="V48" s="1"/>
      <c r="W48" s="1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ht="20.25" customHeight="1">
      <c r="A49" s="1"/>
      <c r="B49" s="60" t="s">
        <v>42</v>
      </c>
      <c r="C49" s="10"/>
      <c r="D49" s="10"/>
      <c r="E49" s="10"/>
      <c r="F49" s="11"/>
      <c r="G49" s="61"/>
      <c r="H49" s="1"/>
      <c r="I49" s="1"/>
      <c r="J49" s="1"/>
      <c r="K49" s="1"/>
      <c r="L49" s="1"/>
      <c r="M49" s="5"/>
      <c r="N49" s="2"/>
      <c r="O49" s="2"/>
      <c r="P49" s="2"/>
      <c r="Q49" s="2"/>
      <c r="R49" s="2"/>
      <c r="S49" s="2"/>
      <c r="T49" s="1"/>
      <c r="U49" s="1"/>
      <c r="V49" s="1"/>
      <c r="W49" s="1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ht="20.25" customHeight="1">
      <c r="A50" s="1"/>
      <c r="B50" s="14"/>
      <c r="C50" s="15"/>
      <c r="D50" s="15"/>
      <c r="E50" s="15"/>
      <c r="F50" s="16"/>
      <c r="G50" s="61"/>
      <c r="H50" s="1"/>
      <c r="I50" s="1"/>
      <c r="J50" s="1"/>
      <c r="K50" s="1"/>
      <c r="L50" s="1"/>
      <c r="M50" s="5"/>
      <c r="N50" s="2"/>
      <c r="O50" s="2"/>
      <c r="P50" s="2"/>
      <c r="Q50" s="2"/>
      <c r="R50" s="2"/>
      <c r="S50" s="2"/>
      <c r="T50" s="1"/>
      <c r="U50" s="1"/>
      <c r="V50" s="1"/>
      <c r="W50" s="1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ht="20.25" customHeight="1">
      <c r="A51" s="1"/>
      <c r="B51" s="62" t="s">
        <v>6</v>
      </c>
      <c r="C51" s="10"/>
      <c r="D51" s="11"/>
      <c r="E51" s="63" t="s">
        <v>7</v>
      </c>
      <c r="F51" s="63" t="s">
        <v>43</v>
      </c>
      <c r="G51" s="8"/>
      <c r="H51" s="1"/>
      <c r="I51" s="1"/>
      <c r="J51" s="1"/>
      <c r="K51" s="1"/>
      <c r="L51" s="1"/>
      <c r="M51" s="5"/>
      <c r="N51" s="2"/>
      <c r="O51" s="2"/>
      <c r="P51" s="2"/>
      <c r="Q51" s="2"/>
      <c r="R51" s="2"/>
      <c r="S51" s="2"/>
      <c r="T51" s="1"/>
      <c r="U51" s="1"/>
      <c r="V51" s="1"/>
      <c r="W51" s="1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20.25" customHeight="1">
      <c r="A52" s="1"/>
      <c r="B52" s="14"/>
      <c r="C52" s="15"/>
      <c r="D52" s="16"/>
      <c r="E52" s="64"/>
      <c r="F52" s="64"/>
      <c r="G52" s="8"/>
      <c r="H52" s="1"/>
      <c r="I52" s="1"/>
      <c r="J52" s="1"/>
      <c r="K52" s="1"/>
      <c r="L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"/>
      <c r="B53" s="65" t="s">
        <v>44</v>
      </c>
      <c r="C53" s="10"/>
      <c r="D53" s="10"/>
      <c r="E53" s="10"/>
      <c r="F53" s="11"/>
      <c r="G53" s="66"/>
      <c r="H53" s="1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1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14"/>
      <c r="C54" s="15"/>
      <c r="D54" s="15"/>
      <c r="E54" s="15"/>
      <c r="F54" s="16"/>
      <c r="G54" s="66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1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7"/>
      <c r="B55" s="67" t="s">
        <v>45</v>
      </c>
      <c r="C55" s="10"/>
      <c r="D55" s="11"/>
      <c r="E55" s="68">
        <v>1.0</v>
      </c>
      <c r="F55" s="69" t="s">
        <v>46</v>
      </c>
      <c r="G55" s="70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14"/>
      <c r="C56" s="15"/>
      <c r="D56" s="16"/>
      <c r="E56" s="64"/>
      <c r="F56" s="64"/>
      <c r="G56" s="70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67" t="s">
        <v>47</v>
      </c>
      <c r="C57" s="10"/>
      <c r="D57" s="11"/>
      <c r="E57" s="68">
        <v>1.0</v>
      </c>
      <c r="F57" s="69" t="s">
        <v>48</v>
      </c>
      <c r="G57" s="2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14"/>
      <c r="C58" s="15"/>
      <c r="D58" s="16"/>
      <c r="E58" s="64"/>
      <c r="F58" s="64"/>
      <c r="G58" s="2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71" t="s">
        <v>49</v>
      </c>
      <c r="C59" s="10"/>
      <c r="D59" s="11"/>
      <c r="E59" s="72">
        <v>1.0</v>
      </c>
      <c r="F59" s="73" t="s">
        <v>48</v>
      </c>
      <c r="G59" s="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14"/>
      <c r="C60" s="15"/>
      <c r="D60" s="16"/>
      <c r="E60" s="64"/>
      <c r="F60" s="64"/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2"/>
      <c r="C61" s="2"/>
      <c r="D61" s="3"/>
      <c r="E61" s="3"/>
      <c r="F61" s="2"/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2"/>
      <c r="C62" s="2"/>
      <c r="D62" s="3"/>
      <c r="E62" s="3"/>
      <c r="F62" s="2"/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2"/>
      <c r="C63" s="2"/>
      <c r="D63" s="3"/>
      <c r="E63" s="3"/>
      <c r="F63" s="2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74"/>
      <c r="C64" s="2"/>
      <c r="D64" s="3"/>
      <c r="E64" s="3"/>
      <c r="F64" s="2"/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74"/>
      <c r="C65" s="2"/>
      <c r="D65" s="3"/>
      <c r="E65" s="3"/>
      <c r="F65" s="2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74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74"/>
      <c r="C67" s="75"/>
      <c r="D67" s="3"/>
      <c r="E67" s="3"/>
      <c r="F67" s="2"/>
      <c r="G67" s="4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74"/>
      <c r="C68" s="2"/>
      <c r="D68" s="3"/>
      <c r="E68" s="3"/>
      <c r="F68" s="2"/>
      <c r="G68" s="4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2"/>
      <c r="C69" s="2"/>
      <c r="D69" s="3"/>
      <c r="E69" s="3"/>
      <c r="F69" s="2"/>
      <c r="G69" s="4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2"/>
      <c r="C70" s="2"/>
      <c r="D70" s="3"/>
      <c r="E70" s="3"/>
      <c r="F70" s="2"/>
      <c r="G70" s="4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4"/>
      <c r="C71" s="4"/>
      <c r="D71" s="76"/>
      <c r="E71" s="76"/>
      <c r="F71" s="4"/>
      <c r="G71" s="4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4"/>
      <c r="C72" s="4"/>
      <c r="D72" s="76"/>
      <c r="E72" s="76"/>
      <c r="F72" s="4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4"/>
      <c r="C73" s="4"/>
      <c r="D73" s="76"/>
      <c r="E73" s="76"/>
      <c r="F73" s="4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4"/>
      <c r="C74" s="4"/>
      <c r="D74" s="76"/>
      <c r="E74" s="76"/>
      <c r="F74" s="4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4"/>
      <c r="C75" s="4"/>
      <c r="D75" s="76"/>
      <c r="E75" s="76"/>
      <c r="F75" s="4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2"/>
      <c r="C76" s="2"/>
      <c r="D76" s="3"/>
      <c r="E76" s="3"/>
      <c r="F76" s="2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2"/>
      <c r="C77" s="2"/>
      <c r="D77" s="3"/>
      <c r="E77" s="3"/>
      <c r="F77" s="2"/>
      <c r="G77" s="2"/>
      <c r="H77" s="1"/>
      <c r="I77" s="1"/>
      <c r="J77" s="1"/>
      <c r="K77" s="1"/>
      <c r="L77" s="1"/>
      <c r="M77" s="5"/>
      <c r="N77" s="1"/>
      <c r="O77" s="2"/>
      <c r="P77" s="2"/>
      <c r="Q77" s="2"/>
      <c r="R77" s="2"/>
      <c r="S77" s="2"/>
      <c r="T77" s="1"/>
      <c r="U77" s="1"/>
      <c r="V77" s="1"/>
      <c r="W77" s="1"/>
      <c r="X77" s="1"/>
      <c r="Y77" s="1"/>
      <c r="Z77" s="1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2"/>
      <c r="C78" s="2"/>
      <c r="D78" s="3"/>
      <c r="E78" s="3"/>
      <c r="F78" s="2"/>
      <c r="G78" s="2"/>
      <c r="H78" s="1"/>
      <c r="I78" s="1"/>
      <c r="J78" s="1"/>
      <c r="K78" s="1"/>
      <c r="L78" s="1"/>
      <c r="M78" s="5"/>
      <c r="N78" s="1"/>
      <c r="O78" s="2"/>
      <c r="P78" s="2"/>
      <c r="Q78" s="2"/>
      <c r="R78" s="2"/>
      <c r="S78" s="2"/>
      <c r="T78" s="1"/>
      <c r="U78" s="1"/>
      <c r="V78" s="1"/>
      <c r="W78" s="1"/>
      <c r="X78" s="1"/>
      <c r="Y78" s="1"/>
      <c r="Z78" s="1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1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1"/>
      <c r="D90" s="40"/>
      <c r="E90" s="40"/>
      <c r="F90" s="1"/>
      <c r="G90" s="1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1"/>
      <c r="D91" s="40"/>
      <c r="E91" s="40"/>
      <c r="F91" s="1"/>
      <c r="G91" s="1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1"/>
      <c r="D92" s="40"/>
      <c r="E92" s="40"/>
      <c r="F92" s="1"/>
      <c r="G92" s="1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1"/>
      <c r="D93" s="40"/>
      <c r="E93" s="40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40"/>
      <c r="E94" s="40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40"/>
      <c r="E95" s="40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40"/>
      <c r="E96" s="40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40"/>
      <c r="E97" s="40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40"/>
      <c r="E98" s="40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40"/>
      <c r="E99" s="40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40"/>
      <c r="E100" s="40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40"/>
      <c r="E101" s="40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40"/>
      <c r="E102" s="40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2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ht="20.25" customHeight="1">
      <c r="A103" s="1"/>
      <c r="B103" s="2"/>
      <c r="C103" s="1"/>
      <c r="D103" s="40"/>
      <c r="E103" s="40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2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ht="20.25" customHeight="1">
      <c r="A104" s="1"/>
      <c r="B104" s="2"/>
      <c r="C104" s="1"/>
      <c r="D104" s="40"/>
      <c r="E104" s="40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ht="20.25" customHeight="1">
      <c r="A105" s="1"/>
      <c r="B105" s="2"/>
      <c r="C105" s="1"/>
      <c r="D105" s="40"/>
      <c r="E105" s="40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2"/>
      <c r="C106" s="1"/>
      <c r="D106" s="40"/>
      <c r="E106" s="40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40"/>
      <c r="E107" s="40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40"/>
      <c r="E108" s="40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40"/>
      <c r="E109" s="40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40"/>
      <c r="E110" s="40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40"/>
      <c r="E111" s="40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40"/>
      <c r="E112" s="40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40"/>
      <c r="E113" s="40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40"/>
      <c r="E114" s="40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40"/>
      <c r="E115" s="40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40"/>
      <c r="E116" s="40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40"/>
      <c r="E117" s="40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40"/>
      <c r="E118" s="40"/>
      <c r="F118" s="1"/>
      <c r="G118" s="1"/>
      <c r="H118" s="1"/>
      <c r="I118" s="1"/>
      <c r="J118" s="1"/>
      <c r="K118" s="1"/>
      <c r="L118" s="1"/>
      <c r="M118" s="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40"/>
      <c r="E119" s="40"/>
      <c r="F119" s="1"/>
      <c r="G119" s="1"/>
      <c r="H119" s="1"/>
      <c r="I119" s="1"/>
      <c r="J119" s="1"/>
      <c r="K119" s="1"/>
      <c r="L119" s="1"/>
      <c r="M119" s="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40"/>
      <c r="E120" s="40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40"/>
      <c r="E121" s="40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40"/>
      <c r="E122" s="40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40"/>
      <c r="E123" s="40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40"/>
      <c r="E124" s="40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40"/>
      <c r="E125" s="40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40"/>
      <c r="E126" s="40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40"/>
      <c r="E127" s="40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40"/>
      <c r="E128" s="40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40"/>
      <c r="E129" s="40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40"/>
      <c r="E130" s="40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40"/>
      <c r="E131" s="40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40"/>
      <c r="E132" s="40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40"/>
      <c r="E133" s="40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40"/>
      <c r="E134" s="40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40"/>
      <c r="E135" s="40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40"/>
      <c r="E136" s="40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40"/>
      <c r="E137" s="40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40"/>
      <c r="E138" s="40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40"/>
      <c r="E139" s="40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40"/>
      <c r="E140" s="40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40"/>
      <c r="E141" s="40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40"/>
      <c r="E142" s="40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40"/>
      <c r="E143" s="40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40"/>
      <c r="E144" s="40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40"/>
      <c r="E145" s="40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40"/>
      <c r="E146" s="40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40"/>
      <c r="E147" s="40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40"/>
      <c r="E148" s="40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40"/>
      <c r="E149" s="40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40"/>
      <c r="E150" s="40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40"/>
      <c r="E151" s="40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40"/>
      <c r="E152" s="40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40"/>
      <c r="E153" s="40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40"/>
      <c r="E154" s="40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77"/>
      <c r="D155" s="40"/>
      <c r="E155" s="40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77"/>
      <c r="D156" s="40"/>
      <c r="E156" s="40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77"/>
      <c r="D157" s="40"/>
      <c r="E157" s="40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77"/>
      <c r="D158" s="40"/>
      <c r="E158" s="40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77"/>
      <c r="D159" s="40"/>
      <c r="E159" s="40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77"/>
      <c r="D160" s="40"/>
      <c r="E160" s="40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77"/>
      <c r="D161" s="40"/>
      <c r="E161" s="40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77"/>
      <c r="D162" s="40"/>
      <c r="E162" s="40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77"/>
      <c r="D163" s="40"/>
      <c r="E163" s="40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77"/>
      <c r="D164" s="40"/>
      <c r="E164" s="40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50"/>
      <c r="C165" s="52"/>
      <c r="D165" s="40"/>
      <c r="E165" s="40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50"/>
      <c r="C166" s="52"/>
      <c r="D166" s="40"/>
      <c r="E166" s="40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50"/>
      <c r="C167" s="52"/>
      <c r="D167" s="40"/>
      <c r="E167" s="40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78" t="s">
        <v>50</v>
      </c>
      <c r="C168" s="79" t="s">
        <v>51</v>
      </c>
      <c r="D168" s="40"/>
      <c r="E168" s="40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78" t="s">
        <v>52</v>
      </c>
      <c r="C169" s="79" t="s">
        <v>53</v>
      </c>
      <c r="D169" s="40"/>
      <c r="E169" s="40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78" t="s">
        <v>54</v>
      </c>
      <c r="C170" s="80">
        <v>24.0</v>
      </c>
      <c r="D170" s="40"/>
      <c r="E170" s="40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78" t="s">
        <v>55</v>
      </c>
      <c r="C171" s="80">
        <v>174.5</v>
      </c>
      <c r="D171" s="40"/>
      <c r="E171" s="40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78" t="s">
        <v>56</v>
      </c>
      <c r="C172" s="80">
        <v>78.0</v>
      </c>
      <c r="D172" s="40"/>
      <c r="E172" s="40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78" t="s">
        <v>57</v>
      </c>
      <c r="C173" s="81" t="s">
        <v>58</v>
      </c>
      <c r="D173" s="40"/>
      <c r="E173" s="40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78" t="s">
        <v>59</v>
      </c>
      <c r="C174" s="81" t="s">
        <v>60</v>
      </c>
      <c r="D174" s="40"/>
      <c r="E174" s="40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78" t="s">
        <v>61</v>
      </c>
      <c r="C175" s="81" t="s">
        <v>62</v>
      </c>
      <c r="D175" s="40"/>
      <c r="E175" s="40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78" t="s">
        <v>63</v>
      </c>
      <c r="C176" s="81" t="s">
        <v>64</v>
      </c>
      <c r="D176" s="40"/>
      <c r="E176" s="40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78" t="s">
        <v>65</v>
      </c>
      <c r="C177" s="81" t="s">
        <v>66</v>
      </c>
      <c r="D177" s="40"/>
      <c r="E177" s="40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50"/>
      <c r="B178" s="78" t="s">
        <v>67</v>
      </c>
      <c r="C178" s="80" t="s">
        <v>68</v>
      </c>
      <c r="D178" s="82"/>
      <c r="E178" s="82"/>
      <c r="F178" s="50"/>
      <c r="G178" s="50"/>
      <c r="H178" s="50"/>
      <c r="I178" s="50"/>
      <c r="J178" s="50"/>
      <c r="K178" s="50"/>
      <c r="L178" s="50"/>
      <c r="M178" s="5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</row>
    <row r="179" ht="20.25" customHeight="1">
      <c r="A179" s="50"/>
      <c r="B179" s="78" t="s">
        <v>69</v>
      </c>
      <c r="C179" s="80">
        <v>0.0</v>
      </c>
      <c r="D179" s="82"/>
      <c r="E179" s="82"/>
      <c r="F179" s="50"/>
      <c r="G179" s="50"/>
      <c r="H179" s="50"/>
      <c r="I179" s="50"/>
      <c r="J179" s="50"/>
      <c r="K179" s="50"/>
      <c r="L179" s="50"/>
      <c r="M179" s="5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</row>
    <row r="180" ht="20.25" customHeight="1">
      <c r="A180" s="50"/>
      <c r="B180" s="78" t="s">
        <v>70</v>
      </c>
      <c r="C180" s="81" t="s">
        <v>71</v>
      </c>
      <c r="D180" s="82"/>
      <c r="E180" s="82"/>
      <c r="F180" s="50"/>
      <c r="G180" s="50"/>
      <c r="H180" s="50"/>
      <c r="I180" s="50"/>
      <c r="J180" s="50"/>
      <c r="K180" s="50"/>
      <c r="L180" s="50"/>
      <c r="M180" s="5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</row>
    <row r="181" ht="20.25" customHeight="1">
      <c r="A181" s="50"/>
      <c r="B181" s="78" t="s">
        <v>72</v>
      </c>
      <c r="C181" s="79" t="s">
        <v>73</v>
      </c>
      <c r="D181" s="82"/>
      <c r="E181" s="82"/>
      <c r="F181" s="50"/>
      <c r="G181" s="50"/>
      <c r="H181" s="50"/>
      <c r="I181" s="50"/>
      <c r="J181" s="50"/>
      <c r="K181" s="50"/>
      <c r="L181" s="50"/>
      <c r="M181" s="5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</row>
    <row r="182" ht="20.25" customHeight="1">
      <c r="A182" s="50"/>
      <c r="B182" s="83"/>
      <c r="C182" s="83"/>
      <c r="D182" s="82"/>
      <c r="E182" s="82"/>
      <c r="F182" s="50"/>
      <c r="G182" s="50"/>
      <c r="H182" s="50"/>
      <c r="I182" s="50"/>
      <c r="J182" s="50"/>
      <c r="K182" s="50"/>
      <c r="L182" s="50"/>
      <c r="M182" s="5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</row>
    <row r="183" ht="20.25" customHeight="1">
      <c r="A183" s="50"/>
      <c r="B183" s="83"/>
      <c r="C183" s="83"/>
      <c r="D183" s="82"/>
      <c r="E183" s="82"/>
      <c r="F183" s="50"/>
      <c r="G183" s="50"/>
      <c r="H183" s="50"/>
      <c r="I183" s="50"/>
      <c r="J183" s="50"/>
      <c r="K183" s="50"/>
      <c r="L183" s="50"/>
      <c r="M183" s="5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</row>
    <row r="184" ht="20.25" customHeight="1">
      <c r="A184" s="50"/>
      <c r="B184" s="83"/>
      <c r="C184" s="83"/>
      <c r="D184" s="82"/>
      <c r="E184" s="82"/>
      <c r="F184" s="50"/>
      <c r="G184" s="50"/>
      <c r="H184" s="50"/>
      <c r="I184" s="50"/>
      <c r="J184" s="50"/>
      <c r="K184" s="50"/>
      <c r="L184" s="50"/>
      <c r="M184" s="5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</row>
    <row r="185" ht="20.25" customHeight="1">
      <c r="A185" s="50"/>
      <c r="B185" s="83"/>
      <c r="C185" s="84"/>
      <c r="D185" s="82"/>
      <c r="E185" s="82"/>
      <c r="F185" s="50"/>
      <c r="G185" s="50"/>
      <c r="H185" s="50"/>
      <c r="I185" s="50"/>
      <c r="J185" s="50"/>
      <c r="K185" s="50"/>
      <c r="L185" s="50"/>
      <c r="M185" s="5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</row>
    <row r="186" ht="20.25" customHeight="1">
      <c r="A186" s="50"/>
      <c r="B186" s="50"/>
      <c r="C186" s="50"/>
      <c r="D186" s="82"/>
      <c r="E186" s="82"/>
      <c r="F186" s="50"/>
      <c r="G186" s="50"/>
      <c r="H186" s="50"/>
      <c r="I186" s="50"/>
      <c r="J186" s="50"/>
      <c r="K186" s="50"/>
      <c r="L186" s="50"/>
      <c r="M186" s="5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</row>
    <row r="187" ht="20.25" customHeight="1">
      <c r="A187" s="1"/>
      <c r="B187" s="50"/>
      <c r="C187" s="50"/>
      <c r="D187" s="40"/>
      <c r="E187" s="40"/>
      <c r="F187" s="1"/>
      <c r="G187" s="1"/>
      <c r="H187" s="1"/>
      <c r="I187" s="1"/>
      <c r="J187" s="1"/>
      <c r="K187" s="1"/>
      <c r="L187" s="1"/>
      <c r="M187" s="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ht="20.25" customHeight="1">
      <c r="A188" s="1"/>
      <c r="B188" s="50"/>
      <c r="C188" s="50"/>
      <c r="D188" s="40"/>
      <c r="E188" s="40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ht="20.25" customHeight="1">
      <c r="A189" s="1"/>
      <c r="B189" s="2"/>
      <c r="C189" s="77"/>
      <c r="D189" s="40"/>
      <c r="E189" s="40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ht="20.25" customHeight="1">
      <c r="A190" s="1"/>
      <c r="B190" s="2"/>
      <c r="C190" s="77"/>
      <c r="D190" s="40"/>
      <c r="E190" s="40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2"/>
      <c r="C191" s="77"/>
      <c r="D191" s="40"/>
      <c r="E191" s="40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2"/>
      <c r="C192" s="77"/>
      <c r="D192" s="40"/>
      <c r="E192" s="40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77"/>
      <c r="D193" s="40"/>
      <c r="E193" s="40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77"/>
      <c r="D194" s="40"/>
      <c r="E194" s="40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77"/>
      <c r="D195" s="40"/>
      <c r="E195" s="40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77"/>
      <c r="D196" s="40"/>
      <c r="E196" s="40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77"/>
      <c r="D197" s="40"/>
      <c r="E197" s="40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77"/>
      <c r="D198" s="40"/>
      <c r="E198" s="40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77"/>
      <c r="D199" s="40"/>
      <c r="E199" s="40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77"/>
      <c r="D200" s="40"/>
      <c r="E200" s="40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77"/>
      <c r="D201" s="40"/>
      <c r="E201" s="40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77"/>
      <c r="D202" s="40"/>
      <c r="E202" s="40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77"/>
      <c r="D203" s="40"/>
      <c r="E203" s="40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77"/>
      <c r="D204" s="40"/>
      <c r="E204" s="40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77"/>
      <c r="D205" s="40"/>
      <c r="E205" s="40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77"/>
      <c r="D206" s="40"/>
      <c r="E206" s="40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77"/>
      <c r="D207" s="40"/>
      <c r="E207" s="40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77"/>
      <c r="D208" s="40"/>
      <c r="E208" s="40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77"/>
      <c r="D209" s="40"/>
      <c r="E209" s="40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77"/>
      <c r="D210" s="40"/>
      <c r="E210" s="40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77"/>
      <c r="D211" s="40"/>
      <c r="E211" s="40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77"/>
      <c r="D212" s="40"/>
      <c r="E212" s="40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77"/>
      <c r="D213" s="40"/>
      <c r="E213" s="40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77"/>
      <c r="D214" s="40"/>
      <c r="E214" s="40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77"/>
      <c r="D215" s="40"/>
      <c r="E215" s="40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77"/>
      <c r="D216" s="40"/>
      <c r="E216" s="40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77"/>
      <c r="D217" s="40"/>
      <c r="E217" s="40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77"/>
      <c r="D218" s="40"/>
      <c r="E218" s="40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77"/>
      <c r="D219" s="40"/>
      <c r="E219" s="40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77"/>
      <c r="D220" s="40"/>
      <c r="E220" s="40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77"/>
      <c r="D221" s="40"/>
      <c r="E221" s="40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77"/>
      <c r="D222" s="40"/>
      <c r="E222" s="40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77"/>
      <c r="D223" s="40"/>
      <c r="E223" s="40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77"/>
      <c r="D224" s="40"/>
      <c r="E224" s="40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77"/>
      <c r="D225" s="40"/>
      <c r="E225" s="40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77"/>
      <c r="D226" s="40"/>
      <c r="E226" s="40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77"/>
      <c r="D227" s="40"/>
      <c r="E227" s="40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77"/>
      <c r="D228" s="40"/>
      <c r="E228" s="40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77"/>
      <c r="D229" s="40"/>
      <c r="E229" s="40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77"/>
      <c r="D230" s="40"/>
      <c r="E230" s="40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77"/>
      <c r="D231" s="40"/>
      <c r="E231" s="40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77"/>
      <c r="D232" s="40"/>
      <c r="E232" s="40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77"/>
      <c r="D233" s="40"/>
      <c r="E233" s="40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77"/>
      <c r="D234" s="40"/>
      <c r="E234" s="40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77"/>
      <c r="D235" s="40"/>
      <c r="E235" s="40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77"/>
      <c r="D236" s="40"/>
      <c r="E236" s="40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77"/>
      <c r="D237" s="40"/>
      <c r="E237" s="40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77"/>
      <c r="D238" s="40"/>
      <c r="E238" s="40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77"/>
      <c r="D239" s="40"/>
      <c r="E239" s="40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77"/>
      <c r="D240" s="40"/>
      <c r="E240" s="40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77"/>
      <c r="D241" s="40"/>
      <c r="E241" s="40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77"/>
      <c r="D242" s="40"/>
      <c r="E242" s="40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77"/>
      <c r="D243" s="40"/>
      <c r="E243" s="40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77"/>
      <c r="D244" s="40"/>
      <c r="E244" s="40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77"/>
      <c r="D245" s="40"/>
      <c r="E245" s="40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77"/>
      <c r="D246" s="40"/>
      <c r="E246" s="40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77"/>
      <c r="D247" s="40"/>
      <c r="E247" s="40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77"/>
      <c r="D248" s="40"/>
      <c r="E248" s="40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77"/>
      <c r="D249" s="40"/>
      <c r="E249" s="40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77"/>
      <c r="D250" s="40"/>
      <c r="E250" s="40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77"/>
      <c r="D251" s="40"/>
      <c r="E251" s="40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77"/>
      <c r="D252" s="40"/>
      <c r="E252" s="40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77"/>
      <c r="D253" s="40"/>
      <c r="E253" s="40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77"/>
      <c r="D254" s="40"/>
      <c r="E254" s="40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77"/>
      <c r="D255" s="40"/>
      <c r="E255" s="40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77"/>
      <c r="D256" s="40"/>
      <c r="E256" s="40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77"/>
      <c r="D257" s="40"/>
      <c r="E257" s="40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77"/>
      <c r="D258" s="40"/>
      <c r="E258" s="40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77"/>
      <c r="D259" s="40"/>
      <c r="E259" s="40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77"/>
      <c r="D260" s="40"/>
      <c r="E260" s="40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77"/>
      <c r="D261" s="40"/>
      <c r="E261" s="40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77"/>
      <c r="D262" s="40"/>
      <c r="E262" s="40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77"/>
      <c r="D263" s="40"/>
      <c r="E263" s="40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77"/>
      <c r="D264" s="40"/>
      <c r="E264" s="40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77"/>
      <c r="D265" s="40"/>
      <c r="E265" s="40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77"/>
      <c r="D266" s="40"/>
      <c r="E266" s="40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77"/>
      <c r="D267" s="40"/>
      <c r="E267" s="40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77"/>
      <c r="D268" s="40"/>
      <c r="E268" s="40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77"/>
      <c r="D269" s="40"/>
      <c r="E269" s="40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77"/>
      <c r="D270" s="40"/>
      <c r="E270" s="40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77"/>
      <c r="D271" s="40"/>
      <c r="E271" s="40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77"/>
      <c r="D272" s="40"/>
      <c r="E272" s="40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77"/>
      <c r="D273" s="40"/>
      <c r="E273" s="40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77"/>
      <c r="D274" s="40"/>
      <c r="E274" s="40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77"/>
      <c r="D275" s="40"/>
      <c r="E275" s="40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77"/>
      <c r="D276" s="40"/>
      <c r="E276" s="40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77"/>
      <c r="D277" s="40"/>
      <c r="E277" s="40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77"/>
      <c r="D278" s="40"/>
      <c r="E278" s="40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77"/>
      <c r="D279" s="40"/>
      <c r="E279" s="40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77"/>
      <c r="D280" s="40"/>
      <c r="E280" s="40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77"/>
      <c r="D281" s="40"/>
      <c r="E281" s="40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77"/>
      <c r="D282" s="40"/>
      <c r="E282" s="40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77"/>
      <c r="D283" s="40"/>
      <c r="E283" s="40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77"/>
      <c r="D284" s="40"/>
      <c r="E284" s="40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77"/>
      <c r="D285" s="40"/>
      <c r="E285" s="40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77"/>
      <c r="D286" s="40"/>
      <c r="E286" s="40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77"/>
      <c r="D287" s="40"/>
      <c r="E287" s="40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77"/>
      <c r="D288" s="40"/>
      <c r="E288" s="40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77"/>
      <c r="D289" s="40"/>
      <c r="E289" s="40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77"/>
      <c r="D290" s="40"/>
      <c r="E290" s="40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77"/>
      <c r="D291" s="40"/>
      <c r="E291" s="40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77"/>
      <c r="D292" s="40"/>
      <c r="E292" s="40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77"/>
      <c r="D293" s="40"/>
      <c r="E293" s="40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77"/>
      <c r="D294" s="40"/>
      <c r="E294" s="40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77"/>
      <c r="D295" s="40"/>
      <c r="E295" s="40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77"/>
      <c r="D296" s="40"/>
      <c r="E296" s="40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77"/>
      <c r="D297" s="40"/>
      <c r="E297" s="40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77"/>
      <c r="D298" s="40"/>
      <c r="E298" s="40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77"/>
      <c r="D299" s="40"/>
      <c r="E299" s="40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77"/>
      <c r="D300" s="40"/>
      <c r="E300" s="40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77"/>
      <c r="D301" s="40"/>
      <c r="E301" s="40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77"/>
      <c r="D302" s="40"/>
      <c r="E302" s="40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77"/>
      <c r="D303" s="40"/>
      <c r="E303" s="40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77"/>
      <c r="D304" s="40"/>
      <c r="E304" s="40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77"/>
      <c r="D305" s="40"/>
      <c r="E305" s="40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77"/>
      <c r="D306" s="40"/>
      <c r="E306" s="40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77"/>
      <c r="D307" s="40"/>
      <c r="E307" s="40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77"/>
      <c r="D308" s="40"/>
      <c r="E308" s="40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77"/>
      <c r="D309" s="40"/>
      <c r="E309" s="40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77"/>
      <c r="D310" s="40"/>
      <c r="E310" s="40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77"/>
      <c r="D311" s="40"/>
      <c r="E311" s="40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77"/>
      <c r="D312" s="40"/>
      <c r="E312" s="40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77"/>
      <c r="D313" s="40"/>
      <c r="E313" s="40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77"/>
      <c r="D314" s="40"/>
      <c r="E314" s="40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77"/>
      <c r="D315" s="40"/>
      <c r="E315" s="40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77"/>
      <c r="D316" s="40"/>
      <c r="E316" s="40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77"/>
      <c r="D317" s="40"/>
      <c r="E317" s="40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77"/>
      <c r="D318" s="40"/>
      <c r="E318" s="40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77"/>
      <c r="D319" s="40"/>
      <c r="E319" s="40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77"/>
      <c r="D320" s="40"/>
      <c r="E320" s="40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77"/>
      <c r="D321" s="40"/>
      <c r="E321" s="40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77"/>
      <c r="D322" s="40"/>
      <c r="E322" s="40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77"/>
      <c r="D323" s="40"/>
      <c r="E323" s="40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77"/>
      <c r="D324" s="40"/>
      <c r="E324" s="40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77"/>
      <c r="D325" s="40"/>
      <c r="E325" s="40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77"/>
      <c r="D326" s="40"/>
      <c r="E326" s="40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77"/>
      <c r="D327" s="40"/>
      <c r="E327" s="40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77"/>
      <c r="D328" s="40"/>
      <c r="E328" s="40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77"/>
      <c r="D329" s="40"/>
      <c r="E329" s="40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77"/>
      <c r="D330" s="40"/>
      <c r="E330" s="40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77"/>
      <c r="D331" s="40"/>
      <c r="E331" s="40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77"/>
      <c r="D332" s="40"/>
      <c r="E332" s="40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77"/>
      <c r="D333" s="40"/>
      <c r="E333" s="40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77"/>
      <c r="D334" s="40"/>
      <c r="E334" s="40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77"/>
      <c r="D335" s="40"/>
      <c r="E335" s="40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77"/>
      <c r="D336" s="40"/>
      <c r="E336" s="40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77"/>
      <c r="D337" s="40"/>
      <c r="E337" s="40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77"/>
      <c r="D338" s="40"/>
      <c r="E338" s="40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77"/>
      <c r="D339" s="40"/>
      <c r="E339" s="40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77"/>
      <c r="D340" s="40"/>
      <c r="E340" s="40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77"/>
      <c r="D341" s="40"/>
      <c r="E341" s="40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77"/>
      <c r="D342" s="40"/>
      <c r="E342" s="40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77"/>
      <c r="D343" s="40"/>
      <c r="E343" s="40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77"/>
      <c r="D344" s="40"/>
      <c r="E344" s="40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77"/>
      <c r="D345" s="40"/>
      <c r="E345" s="40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77"/>
      <c r="D346" s="40"/>
      <c r="E346" s="40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77"/>
      <c r="D347" s="40"/>
      <c r="E347" s="40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77"/>
      <c r="D348" s="40"/>
      <c r="E348" s="40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77"/>
      <c r="D349" s="40"/>
      <c r="E349" s="40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77"/>
      <c r="D350" s="40"/>
      <c r="E350" s="40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77"/>
      <c r="D351" s="40"/>
      <c r="E351" s="40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77"/>
      <c r="D352" s="40"/>
      <c r="E352" s="40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77"/>
      <c r="D353" s="40"/>
      <c r="E353" s="40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77"/>
      <c r="D354" s="40"/>
      <c r="E354" s="40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77"/>
      <c r="D355" s="40"/>
      <c r="E355" s="40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77"/>
      <c r="D356" s="40"/>
      <c r="E356" s="40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77"/>
      <c r="D357" s="40"/>
      <c r="E357" s="40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77"/>
      <c r="D358" s="40"/>
      <c r="E358" s="40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77"/>
      <c r="D359" s="40"/>
      <c r="E359" s="40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77"/>
      <c r="D360" s="40"/>
      <c r="E360" s="40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77"/>
      <c r="D361" s="40"/>
      <c r="E361" s="40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77"/>
      <c r="D362" s="40"/>
      <c r="E362" s="40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77"/>
      <c r="D363" s="40"/>
      <c r="E363" s="40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77"/>
      <c r="D364" s="40"/>
      <c r="E364" s="40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77"/>
      <c r="D365" s="40"/>
      <c r="E365" s="40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77"/>
      <c r="D366" s="40"/>
      <c r="E366" s="40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77"/>
      <c r="D367" s="40"/>
      <c r="E367" s="40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77"/>
      <c r="D368" s="40"/>
      <c r="E368" s="40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77"/>
      <c r="D369" s="40"/>
      <c r="E369" s="40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77"/>
      <c r="D370" s="40"/>
      <c r="E370" s="40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77"/>
      <c r="D371" s="40"/>
      <c r="E371" s="40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77"/>
      <c r="D372" s="40"/>
      <c r="E372" s="40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77"/>
      <c r="D373" s="40"/>
      <c r="E373" s="40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77"/>
      <c r="D374" s="40"/>
      <c r="E374" s="40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77"/>
      <c r="D375" s="40"/>
      <c r="E375" s="40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77"/>
      <c r="D376" s="40"/>
      <c r="E376" s="40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77"/>
      <c r="D377" s="40"/>
      <c r="E377" s="40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77"/>
      <c r="D378" s="40"/>
      <c r="E378" s="40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77"/>
      <c r="D379" s="40"/>
      <c r="E379" s="40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77"/>
      <c r="D380" s="40"/>
      <c r="E380" s="40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77"/>
      <c r="D381" s="40"/>
      <c r="E381" s="40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77"/>
      <c r="D382" s="40"/>
      <c r="E382" s="40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77"/>
      <c r="D383" s="40"/>
      <c r="E383" s="40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77"/>
      <c r="D384" s="40"/>
      <c r="E384" s="40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77"/>
      <c r="D385" s="40"/>
      <c r="E385" s="40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77"/>
      <c r="D386" s="40"/>
      <c r="E386" s="40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77"/>
      <c r="D387" s="40"/>
      <c r="E387" s="40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77"/>
      <c r="D388" s="40"/>
      <c r="E388" s="40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77"/>
      <c r="D389" s="40"/>
      <c r="E389" s="40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77"/>
      <c r="D390" s="40"/>
      <c r="E390" s="40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77"/>
      <c r="D391" s="40"/>
      <c r="E391" s="40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77"/>
      <c r="D392" s="40"/>
      <c r="E392" s="40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77"/>
      <c r="D393" s="40"/>
      <c r="E393" s="40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77"/>
      <c r="D394" s="40"/>
      <c r="E394" s="40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77"/>
      <c r="D395" s="40"/>
      <c r="E395" s="40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77"/>
      <c r="D396" s="40"/>
      <c r="E396" s="40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77"/>
      <c r="D397" s="40"/>
      <c r="E397" s="40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77"/>
      <c r="D398" s="40"/>
      <c r="E398" s="40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77"/>
      <c r="D399" s="40"/>
      <c r="E399" s="40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77"/>
      <c r="D400" s="40"/>
      <c r="E400" s="40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77"/>
      <c r="D401" s="40"/>
      <c r="E401" s="40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77"/>
      <c r="D402" s="40"/>
      <c r="E402" s="40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77"/>
      <c r="D403" s="40"/>
      <c r="E403" s="40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77"/>
      <c r="D404" s="40"/>
      <c r="E404" s="40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77"/>
      <c r="D405" s="40"/>
      <c r="E405" s="40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77"/>
      <c r="D406" s="40"/>
      <c r="E406" s="40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77"/>
      <c r="D407" s="40"/>
      <c r="E407" s="40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77"/>
      <c r="D408" s="40"/>
      <c r="E408" s="40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77"/>
      <c r="D409" s="40"/>
      <c r="E409" s="40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77"/>
      <c r="D410" s="40"/>
      <c r="E410" s="40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77"/>
      <c r="D411" s="40"/>
      <c r="E411" s="40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77"/>
      <c r="D412" s="40"/>
      <c r="E412" s="40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77"/>
      <c r="D413" s="40"/>
      <c r="E413" s="40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77"/>
      <c r="D414" s="40"/>
      <c r="E414" s="40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77"/>
      <c r="D415" s="40"/>
      <c r="E415" s="40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77"/>
      <c r="D416" s="40"/>
      <c r="E416" s="40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77"/>
      <c r="D417" s="40"/>
      <c r="E417" s="40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77"/>
      <c r="D418" s="40"/>
      <c r="E418" s="40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77"/>
      <c r="D419" s="40"/>
      <c r="E419" s="40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77"/>
      <c r="D420" s="40"/>
      <c r="E420" s="40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77"/>
      <c r="D421" s="40"/>
      <c r="E421" s="40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77"/>
      <c r="D422" s="40"/>
      <c r="E422" s="40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77"/>
      <c r="D423" s="40"/>
      <c r="E423" s="40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77"/>
      <c r="D424" s="40"/>
      <c r="E424" s="40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77"/>
      <c r="D425" s="40"/>
      <c r="E425" s="40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77"/>
      <c r="D426" s="40"/>
      <c r="E426" s="40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77"/>
      <c r="D427" s="40"/>
      <c r="E427" s="40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77"/>
      <c r="D428" s="40"/>
      <c r="E428" s="40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77"/>
      <c r="D429" s="40"/>
      <c r="E429" s="40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77"/>
      <c r="D430" s="40"/>
      <c r="E430" s="40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77"/>
      <c r="D431" s="40"/>
      <c r="E431" s="40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77"/>
      <c r="D432" s="40"/>
      <c r="E432" s="40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77"/>
      <c r="D433" s="40"/>
      <c r="E433" s="40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77"/>
      <c r="D434" s="40"/>
      <c r="E434" s="40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77"/>
      <c r="D435" s="40"/>
      <c r="E435" s="40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77"/>
      <c r="D436" s="40"/>
      <c r="E436" s="40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77"/>
      <c r="D437" s="40"/>
      <c r="E437" s="40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77"/>
      <c r="D438" s="40"/>
      <c r="E438" s="40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77"/>
      <c r="D439" s="40"/>
      <c r="E439" s="40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77"/>
      <c r="D440" s="40"/>
      <c r="E440" s="40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77"/>
      <c r="D441" s="40"/>
      <c r="E441" s="40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77"/>
      <c r="D442" s="40"/>
      <c r="E442" s="40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77"/>
      <c r="D443" s="40"/>
      <c r="E443" s="40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77"/>
      <c r="D444" s="40"/>
      <c r="E444" s="40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77"/>
      <c r="D445" s="40"/>
      <c r="E445" s="40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77"/>
      <c r="D446" s="40"/>
      <c r="E446" s="40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77"/>
      <c r="D447" s="40"/>
      <c r="E447" s="40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77"/>
      <c r="D448" s="40"/>
      <c r="E448" s="40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77"/>
      <c r="D449" s="40"/>
      <c r="E449" s="40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77"/>
      <c r="D450" s="40"/>
      <c r="E450" s="40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77"/>
      <c r="D451" s="40"/>
      <c r="E451" s="40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77"/>
      <c r="D452" s="40"/>
      <c r="E452" s="40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77"/>
      <c r="D453" s="40"/>
      <c r="E453" s="40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77"/>
      <c r="D454" s="40"/>
      <c r="E454" s="40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77"/>
      <c r="D455" s="40"/>
      <c r="E455" s="40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77"/>
      <c r="D456" s="40"/>
      <c r="E456" s="40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77"/>
      <c r="D457" s="40"/>
      <c r="E457" s="40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77"/>
      <c r="D458" s="40"/>
      <c r="E458" s="40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77"/>
      <c r="D459" s="40"/>
      <c r="E459" s="40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77"/>
      <c r="D460" s="40"/>
      <c r="E460" s="40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77"/>
      <c r="D461" s="40"/>
      <c r="E461" s="40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77"/>
      <c r="D462" s="40"/>
      <c r="E462" s="40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77"/>
      <c r="D463" s="40"/>
      <c r="E463" s="40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77"/>
      <c r="D464" s="40"/>
      <c r="E464" s="40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77"/>
      <c r="D465" s="40"/>
      <c r="E465" s="40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77"/>
      <c r="D466" s="40"/>
      <c r="E466" s="40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77"/>
      <c r="D467" s="40"/>
      <c r="E467" s="40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77"/>
      <c r="D468" s="40"/>
      <c r="E468" s="40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77"/>
      <c r="D469" s="40"/>
      <c r="E469" s="40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77"/>
      <c r="D470" s="40"/>
      <c r="E470" s="40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77"/>
      <c r="D471" s="40"/>
      <c r="E471" s="40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77"/>
      <c r="D472" s="40"/>
      <c r="E472" s="40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77"/>
      <c r="D473" s="40"/>
      <c r="E473" s="40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77"/>
      <c r="D474" s="40"/>
      <c r="E474" s="40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77"/>
      <c r="D475" s="40"/>
      <c r="E475" s="40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77"/>
      <c r="D476" s="40"/>
      <c r="E476" s="40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77"/>
      <c r="D477" s="40"/>
      <c r="E477" s="40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77"/>
      <c r="D478" s="40"/>
      <c r="E478" s="40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77"/>
      <c r="D479" s="40"/>
      <c r="E479" s="40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77"/>
      <c r="D480" s="40"/>
      <c r="E480" s="40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77"/>
      <c r="D481" s="40"/>
      <c r="E481" s="40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77"/>
      <c r="D482" s="40"/>
      <c r="E482" s="40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77"/>
      <c r="D483" s="40"/>
      <c r="E483" s="40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77"/>
      <c r="D484" s="40"/>
      <c r="E484" s="40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77"/>
      <c r="D485" s="40"/>
      <c r="E485" s="40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77"/>
      <c r="D486" s="40"/>
      <c r="E486" s="40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77"/>
      <c r="D487" s="40"/>
      <c r="E487" s="40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77"/>
      <c r="D488" s="40"/>
      <c r="E488" s="40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77"/>
      <c r="D489" s="40"/>
      <c r="E489" s="40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77"/>
      <c r="D490" s="40"/>
      <c r="E490" s="40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77"/>
      <c r="D491" s="40"/>
      <c r="E491" s="40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77"/>
      <c r="D492" s="40"/>
      <c r="E492" s="40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77"/>
      <c r="D493" s="40"/>
      <c r="E493" s="40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77"/>
      <c r="D494" s="40"/>
      <c r="E494" s="40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77"/>
      <c r="D495" s="40"/>
      <c r="E495" s="40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77"/>
      <c r="D496" s="40"/>
      <c r="E496" s="40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77"/>
      <c r="D497" s="40"/>
      <c r="E497" s="40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77"/>
      <c r="D498" s="40"/>
      <c r="E498" s="40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77"/>
      <c r="D499" s="40"/>
      <c r="E499" s="40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77"/>
      <c r="D500" s="40"/>
      <c r="E500" s="40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77"/>
      <c r="D501" s="40"/>
      <c r="E501" s="40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77"/>
      <c r="D502" s="40"/>
      <c r="E502" s="40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77"/>
      <c r="D503" s="40"/>
      <c r="E503" s="40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77"/>
      <c r="D504" s="40"/>
      <c r="E504" s="40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77"/>
      <c r="D505" s="40"/>
      <c r="E505" s="40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77"/>
      <c r="D506" s="40"/>
      <c r="E506" s="40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77"/>
      <c r="D507" s="40"/>
      <c r="E507" s="40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77"/>
      <c r="D508" s="40"/>
      <c r="E508" s="40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77"/>
      <c r="D509" s="40"/>
      <c r="E509" s="40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77"/>
      <c r="D510" s="40"/>
      <c r="E510" s="40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77"/>
      <c r="D511" s="40"/>
      <c r="E511" s="40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77"/>
      <c r="D512" s="40"/>
      <c r="E512" s="40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77"/>
      <c r="D513" s="40"/>
      <c r="E513" s="40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77"/>
      <c r="D514" s="40"/>
      <c r="E514" s="40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77"/>
      <c r="D515" s="40"/>
      <c r="E515" s="40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77"/>
      <c r="D516" s="40"/>
      <c r="E516" s="40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77"/>
      <c r="D517" s="40"/>
      <c r="E517" s="40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77"/>
      <c r="D518" s="40"/>
      <c r="E518" s="40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77"/>
      <c r="D519" s="40"/>
      <c r="E519" s="40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77"/>
      <c r="D520" s="40"/>
      <c r="E520" s="40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77"/>
      <c r="D521" s="40"/>
      <c r="E521" s="40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77"/>
      <c r="D522" s="40"/>
      <c r="E522" s="40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77"/>
      <c r="D523" s="40"/>
      <c r="E523" s="40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77"/>
      <c r="D524" s="40"/>
      <c r="E524" s="40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77"/>
      <c r="D525" s="40"/>
      <c r="E525" s="40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77"/>
      <c r="D526" s="40"/>
      <c r="E526" s="40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77"/>
      <c r="D527" s="40"/>
      <c r="E527" s="40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77"/>
      <c r="D528" s="40"/>
      <c r="E528" s="40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77"/>
      <c r="D529" s="40"/>
      <c r="E529" s="40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77"/>
      <c r="D530" s="40"/>
      <c r="E530" s="40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77"/>
      <c r="D531" s="40"/>
      <c r="E531" s="40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77"/>
      <c r="D532" s="40"/>
      <c r="E532" s="40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77"/>
      <c r="D533" s="40"/>
      <c r="E533" s="40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77"/>
      <c r="D534" s="40"/>
      <c r="E534" s="40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77"/>
      <c r="D535" s="40"/>
      <c r="E535" s="40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77"/>
      <c r="D536" s="40"/>
      <c r="E536" s="40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77"/>
      <c r="D537" s="40"/>
      <c r="E537" s="40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77"/>
      <c r="D538" s="40"/>
      <c r="E538" s="40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77"/>
      <c r="D539" s="40"/>
      <c r="E539" s="40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77"/>
      <c r="D540" s="40"/>
      <c r="E540" s="40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77"/>
      <c r="D541" s="40"/>
      <c r="E541" s="40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77"/>
      <c r="D542" s="40"/>
      <c r="E542" s="40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77"/>
      <c r="D543" s="40"/>
      <c r="E543" s="40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77"/>
      <c r="D544" s="40"/>
      <c r="E544" s="40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77"/>
      <c r="D545" s="40"/>
      <c r="E545" s="40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77"/>
      <c r="D546" s="40"/>
      <c r="E546" s="40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77"/>
      <c r="D547" s="40"/>
      <c r="E547" s="40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77"/>
      <c r="D548" s="40"/>
      <c r="E548" s="40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77"/>
      <c r="D549" s="40"/>
      <c r="E549" s="40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77"/>
      <c r="D550" s="40"/>
      <c r="E550" s="40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77"/>
      <c r="D551" s="40"/>
      <c r="E551" s="40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77"/>
      <c r="D552" s="40"/>
      <c r="E552" s="40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77"/>
      <c r="D553" s="40"/>
      <c r="E553" s="40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77"/>
      <c r="D554" s="40"/>
      <c r="E554" s="40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77"/>
      <c r="D555" s="40"/>
      <c r="E555" s="40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77"/>
      <c r="D556" s="40"/>
      <c r="E556" s="40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77"/>
      <c r="D557" s="40"/>
      <c r="E557" s="40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77"/>
      <c r="D558" s="40"/>
      <c r="E558" s="40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77"/>
      <c r="D559" s="40"/>
      <c r="E559" s="40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77"/>
      <c r="D560" s="40"/>
      <c r="E560" s="40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77"/>
      <c r="D561" s="40"/>
      <c r="E561" s="40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77"/>
      <c r="D562" s="40"/>
      <c r="E562" s="40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77"/>
      <c r="D563" s="40"/>
      <c r="E563" s="40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77"/>
      <c r="D564" s="40"/>
      <c r="E564" s="40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77"/>
      <c r="D565" s="40"/>
      <c r="E565" s="40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77"/>
      <c r="D566" s="40"/>
      <c r="E566" s="40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77"/>
      <c r="D567" s="40"/>
      <c r="E567" s="40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77"/>
      <c r="D568" s="40"/>
      <c r="E568" s="40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77"/>
      <c r="D569" s="40"/>
      <c r="E569" s="40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77"/>
      <c r="D570" s="40"/>
      <c r="E570" s="40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77"/>
      <c r="D571" s="40"/>
      <c r="E571" s="40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77"/>
      <c r="D572" s="40"/>
      <c r="E572" s="40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77"/>
      <c r="D573" s="40"/>
      <c r="E573" s="40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77"/>
      <c r="D574" s="40"/>
      <c r="E574" s="40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77"/>
      <c r="D575" s="40"/>
      <c r="E575" s="40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77"/>
      <c r="D576" s="40"/>
      <c r="E576" s="40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77"/>
      <c r="D577" s="40"/>
      <c r="E577" s="40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77"/>
      <c r="D578" s="40"/>
      <c r="E578" s="40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77"/>
      <c r="D579" s="40"/>
      <c r="E579" s="40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77"/>
      <c r="D580" s="40"/>
      <c r="E580" s="40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77"/>
      <c r="D581" s="40"/>
      <c r="E581" s="40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77"/>
      <c r="D582" s="40"/>
      <c r="E582" s="40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77"/>
      <c r="D583" s="40"/>
      <c r="E583" s="40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77"/>
      <c r="D584" s="40"/>
      <c r="E584" s="40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77"/>
      <c r="D585" s="40"/>
      <c r="E585" s="40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77"/>
      <c r="D586" s="40"/>
      <c r="E586" s="40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77"/>
      <c r="D587" s="40"/>
      <c r="E587" s="40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77"/>
      <c r="D588" s="40"/>
      <c r="E588" s="40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77"/>
      <c r="D589" s="40"/>
      <c r="E589" s="40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77"/>
      <c r="D590" s="40"/>
      <c r="E590" s="40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77"/>
      <c r="D591" s="40"/>
      <c r="E591" s="40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77"/>
      <c r="D592" s="40"/>
      <c r="E592" s="40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77"/>
      <c r="D593" s="40"/>
      <c r="E593" s="40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77"/>
      <c r="D594" s="40"/>
      <c r="E594" s="40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77"/>
      <c r="D595" s="40"/>
      <c r="E595" s="40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77"/>
      <c r="D596" s="40"/>
      <c r="E596" s="40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77"/>
      <c r="D597" s="40"/>
      <c r="E597" s="40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77"/>
      <c r="D598" s="40"/>
      <c r="E598" s="40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77"/>
      <c r="D599" s="40"/>
      <c r="E599" s="40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77"/>
      <c r="D600" s="40"/>
      <c r="E600" s="40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77"/>
      <c r="D601" s="40"/>
      <c r="E601" s="40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77"/>
      <c r="D602" s="40"/>
      <c r="E602" s="40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77"/>
      <c r="D603" s="40"/>
      <c r="E603" s="40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77"/>
      <c r="D604" s="40"/>
      <c r="E604" s="40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77"/>
      <c r="D605" s="40"/>
      <c r="E605" s="40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77"/>
      <c r="D606" s="40"/>
      <c r="E606" s="40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77"/>
      <c r="D607" s="40"/>
      <c r="E607" s="40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77"/>
      <c r="D608" s="40"/>
      <c r="E608" s="40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77"/>
      <c r="D609" s="40"/>
      <c r="E609" s="40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77"/>
      <c r="D610" s="40"/>
      <c r="E610" s="40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77"/>
      <c r="D611" s="40"/>
      <c r="E611" s="40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77"/>
      <c r="D612" s="40"/>
      <c r="E612" s="40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77"/>
      <c r="D613" s="40"/>
      <c r="E613" s="40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77"/>
      <c r="D614" s="40"/>
      <c r="E614" s="40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77"/>
      <c r="D615" s="40"/>
      <c r="E615" s="40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77"/>
      <c r="D616" s="40"/>
      <c r="E616" s="40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77"/>
      <c r="D617" s="40"/>
      <c r="E617" s="40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77"/>
      <c r="D618" s="40"/>
      <c r="E618" s="40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77"/>
      <c r="D619" s="40"/>
      <c r="E619" s="40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77"/>
      <c r="D620" s="40"/>
      <c r="E620" s="40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77"/>
      <c r="D621" s="40"/>
      <c r="E621" s="40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77"/>
      <c r="D622" s="40"/>
      <c r="E622" s="40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77"/>
      <c r="D623" s="40"/>
      <c r="E623" s="40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77"/>
      <c r="D624" s="40"/>
      <c r="E624" s="40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77"/>
      <c r="D625" s="40"/>
      <c r="E625" s="40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77"/>
      <c r="D626" s="40"/>
      <c r="E626" s="40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77"/>
      <c r="D627" s="40"/>
      <c r="E627" s="40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77"/>
      <c r="D628" s="40"/>
      <c r="E628" s="40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77"/>
      <c r="D629" s="40"/>
      <c r="E629" s="40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77"/>
      <c r="D630" s="40"/>
      <c r="E630" s="40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77"/>
      <c r="D631" s="40"/>
      <c r="E631" s="40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77"/>
      <c r="D632" s="40"/>
      <c r="E632" s="40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77"/>
      <c r="D633" s="40"/>
      <c r="E633" s="40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77"/>
      <c r="D634" s="40"/>
      <c r="E634" s="40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77"/>
      <c r="D635" s="40"/>
      <c r="E635" s="40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77"/>
      <c r="D636" s="40"/>
      <c r="E636" s="40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77"/>
      <c r="D637" s="40"/>
      <c r="E637" s="40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77"/>
      <c r="D638" s="40"/>
      <c r="E638" s="40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77"/>
      <c r="D639" s="40"/>
      <c r="E639" s="40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77"/>
      <c r="D640" s="40"/>
      <c r="E640" s="40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77"/>
      <c r="D641" s="40"/>
      <c r="E641" s="40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77"/>
      <c r="D642" s="40"/>
      <c r="E642" s="40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77"/>
      <c r="D643" s="40"/>
      <c r="E643" s="40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77"/>
      <c r="D644" s="40"/>
      <c r="E644" s="40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77"/>
      <c r="D645" s="40"/>
      <c r="E645" s="40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77"/>
      <c r="D646" s="40"/>
      <c r="E646" s="40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77"/>
      <c r="D647" s="40"/>
      <c r="E647" s="40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77"/>
      <c r="D648" s="40"/>
      <c r="E648" s="40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77"/>
      <c r="D649" s="40"/>
      <c r="E649" s="40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77"/>
      <c r="D650" s="40"/>
      <c r="E650" s="40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77"/>
      <c r="D651" s="40"/>
      <c r="E651" s="40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77"/>
      <c r="D652" s="40"/>
      <c r="E652" s="40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77"/>
      <c r="D653" s="40"/>
      <c r="E653" s="40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77"/>
      <c r="D654" s="40"/>
      <c r="E654" s="40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77"/>
      <c r="D655" s="40"/>
      <c r="E655" s="40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77"/>
      <c r="D656" s="40"/>
      <c r="E656" s="40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77"/>
      <c r="D657" s="40"/>
      <c r="E657" s="40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77"/>
      <c r="D658" s="40"/>
      <c r="E658" s="40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77"/>
      <c r="D659" s="40"/>
      <c r="E659" s="40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77"/>
      <c r="D660" s="40"/>
      <c r="E660" s="40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77"/>
      <c r="D661" s="40"/>
      <c r="E661" s="40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77"/>
      <c r="D662" s="40"/>
      <c r="E662" s="40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77"/>
      <c r="D663" s="40"/>
      <c r="E663" s="40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77"/>
      <c r="D664" s="40"/>
      <c r="E664" s="40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77"/>
      <c r="D665" s="40"/>
      <c r="E665" s="40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77"/>
      <c r="D666" s="40"/>
      <c r="E666" s="40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77"/>
      <c r="D667" s="40"/>
      <c r="E667" s="40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77"/>
      <c r="D668" s="40"/>
      <c r="E668" s="40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77"/>
      <c r="D669" s="40"/>
      <c r="E669" s="40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77"/>
      <c r="D670" s="40"/>
      <c r="E670" s="40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77"/>
      <c r="D671" s="40"/>
      <c r="E671" s="40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77"/>
      <c r="D672" s="40"/>
      <c r="E672" s="40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77"/>
      <c r="D673" s="40"/>
      <c r="E673" s="40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77"/>
      <c r="D674" s="40"/>
      <c r="E674" s="40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77"/>
      <c r="D675" s="40"/>
      <c r="E675" s="40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77"/>
      <c r="D676" s="40"/>
      <c r="E676" s="40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77"/>
      <c r="D677" s="40"/>
      <c r="E677" s="40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77"/>
      <c r="D678" s="40"/>
      <c r="E678" s="40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77"/>
      <c r="D679" s="40"/>
      <c r="E679" s="40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77"/>
      <c r="D680" s="40"/>
      <c r="E680" s="40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77"/>
      <c r="D681" s="40"/>
      <c r="E681" s="40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77"/>
      <c r="D682" s="40"/>
      <c r="E682" s="40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77"/>
      <c r="D683" s="40"/>
      <c r="E683" s="40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77"/>
      <c r="D684" s="40"/>
      <c r="E684" s="40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77"/>
      <c r="D685" s="40"/>
      <c r="E685" s="40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77"/>
      <c r="D686" s="40"/>
      <c r="E686" s="40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77"/>
      <c r="D687" s="40"/>
      <c r="E687" s="40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77"/>
      <c r="D688" s="40"/>
      <c r="E688" s="40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77"/>
      <c r="D689" s="40"/>
      <c r="E689" s="40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77"/>
      <c r="D690" s="40"/>
      <c r="E690" s="40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77"/>
      <c r="D691" s="40"/>
      <c r="E691" s="40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77"/>
      <c r="D692" s="40"/>
      <c r="E692" s="40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77"/>
      <c r="D693" s="40"/>
      <c r="E693" s="40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77"/>
      <c r="D694" s="40"/>
      <c r="E694" s="40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77"/>
      <c r="D695" s="40"/>
      <c r="E695" s="40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77"/>
      <c r="D696" s="40"/>
      <c r="E696" s="40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77"/>
      <c r="D697" s="40"/>
      <c r="E697" s="40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77"/>
      <c r="D698" s="40"/>
      <c r="E698" s="40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77"/>
      <c r="D699" s="40"/>
      <c r="E699" s="40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77"/>
      <c r="D700" s="40"/>
      <c r="E700" s="40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77"/>
      <c r="D701" s="40"/>
      <c r="E701" s="40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77"/>
      <c r="D702" s="40"/>
      <c r="E702" s="40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77"/>
      <c r="D703" s="40"/>
      <c r="E703" s="40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77"/>
      <c r="D704" s="40"/>
      <c r="E704" s="40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77"/>
      <c r="D705" s="40"/>
      <c r="E705" s="40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77"/>
      <c r="D706" s="40"/>
      <c r="E706" s="40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77"/>
      <c r="D707" s="40"/>
      <c r="E707" s="40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77"/>
      <c r="D708" s="40"/>
      <c r="E708" s="40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77"/>
      <c r="D709" s="40"/>
      <c r="E709" s="40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77"/>
      <c r="D710" s="40"/>
      <c r="E710" s="40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77"/>
      <c r="D711" s="40"/>
      <c r="E711" s="40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77"/>
      <c r="D712" s="40"/>
      <c r="E712" s="40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77"/>
      <c r="D713" s="40"/>
      <c r="E713" s="40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77"/>
      <c r="D714" s="40"/>
      <c r="E714" s="40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77"/>
      <c r="D715" s="40"/>
      <c r="E715" s="40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77"/>
      <c r="D716" s="40"/>
      <c r="E716" s="40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77"/>
      <c r="D717" s="40"/>
      <c r="E717" s="40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77"/>
      <c r="D718" s="40"/>
      <c r="E718" s="40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77"/>
      <c r="D719" s="40"/>
      <c r="E719" s="40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77"/>
      <c r="D720" s="40"/>
      <c r="E720" s="40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77"/>
      <c r="D721" s="40"/>
      <c r="E721" s="40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77"/>
      <c r="D722" s="40"/>
      <c r="E722" s="40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77"/>
      <c r="D723" s="40"/>
      <c r="E723" s="40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77"/>
      <c r="D724" s="40"/>
      <c r="E724" s="40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77"/>
      <c r="D725" s="40"/>
      <c r="E725" s="40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77"/>
      <c r="D726" s="40"/>
      <c r="E726" s="40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77"/>
      <c r="D727" s="40"/>
      <c r="E727" s="40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77"/>
      <c r="D728" s="40"/>
      <c r="E728" s="40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77"/>
      <c r="D729" s="40"/>
      <c r="E729" s="40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77"/>
      <c r="D730" s="40"/>
      <c r="E730" s="40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77"/>
      <c r="D731" s="40"/>
      <c r="E731" s="40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77"/>
      <c r="D732" s="40"/>
      <c r="E732" s="40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77"/>
      <c r="D733" s="40"/>
      <c r="E733" s="40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77"/>
      <c r="D734" s="40"/>
      <c r="E734" s="40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77"/>
      <c r="D735" s="40"/>
      <c r="E735" s="40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77"/>
      <c r="D736" s="40"/>
      <c r="E736" s="40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77"/>
      <c r="D737" s="40"/>
      <c r="E737" s="40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77"/>
      <c r="D738" s="40"/>
      <c r="E738" s="40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77"/>
      <c r="D739" s="40"/>
      <c r="E739" s="40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77"/>
      <c r="D740" s="40"/>
      <c r="E740" s="40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77"/>
      <c r="D741" s="40"/>
      <c r="E741" s="40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77"/>
      <c r="D742" s="40"/>
      <c r="E742" s="40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77"/>
      <c r="D743" s="40"/>
      <c r="E743" s="40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77"/>
      <c r="D744" s="40"/>
      <c r="E744" s="40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77"/>
      <c r="D745" s="40"/>
      <c r="E745" s="40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77"/>
      <c r="D746" s="40"/>
      <c r="E746" s="40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77"/>
      <c r="D747" s="40"/>
      <c r="E747" s="40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77"/>
      <c r="D748" s="40"/>
      <c r="E748" s="40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77"/>
      <c r="D749" s="40"/>
      <c r="E749" s="40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77"/>
      <c r="D750" s="40"/>
      <c r="E750" s="40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77"/>
      <c r="D751" s="40"/>
      <c r="E751" s="40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77"/>
      <c r="D752" s="40"/>
      <c r="E752" s="40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77"/>
      <c r="D753" s="40"/>
      <c r="E753" s="40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77"/>
      <c r="D754" s="40"/>
      <c r="E754" s="40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77"/>
      <c r="D755" s="40"/>
      <c r="E755" s="40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77"/>
      <c r="D756" s="40"/>
      <c r="E756" s="40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77"/>
      <c r="D757" s="40"/>
      <c r="E757" s="40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77"/>
      <c r="D758" s="40"/>
      <c r="E758" s="40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77"/>
      <c r="D759" s="40"/>
      <c r="E759" s="40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77"/>
      <c r="D760" s="40"/>
      <c r="E760" s="40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77"/>
      <c r="D761" s="40"/>
      <c r="E761" s="40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77"/>
      <c r="D762" s="40"/>
      <c r="E762" s="40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77"/>
      <c r="D763" s="40"/>
      <c r="E763" s="40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77"/>
      <c r="D764" s="40"/>
      <c r="E764" s="40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77"/>
      <c r="D765" s="40"/>
      <c r="E765" s="40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77"/>
      <c r="D766" s="40"/>
      <c r="E766" s="40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77"/>
      <c r="D767" s="40"/>
      <c r="E767" s="40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77"/>
      <c r="D768" s="40"/>
      <c r="E768" s="40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77"/>
      <c r="D769" s="40"/>
      <c r="E769" s="40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77"/>
      <c r="D770" s="40"/>
      <c r="E770" s="40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77"/>
      <c r="D771" s="40"/>
      <c r="E771" s="40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77"/>
      <c r="D772" s="40"/>
      <c r="E772" s="40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77"/>
      <c r="D773" s="40"/>
      <c r="E773" s="40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77"/>
      <c r="D774" s="40"/>
      <c r="E774" s="40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77"/>
      <c r="D775" s="40"/>
      <c r="E775" s="40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77"/>
      <c r="D776" s="40"/>
      <c r="E776" s="40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77"/>
      <c r="D777" s="40"/>
      <c r="E777" s="40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77"/>
      <c r="D778" s="40"/>
      <c r="E778" s="40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77"/>
      <c r="D779" s="40"/>
      <c r="E779" s="40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77"/>
      <c r="D780" s="40"/>
      <c r="E780" s="40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77"/>
      <c r="D781" s="40"/>
      <c r="E781" s="40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77"/>
      <c r="D782" s="40"/>
      <c r="E782" s="40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77"/>
      <c r="D783" s="40"/>
      <c r="E783" s="40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77"/>
      <c r="D784" s="40"/>
      <c r="E784" s="40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77"/>
      <c r="D785" s="40"/>
      <c r="E785" s="40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77"/>
      <c r="D786" s="40"/>
      <c r="E786" s="40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77"/>
      <c r="D787" s="40"/>
      <c r="E787" s="40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77"/>
      <c r="D788" s="40"/>
      <c r="E788" s="40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77"/>
      <c r="D789" s="40"/>
      <c r="E789" s="40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77"/>
      <c r="D790" s="40"/>
      <c r="E790" s="40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77"/>
      <c r="D791" s="40"/>
      <c r="E791" s="40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77"/>
      <c r="D792" s="40"/>
      <c r="E792" s="40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77"/>
      <c r="D793" s="40"/>
      <c r="E793" s="40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77"/>
      <c r="D794" s="40"/>
      <c r="E794" s="40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77"/>
      <c r="D795" s="40"/>
      <c r="E795" s="40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77"/>
      <c r="D796" s="40"/>
      <c r="E796" s="40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77"/>
      <c r="D797" s="40"/>
      <c r="E797" s="40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77"/>
      <c r="D798" s="40"/>
      <c r="E798" s="40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77"/>
      <c r="D799" s="40"/>
      <c r="E799" s="40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77"/>
      <c r="D800" s="40"/>
      <c r="E800" s="40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77"/>
      <c r="D801" s="40"/>
      <c r="E801" s="40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77"/>
      <c r="D802" s="40"/>
      <c r="E802" s="40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77"/>
      <c r="D803" s="40"/>
      <c r="E803" s="40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77"/>
      <c r="D804" s="40"/>
      <c r="E804" s="40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77"/>
      <c r="D805" s="40"/>
      <c r="E805" s="40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77"/>
      <c r="D806" s="40"/>
      <c r="E806" s="40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77"/>
      <c r="D807" s="40"/>
      <c r="E807" s="40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77"/>
      <c r="D808" s="40"/>
      <c r="E808" s="40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77"/>
      <c r="D809" s="40"/>
      <c r="E809" s="40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77"/>
      <c r="D810" s="40"/>
      <c r="E810" s="40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77"/>
      <c r="D811" s="40"/>
      <c r="E811" s="40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77"/>
      <c r="D812" s="40"/>
      <c r="E812" s="40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77"/>
      <c r="D813" s="40"/>
      <c r="E813" s="40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77"/>
      <c r="D814" s="40"/>
      <c r="E814" s="40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77"/>
      <c r="D815" s="40"/>
      <c r="E815" s="40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77"/>
      <c r="D816" s="40"/>
      <c r="E816" s="40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77"/>
      <c r="D817" s="40"/>
      <c r="E817" s="40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77"/>
      <c r="D818" s="40"/>
      <c r="E818" s="40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77"/>
      <c r="D819" s="40"/>
      <c r="E819" s="40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77"/>
      <c r="D820" s="40"/>
      <c r="E820" s="40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77"/>
      <c r="D821" s="40"/>
      <c r="E821" s="40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77"/>
      <c r="D822" s="40"/>
      <c r="E822" s="40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77"/>
      <c r="D823" s="40"/>
      <c r="E823" s="40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77"/>
      <c r="D824" s="40"/>
      <c r="E824" s="40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77"/>
      <c r="D825" s="40"/>
      <c r="E825" s="40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77"/>
      <c r="D826" s="40"/>
      <c r="E826" s="40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77"/>
      <c r="D827" s="40"/>
      <c r="E827" s="40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77"/>
      <c r="D828" s="40"/>
      <c r="E828" s="40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77"/>
      <c r="D829" s="40"/>
      <c r="E829" s="40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77"/>
      <c r="D830" s="40"/>
      <c r="E830" s="40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77"/>
      <c r="D831" s="40"/>
      <c r="E831" s="40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77"/>
      <c r="D832" s="40"/>
      <c r="E832" s="40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77"/>
      <c r="D833" s="40"/>
      <c r="E833" s="40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77"/>
      <c r="D834" s="40"/>
      <c r="E834" s="40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77"/>
      <c r="D835" s="40"/>
      <c r="E835" s="40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77"/>
      <c r="D836" s="40"/>
      <c r="E836" s="40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77"/>
      <c r="D837" s="40"/>
      <c r="E837" s="40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77"/>
      <c r="D838" s="40"/>
      <c r="E838" s="40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77"/>
      <c r="D839" s="40"/>
      <c r="E839" s="40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77"/>
      <c r="D840" s="40"/>
      <c r="E840" s="40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77"/>
      <c r="D841" s="40"/>
      <c r="E841" s="40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77"/>
      <c r="D842" s="40"/>
      <c r="E842" s="40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77"/>
      <c r="D843" s="40"/>
      <c r="E843" s="40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77"/>
      <c r="D844" s="40"/>
      <c r="E844" s="40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77"/>
      <c r="D845" s="40"/>
      <c r="E845" s="40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77"/>
      <c r="D846" s="40"/>
      <c r="E846" s="40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77"/>
      <c r="D847" s="40"/>
      <c r="E847" s="40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77"/>
      <c r="D848" s="40"/>
      <c r="E848" s="40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77"/>
      <c r="D849" s="40"/>
      <c r="E849" s="40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77"/>
      <c r="D850" s="40"/>
      <c r="E850" s="40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77"/>
      <c r="D851" s="40"/>
      <c r="E851" s="40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77"/>
      <c r="D852" s="40"/>
      <c r="E852" s="40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77"/>
      <c r="D853" s="40"/>
      <c r="E853" s="40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77"/>
      <c r="D854" s="40"/>
      <c r="E854" s="40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77"/>
      <c r="D855" s="40"/>
      <c r="E855" s="40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77"/>
      <c r="D856" s="40"/>
      <c r="E856" s="40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77"/>
      <c r="D857" s="40"/>
      <c r="E857" s="40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77"/>
      <c r="D858" s="40"/>
      <c r="E858" s="40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77"/>
      <c r="D859" s="40"/>
      <c r="E859" s="40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77"/>
      <c r="D860" s="40"/>
      <c r="E860" s="40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77"/>
      <c r="D861" s="40"/>
      <c r="E861" s="40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77"/>
      <c r="D862" s="40"/>
      <c r="E862" s="40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77"/>
      <c r="D863" s="40"/>
      <c r="E863" s="40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77"/>
      <c r="D864" s="40"/>
      <c r="E864" s="40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77"/>
      <c r="D865" s="40"/>
      <c r="E865" s="40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77"/>
      <c r="D866" s="40"/>
      <c r="E866" s="40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77"/>
      <c r="D867" s="40"/>
      <c r="E867" s="40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77"/>
      <c r="D868" s="40"/>
      <c r="E868" s="40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77"/>
      <c r="D869" s="40"/>
      <c r="E869" s="40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77"/>
      <c r="D870" s="40"/>
      <c r="E870" s="40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77"/>
      <c r="D871" s="40"/>
      <c r="E871" s="40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77"/>
      <c r="D872" s="40"/>
      <c r="E872" s="40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77"/>
      <c r="D873" s="40"/>
      <c r="E873" s="40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77"/>
      <c r="D874" s="40"/>
      <c r="E874" s="40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77"/>
      <c r="D875" s="40"/>
      <c r="E875" s="40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77"/>
      <c r="D876" s="40"/>
      <c r="E876" s="40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77"/>
      <c r="D877" s="40"/>
      <c r="E877" s="40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77"/>
      <c r="D878" s="40"/>
      <c r="E878" s="40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77"/>
      <c r="D879" s="40"/>
      <c r="E879" s="40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77"/>
      <c r="D880" s="40"/>
      <c r="E880" s="40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77"/>
      <c r="D881" s="40"/>
      <c r="E881" s="40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77"/>
      <c r="D882" s="40"/>
      <c r="E882" s="40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77"/>
      <c r="D883" s="40"/>
      <c r="E883" s="40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77"/>
      <c r="D884" s="40"/>
      <c r="E884" s="40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77"/>
      <c r="D885" s="40"/>
      <c r="E885" s="40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77"/>
      <c r="D886" s="40"/>
      <c r="E886" s="40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77"/>
      <c r="D887" s="40"/>
      <c r="E887" s="40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77"/>
      <c r="D888" s="40"/>
      <c r="E888" s="40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77"/>
      <c r="D889" s="40"/>
      <c r="E889" s="40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77"/>
      <c r="D890" s="40"/>
      <c r="E890" s="40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77"/>
      <c r="D891" s="40"/>
      <c r="E891" s="40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77"/>
      <c r="D892" s="40"/>
      <c r="E892" s="40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77"/>
      <c r="D893" s="40"/>
      <c r="E893" s="40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77"/>
      <c r="D894" s="40"/>
      <c r="E894" s="40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77"/>
      <c r="D895" s="40"/>
      <c r="E895" s="40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77"/>
      <c r="D896" s="40"/>
      <c r="E896" s="40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77"/>
      <c r="D897" s="40"/>
      <c r="E897" s="40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77"/>
      <c r="D898" s="40"/>
      <c r="E898" s="40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77"/>
      <c r="D899" s="40"/>
      <c r="E899" s="40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77"/>
      <c r="D900" s="40"/>
      <c r="E900" s="40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77"/>
      <c r="D901" s="40"/>
      <c r="E901" s="40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77"/>
      <c r="D902" s="40"/>
      <c r="E902" s="40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77"/>
      <c r="D903" s="40"/>
      <c r="E903" s="40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77"/>
      <c r="D904" s="40"/>
      <c r="E904" s="40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77"/>
      <c r="D905" s="40"/>
      <c r="E905" s="40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77"/>
      <c r="D906" s="40"/>
      <c r="E906" s="40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77"/>
      <c r="D907" s="40"/>
      <c r="E907" s="40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77"/>
      <c r="D908" s="40"/>
      <c r="E908" s="40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77"/>
      <c r="D909" s="40"/>
      <c r="E909" s="40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77"/>
      <c r="D910" s="40"/>
      <c r="E910" s="40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77"/>
      <c r="D911" s="40"/>
      <c r="E911" s="40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77"/>
      <c r="D912" s="40"/>
      <c r="E912" s="40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77"/>
      <c r="D913" s="40"/>
      <c r="E913" s="40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77"/>
      <c r="D914" s="40"/>
      <c r="E914" s="40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77"/>
      <c r="D915" s="40"/>
      <c r="E915" s="40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77"/>
      <c r="D916" s="40"/>
      <c r="E916" s="40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77"/>
      <c r="D917" s="40"/>
      <c r="E917" s="40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77"/>
      <c r="D918" s="40"/>
      <c r="E918" s="40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77"/>
      <c r="D919" s="40"/>
      <c r="E919" s="40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77"/>
      <c r="D920" s="40"/>
      <c r="E920" s="40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77"/>
      <c r="D921" s="40"/>
      <c r="E921" s="40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77"/>
      <c r="D922" s="40"/>
      <c r="E922" s="40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77"/>
      <c r="D923" s="40"/>
      <c r="E923" s="40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77"/>
      <c r="D924" s="40"/>
      <c r="E924" s="40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77"/>
      <c r="D925" s="40"/>
      <c r="E925" s="40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77"/>
      <c r="D926" s="40"/>
      <c r="E926" s="40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77"/>
      <c r="D927" s="40"/>
      <c r="E927" s="40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77"/>
      <c r="D928" s="40"/>
      <c r="E928" s="40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77"/>
      <c r="D929" s="40"/>
      <c r="E929" s="40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77"/>
      <c r="D930" s="40"/>
      <c r="E930" s="40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77"/>
      <c r="D931" s="40"/>
      <c r="E931" s="40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77"/>
      <c r="D932" s="40"/>
      <c r="E932" s="40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77"/>
      <c r="D933" s="40"/>
      <c r="E933" s="40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77"/>
      <c r="D934" s="40"/>
      <c r="E934" s="40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77"/>
      <c r="D935" s="40"/>
      <c r="E935" s="40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77"/>
      <c r="D936" s="40"/>
      <c r="E936" s="40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77"/>
      <c r="D937" s="40"/>
      <c r="E937" s="40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77"/>
      <c r="D938" s="40"/>
      <c r="E938" s="40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77"/>
      <c r="D939" s="40"/>
      <c r="E939" s="40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77"/>
      <c r="D940" s="40"/>
      <c r="E940" s="40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77"/>
      <c r="D941" s="40"/>
      <c r="E941" s="40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77"/>
      <c r="D942" s="40"/>
      <c r="E942" s="40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77"/>
      <c r="D943" s="40"/>
      <c r="E943" s="40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77"/>
      <c r="D944" s="40"/>
      <c r="E944" s="40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77"/>
      <c r="D945" s="40"/>
      <c r="E945" s="40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77"/>
      <c r="D946" s="40"/>
      <c r="E946" s="40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77"/>
      <c r="D947" s="40"/>
      <c r="E947" s="40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77"/>
      <c r="D948" s="40"/>
      <c r="E948" s="40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77"/>
      <c r="D949" s="40"/>
      <c r="E949" s="40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77"/>
      <c r="D950" s="40"/>
      <c r="E950" s="40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77"/>
      <c r="D951" s="40"/>
      <c r="E951" s="40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77"/>
      <c r="D952" s="40"/>
      <c r="E952" s="40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77"/>
      <c r="D953" s="40"/>
      <c r="E953" s="40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77"/>
      <c r="D954" s="40"/>
      <c r="E954" s="40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77"/>
      <c r="D955" s="40"/>
      <c r="E955" s="40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77"/>
      <c r="D956" s="40"/>
      <c r="E956" s="40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77"/>
      <c r="D957" s="40"/>
      <c r="E957" s="40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77"/>
      <c r="D958" s="40"/>
      <c r="E958" s="40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77"/>
      <c r="D959" s="40"/>
      <c r="E959" s="40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77"/>
      <c r="D960" s="40"/>
      <c r="E960" s="40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77"/>
      <c r="D961" s="40"/>
      <c r="E961" s="40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77"/>
      <c r="D962" s="40"/>
      <c r="E962" s="40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4"/>
      <c r="C963" s="4"/>
      <c r="D963" s="40"/>
      <c r="E963" s="40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4"/>
      <c r="AS963" s="4"/>
      <c r="AT963" s="4"/>
      <c r="AU963" s="4"/>
      <c r="AV963" s="4"/>
      <c r="AW963" s="4"/>
      <c r="AX963" s="4"/>
    </row>
    <row r="964" ht="20.25" customHeight="1">
      <c r="A964" s="1"/>
      <c r="B964" s="4"/>
      <c r="C964" s="4"/>
      <c r="D964" s="40"/>
      <c r="E964" s="40"/>
      <c r="F964" s="1"/>
      <c r="G964" s="1"/>
      <c r="H964" s="1"/>
      <c r="I964" s="4"/>
      <c r="J964" s="4"/>
      <c r="K964" s="4"/>
      <c r="L964" s="4"/>
      <c r="M964" s="5"/>
      <c r="N964" s="1"/>
      <c r="O964" s="1"/>
      <c r="P964" s="1"/>
      <c r="Q964" s="1"/>
      <c r="R964" s="1"/>
      <c r="S964" s="1"/>
      <c r="T964" s="4"/>
      <c r="U964" s="4"/>
      <c r="V964" s="4"/>
      <c r="W964" s="4"/>
      <c r="X964" s="1"/>
      <c r="Y964" s="1"/>
      <c r="Z964" s="1"/>
      <c r="AA964" s="1"/>
      <c r="AB964" s="1"/>
      <c r="AC964" s="1"/>
      <c r="AD964" s="1"/>
      <c r="AE964" s="1"/>
      <c r="AF964" s="4"/>
      <c r="AG964" s="4"/>
      <c r="AH964" s="4"/>
      <c r="AI964" s="4"/>
      <c r="AJ964" s="1"/>
      <c r="AK964" s="1"/>
      <c r="AL964" s="1"/>
      <c r="AM964" s="1"/>
      <c r="AN964" s="1"/>
      <c r="AO964" s="1"/>
      <c r="AP964" s="1"/>
      <c r="AQ964" s="1"/>
      <c r="AR964" s="4"/>
      <c r="AS964" s="4"/>
      <c r="AT964" s="4"/>
      <c r="AU964" s="4"/>
      <c r="AV964" s="4"/>
      <c r="AW964" s="4"/>
      <c r="AX964" s="4"/>
    </row>
    <row r="965" ht="20.25" customHeight="1">
      <c r="A965" s="1"/>
      <c r="B965" s="4"/>
      <c r="C965" s="4"/>
      <c r="D965" s="40"/>
      <c r="E965" s="40"/>
      <c r="F965" s="1"/>
      <c r="G965" s="1"/>
      <c r="H965" s="1"/>
      <c r="I965" s="4"/>
      <c r="J965" s="4"/>
      <c r="K965" s="4"/>
      <c r="L965" s="4"/>
      <c r="M965" s="5"/>
      <c r="N965" s="1"/>
      <c r="O965" s="1"/>
      <c r="P965" s="1"/>
      <c r="Q965" s="1"/>
      <c r="R965" s="1"/>
      <c r="S965" s="1"/>
      <c r="T965" s="4"/>
      <c r="U965" s="4"/>
      <c r="V965" s="4"/>
      <c r="W965" s="4"/>
      <c r="X965" s="1"/>
      <c r="Y965" s="1"/>
      <c r="Z965" s="1"/>
      <c r="AA965" s="1"/>
      <c r="AB965" s="1"/>
      <c r="AC965" s="1"/>
      <c r="AD965" s="1"/>
      <c r="AE965" s="1"/>
      <c r="AF965" s="4"/>
      <c r="AG965" s="4"/>
      <c r="AH965" s="4"/>
      <c r="AI965" s="4"/>
      <c r="AJ965" s="1"/>
      <c r="AK965" s="1"/>
      <c r="AL965" s="1"/>
      <c r="AM965" s="1"/>
      <c r="AN965" s="1"/>
      <c r="AO965" s="1"/>
      <c r="AP965" s="1"/>
      <c r="AQ965" s="1"/>
      <c r="AR965" s="4"/>
      <c r="AS965" s="4"/>
      <c r="AT965" s="4"/>
      <c r="AU965" s="4"/>
      <c r="AV965" s="4"/>
      <c r="AW965" s="4"/>
      <c r="AX965" s="4"/>
    </row>
    <row r="966" ht="20.25" customHeight="1">
      <c r="A966" s="1"/>
      <c r="B966" s="4"/>
      <c r="C966" s="4"/>
      <c r="D966" s="40"/>
      <c r="E966" s="40"/>
      <c r="F966" s="1"/>
      <c r="G966" s="1"/>
      <c r="H966" s="1"/>
      <c r="I966" s="4"/>
      <c r="J966" s="4"/>
      <c r="K966" s="4"/>
      <c r="L966" s="4"/>
      <c r="M966" s="5"/>
      <c r="N966" s="1"/>
      <c r="O966" s="1"/>
      <c r="P966" s="1"/>
      <c r="Q966" s="1"/>
      <c r="R966" s="1"/>
      <c r="S966" s="1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4"/>
      <c r="AG966" s="4"/>
      <c r="AH966" s="4"/>
      <c r="AI966" s="4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  <c r="AW966" s="4"/>
      <c r="AX966" s="4"/>
    </row>
    <row r="967" ht="20.25" customHeight="1">
      <c r="A967" s="1"/>
      <c r="B967" s="4"/>
      <c r="C967" s="4"/>
      <c r="D967" s="40"/>
      <c r="E967" s="40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40"/>
      <c r="E968" s="40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40"/>
      <c r="E969" s="40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40"/>
      <c r="E970" s="40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40"/>
      <c r="E971" s="40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  <row r="972" ht="20.25" customHeight="1">
      <c r="A972" s="1"/>
      <c r="B972" s="4"/>
      <c r="C972" s="4"/>
      <c r="D972" s="40"/>
      <c r="E972" s="40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40"/>
      <c r="E973" s="40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</sheetData>
  <mergeCells count="239">
    <mergeCell ref="AS15:AT15"/>
    <mergeCell ref="AU15:AV15"/>
    <mergeCell ref="AS16:AT16"/>
    <mergeCell ref="AU16:AV16"/>
    <mergeCell ref="AS17:AT17"/>
    <mergeCell ref="AU17:AV17"/>
    <mergeCell ref="AU18:AV18"/>
    <mergeCell ref="AU19:AV19"/>
    <mergeCell ref="AU27:AV27"/>
    <mergeCell ref="AU28:AV28"/>
    <mergeCell ref="AU29:AV29"/>
    <mergeCell ref="AU30:AV30"/>
    <mergeCell ref="AU31:AV31"/>
    <mergeCell ref="AM33:AV33"/>
    <mergeCell ref="AS18:AT18"/>
    <mergeCell ref="AS19:AT19"/>
    <mergeCell ref="AS24:AT24"/>
    <mergeCell ref="AU24:AV24"/>
    <mergeCell ref="AS25:AT25"/>
    <mergeCell ref="AU25:AV25"/>
    <mergeCell ref="AU26:AV26"/>
    <mergeCell ref="AU37:AV37"/>
    <mergeCell ref="AU38:AV38"/>
    <mergeCell ref="AU39:AV39"/>
    <mergeCell ref="AU40:AV40"/>
    <mergeCell ref="AU41:AV41"/>
    <mergeCell ref="AU42:AV42"/>
    <mergeCell ref="AU43:AV43"/>
    <mergeCell ref="AU44:AV44"/>
    <mergeCell ref="AS26:AT26"/>
    <mergeCell ref="AS27:AT27"/>
    <mergeCell ref="AS28:AT28"/>
    <mergeCell ref="AS29:AT29"/>
    <mergeCell ref="AS30:AT30"/>
    <mergeCell ref="AS31:AT31"/>
    <mergeCell ref="AU36:AV36"/>
    <mergeCell ref="AS43:AT43"/>
    <mergeCell ref="AS44:AT44"/>
    <mergeCell ref="AM46:AV46"/>
    <mergeCell ref="AS36:AT36"/>
    <mergeCell ref="AS37:AT37"/>
    <mergeCell ref="AS38:AT38"/>
    <mergeCell ref="AS39:AT39"/>
    <mergeCell ref="AS40:AT40"/>
    <mergeCell ref="AS41:AT41"/>
    <mergeCell ref="AS42:AT42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3:AH13"/>
    <mergeCell ref="AI13:AJ13"/>
    <mergeCell ref="AS13:AT13"/>
    <mergeCell ref="AU13:AV13"/>
    <mergeCell ref="AI14:AJ14"/>
    <mergeCell ref="AS14:AT14"/>
    <mergeCell ref="AU14:AV14"/>
    <mergeCell ref="W17:X17"/>
    <mergeCell ref="W18:X18"/>
    <mergeCell ref="AG18:AH18"/>
    <mergeCell ref="AI18:AJ18"/>
    <mergeCell ref="AG19:AH19"/>
    <mergeCell ref="AI19:AJ19"/>
    <mergeCell ref="AA21:AJ21"/>
    <mergeCell ref="AM21:AV21"/>
    <mergeCell ref="AG14:AH14"/>
    <mergeCell ref="AG15:AH15"/>
    <mergeCell ref="AI15:AJ15"/>
    <mergeCell ref="AG16:AH16"/>
    <mergeCell ref="AI16:AJ16"/>
    <mergeCell ref="AG17:AH17"/>
    <mergeCell ref="AI17:AJ17"/>
    <mergeCell ref="U26:V26"/>
    <mergeCell ref="U27:V27"/>
    <mergeCell ref="W27:X27"/>
    <mergeCell ref="U28:V28"/>
    <mergeCell ref="W28:X28"/>
    <mergeCell ref="U29:V29"/>
    <mergeCell ref="W29:X29"/>
    <mergeCell ref="U39:V39"/>
    <mergeCell ref="U40:V40"/>
    <mergeCell ref="U41:V41"/>
    <mergeCell ref="U42:V42"/>
    <mergeCell ref="U43:V43"/>
    <mergeCell ref="U44:V44"/>
    <mergeCell ref="W40:X40"/>
    <mergeCell ref="W41:X41"/>
    <mergeCell ref="W42:X42"/>
    <mergeCell ref="W43:X43"/>
    <mergeCell ref="W44:X44"/>
    <mergeCell ref="O46:X46"/>
    <mergeCell ref="U36:V36"/>
    <mergeCell ref="W36:X36"/>
    <mergeCell ref="U37:V37"/>
    <mergeCell ref="W37:X37"/>
    <mergeCell ref="U38:V38"/>
    <mergeCell ref="W38:X38"/>
    <mergeCell ref="W39:X39"/>
    <mergeCell ref="AG27:AH27"/>
    <mergeCell ref="AI27:AJ27"/>
    <mergeCell ref="AG28:AH28"/>
    <mergeCell ref="AI28:AJ28"/>
    <mergeCell ref="AI29:AJ29"/>
    <mergeCell ref="AI30:AJ30"/>
    <mergeCell ref="AI31:AJ31"/>
    <mergeCell ref="AG29:AH29"/>
    <mergeCell ref="AG36:AH36"/>
    <mergeCell ref="AI36:AJ36"/>
    <mergeCell ref="AG37:AH37"/>
    <mergeCell ref="AI37:AJ37"/>
    <mergeCell ref="AG38:AH38"/>
    <mergeCell ref="AI38:AJ38"/>
    <mergeCell ref="AG43:AH43"/>
    <mergeCell ref="AG44:AH44"/>
    <mergeCell ref="AA46:AJ46"/>
    <mergeCell ref="AG40:AH40"/>
    <mergeCell ref="AI40:AJ40"/>
    <mergeCell ref="AG41:AH41"/>
    <mergeCell ref="AI41:AJ41"/>
    <mergeCell ref="AG42:AH42"/>
    <mergeCell ref="AI42:AJ42"/>
    <mergeCell ref="AI43:AJ43"/>
    <mergeCell ref="AI44:AJ44"/>
    <mergeCell ref="U12:V12"/>
    <mergeCell ref="U13:V13"/>
    <mergeCell ref="U14:V14"/>
    <mergeCell ref="W14:X14"/>
    <mergeCell ref="U15:V15"/>
    <mergeCell ref="W15:X15"/>
    <mergeCell ref="W16:X16"/>
    <mergeCell ref="W24:X24"/>
    <mergeCell ref="AG24:AH24"/>
    <mergeCell ref="AI24:AJ24"/>
    <mergeCell ref="U16:V16"/>
    <mergeCell ref="U17:V17"/>
    <mergeCell ref="U18:V18"/>
    <mergeCell ref="U19:V19"/>
    <mergeCell ref="W19:X19"/>
    <mergeCell ref="O21:X21"/>
    <mergeCell ref="U24:V24"/>
    <mergeCell ref="U25:V25"/>
    <mergeCell ref="W25:X25"/>
    <mergeCell ref="AG25:AH25"/>
    <mergeCell ref="AI25:AJ25"/>
    <mergeCell ref="W26:X26"/>
    <mergeCell ref="AG26:AH26"/>
    <mergeCell ref="AI26:AJ26"/>
    <mergeCell ref="U30:V30"/>
    <mergeCell ref="W30:X30"/>
    <mergeCell ref="U31:V31"/>
    <mergeCell ref="W31:X31"/>
    <mergeCell ref="O33:X33"/>
    <mergeCell ref="AG30:AH30"/>
    <mergeCell ref="AG31:AH31"/>
    <mergeCell ref="AA33:AJ33"/>
    <mergeCell ref="AG39:AH39"/>
    <mergeCell ref="AI39:AJ39"/>
    <mergeCell ref="K41:L41"/>
    <mergeCell ref="K42:L42"/>
    <mergeCell ref="K43:L43"/>
    <mergeCell ref="K44:L44"/>
    <mergeCell ref="C46:L46"/>
    <mergeCell ref="B49:F50"/>
    <mergeCell ref="B51:D52"/>
    <mergeCell ref="E57:E58"/>
    <mergeCell ref="F57:F58"/>
    <mergeCell ref="B59:D60"/>
    <mergeCell ref="E59:E60"/>
    <mergeCell ref="F59:F60"/>
    <mergeCell ref="E51:E52"/>
    <mergeCell ref="F51:F52"/>
    <mergeCell ref="B53:F54"/>
    <mergeCell ref="B55:D56"/>
    <mergeCell ref="E55:E56"/>
    <mergeCell ref="F55:F56"/>
    <mergeCell ref="B57:D58"/>
    <mergeCell ref="I13:J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C21:L21"/>
    <mergeCell ref="K28:L28"/>
    <mergeCell ref="K29:L29"/>
    <mergeCell ref="K30:L30"/>
    <mergeCell ref="K31:L31"/>
    <mergeCell ref="C33:L33"/>
    <mergeCell ref="I24:J24"/>
    <mergeCell ref="K24:L24"/>
    <mergeCell ref="I25:J25"/>
    <mergeCell ref="K25:L25"/>
    <mergeCell ref="I26:J26"/>
    <mergeCell ref="K26:L26"/>
    <mergeCell ref="K27:L27"/>
    <mergeCell ref="I27:J27"/>
    <mergeCell ref="I28:J28"/>
    <mergeCell ref="I29:J29"/>
    <mergeCell ref="I30:J30"/>
    <mergeCell ref="I31:J31"/>
    <mergeCell ref="I36:J36"/>
    <mergeCell ref="K36:L36"/>
    <mergeCell ref="I40:J40"/>
    <mergeCell ref="I41:J41"/>
    <mergeCell ref="I42:J42"/>
    <mergeCell ref="I43:J43"/>
    <mergeCell ref="I44:J44"/>
    <mergeCell ref="I37:J37"/>
    <mergeCell ref="K37:L37"/>
    <mergeCell ref="I38:J38"/>
    <mergeCell ref="K38:L38"/>
    <mergeCell ref="I39:J39"/>
    <mergeCell ref="K39:L39"/>
    <mergeCell ref="K40:L40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18"/>
    <hyperlink r:id="rId26" ref="O18"/>
    <hyperlink r:id="rId27" ref="AA18"/>
    <hyperlink r:id="rId28" ref="AM18"/>
    <hyperlink r:id="rId29" ref="C19"/>
    <hyperlink r:id="rId30" ref="O19"/>
    <hyperlink r:id="rId31" ref="AA19"/>
    <hyperlink r:id="rId32" ref="AM19"/>
    <hyperlink r:id="rId33" ref="C25"/>
    <hyperlink r:id="rId34" ref="O25"/>
    <hyperlink r:id="rId35" ref="AA25"/>
    <hyperlink r:id="rId36" ref="AM25"/>
    <hyperlink r:id="rId37" ref="C26"/>
    <hyperlink r:id="rId38" ref="O26"/>
    <hyperlink r:id="rId39" ref="AA26"/>
    <hyperlink r:id="rId40" ref="AM26"/>
    <hyperlink r:id="rId41" ref="C27"/>
    <hyperlink r:id="rId42" ref="O27"/>
    <hyperlink r:id="rId43" ref="AA27"/>
    <hyperlink r:id="rId44" ref="AM27"/>
    <hyperlink r:id="rId45" ref="C28"/>
    <hyperlink r:id="rId46" ref="O28"/>
    <hyperlink r:id="rId47" ref="AA28"/>
    <hyperlink r:id="rId48" ref="AM28"/>
    <hyperlink r:id="rId49" ref="C29"/>
    <hyperlink r:id="rId50" ref="O29"/>
    <hyperlink r:id="rId51" ref="AA29"/>
    <hyperlink r:id="rId52" ref="AM29"/>
    <hyperlink r:id="rId53" ref="C30"/>
    <hyperlink r:id="rId54" ref="O30"/>
    <hyperlink r:id="rId55" ref="AA30"/>
    <hyperlink r:id="rId56" ref="AM30"/>
    <hyperlink r:id="rId57" ref="C37"/>
    <hyperlink r:id="rId58" ref="O37"/>
    <hyperlink r:id="rId59" ref="AA37"/>
    <hyperlink r:id="rId60" ref="AM37"/>
    <hyperlink r:id="rId61" ref="C38"/>
    <hyperlink r:id="rId62" ref="O38"/>
    <hyperlink r:id="rId63" ref="AA38"/>
    <hyperlink r:id="rId64" ref="AM38"/>
    <hyperlink r:id="rId65" ref="C39"/>
    <hyperlink r:id="rId66" ref="O39"/>
    <hyperlink r:id="rId67" ref="AA39"/>
    <hyperlink r:id="rId68" ref="AM39"/>
    <hyperlink r:id="rId69" ref="C40"/>
    <hyperlink r:id="rId70" ref="O40"/>
    <hyperlink r:id="rId71" ref="AA40"/>
    <hyperlink r:id="rId72" ref="AM40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B55"/>
    <hyperlink r:id="rId90" ref="B57"/>
    <hyperlink r:id="rId91" ref="B59"/>
  </hyperlinks>
  <printOptions/>
  <pageMargins bottom="0.75" footer="0.0" header="0.0" left="0.7" right="0.7" top="0.75"/>
  <pageSetup orientation="portrait"/>
  <drawing r:id="rId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8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20.25" customHeight="1">
      <c r="A9" s="1"/>
      <c r="B9" s="8"/>
      <c r="C9" s="8"/>
      <c r="D9" s="8"/>
      <c r="E9" s="8"/>
      <c r="F9" s="9" t="s">
        <v>0</v>
      </c>
      <c r="G9" s="10"/>
      <c r="H9" s="10"/>
      <c r="I9" s="11"/>
      <c r="J9" s="4"/>
      <c r="K9" s="4"/>
      <c r="L9" s="4"/>
      <c r="M9" s="5"/>
      <c r="N9" s="8"/>
      <c r="O9" s="8"/>
      <c r="P9" s="8"/>
      <c r="Q9" s="8"/>
      <c r="R9" s="9" t="s">
        <v>1</v>
      </c>
      <c r="S9" s="10"/>
      <c r="T9" s="10"/>
      <c r="U9" s="11"/>
      <c r="V9" s="4"/>
      <c r="W9" s="4"/>
      <c r="X9" s="4"/>
      <c r="Y9" s="2"/>
      <c r="Z9" s="12"/>
      <c r="AA9" s="12"/>
      <c r="AB9" s="12"/>
      <c r="AC9" s="12"/>
      <c r="AD9" s="9" t="s">
        <v>2</v>
      </c>
      <c r="AE9" s="10"/>
      <c r="AF9" s="10"/>
      <c r="AG9" s="11"/>
      <c r="AH9" s="12"/>
      <c r="AI9" s="12"/>
      <c r="AJ9" s="12"/>
      <c r="AK9" s="2"/>
      <c r="AL9" s="12"/>
      <c r="AM9" s="12"/>
      <c r="AN9" s="12"/>
      <c r="AO9" s="12"/>
      <c r="AP9" s="9" t="s">
        <v>3</v>
      </c>
      <c r="AQ9" s="10"/>
      <c r="AR9" s="10"/>
      <c r="AS9" s="11"/>
      <c r="AT9" s="12"/>
      <c r="AU9" s="12"/>
      <c r="AV9" s="12"/>
    </row>
    <row r="10" ht="20.25" customHeight="1">
      <c r="A10" s="1"/>
      <c r="B10" s="8"/>
      <c r="C10" s="13" t="s">
        <v>74</v>
      </c>
      <c r="D10" s="8"/>
      <c r="E10" s="8"/>
      <c r="F10" s="14"/>
      <c r="G10" s="15"/>
      <c r="H10" s="15"/>
      <c r="I10" s="16"/>
      <c r="J10" s="17"/>
      <c r="K10" s="17"/>
      <c r="L10" s="17"/>
      <c r="M10" s="18"/>
      <c r="N10" s="8"/>
      <c r="O10" s="13" t="s">
        <v>74</v>
      </c>
      <c r="P10" s="8"/>
      <c r="Q10" s="8"/>
      <c r="R10" s="14"/>
      <c r="S10" s="15"/>
      <c r="T10" s="15"/>
      <c r="U10" s="16"/>
      <c r="V10" s="17"/>
      <c r="W10" s="17"/>
      <c r="X10" s="17"/>
      <c r="Y10" s="8"/>
      <c r="Z10" s="12"/>
      <c r="AA10" s="85" t="s">
        <v>74</v>
      </c>
      <c r="AB10" s="12"/>
      <c r="AC10" s="12"/>
      <c r="AD10" s="14"/>
      <c r="AE10" s="15"/>
      <c r="AF10" s="15"/>
      <c r="AG10" s="16"/>
      <c r="AH10" s="19"/>
      <c r="AI10" s="19"/>
      <c r="AJ10" s="19"/>
      <c r="AK10" s="2"/>
      <c r="AL10" s="12"/>
      <c r="AM10" s="85" t="s">
        <v>74</v>
      </c>
      <c r="AN10" s="12"/>
      <c r="AO10" s="12"/>
      <c r="AP10" s="14"/>
      <c r="AQ10" s="15"/>
      <c r="AR10" s="15"/>
      <c r="AS10" s="16"/>
      <c r="AT10" s="19"/>
      <c r="AU10" s="19"/>
      <c r="AV10" s="19"/>
    </row>
    <row r="11" ht="20.25" customHeight="1">
      <c r="A11" s="1"/>
      <c r="B11" s="20" t="s">
        <v>5</v>
      </c>
      <c r="C11" s="21" t="s">
        <v>6</v>
      </c>
      <c r="D11" s="21" t="s">
        <v>7</v>
      </c>
      <c r="E11" s="21" t="s">
        <v>8</v>
      </c>
      <c r="F11" s="21" t="s">
        <v>9</v>
      </c>
      <c r="G11" s="21" t="s">
        <v>10</v>
      </c>
      <c r="H11" s="22" t="s">
        <v>11</v>
      </c>
      <c r="I11" s="23" t="s">
        <v>12</v>
      </c>
      <c r="J11" s="24"/>
      <c r="K11" s="23" t="s">
        <v>13</v>
      </c>
      <c r="L11" s="24"/>
      <c r="M11" s="5"/>
      <c r="N11" s="20" t="s">
        <v>5</v>
      </c>
      <c r="O11" s="21" t="s">
        <v>6</v>
      </c>
      <c r="P11" s="21" t="s">
        <v>7</v>
      </c>
      <c r="Q11" s="21" t="s">
        <v>8</v>
      </c>
      <c r="R11" s="21" t="s">
        <v>9</v>
      </c>
      <c r="S11" s="21" t="s">
        <v>10</v>
      </c>
      <c r="T11" s="22" t="s">
        <v>11</v>
      </c>
      <c r="U11" s="23" t="s">
        <v>12</v>
      </c>
      <c r="V11" s="24"/>
      <c r="W11" s="23" t="s">
        <v>13</v>
      </c>
      <c r="X11" s="24"/>
      <c r="Y11" s="25"/>
      <c r="Z11" s="20" t="s">
        <v>5</v>
      </c>
      <c r="AA11" s="86" t="s">
        <v>6</v>
      </c>
      <c r="AB11" s="86" t="s">
        <v>7</v>
      </c>
      <c r="AC11" s="86" t="s">
        <v>8</v>
      </c>
      <c r="AD11" s="86" t="s">
        <v>9</v>
      </c>
      <c r="AE11" s="86" t="s">
        <v>10</v>
      </c>
      <c r="AF11" s="87" t="s">
        <v>11</v>
      </c>
      <c r="AG11" s="88" t="s">
        <v>12</v>
      </c>
      <c r="AH11" s="24"/>
      <c r="AI11" s="88" t="s">
        <v>13</v>
      </c>
      <c r="AJ11" s="24"/>
      <c r="AK11" s="2"/>
      <c r="AL11" s="20" t="s">
        <v>5</v>
      </c>
      <c r="AM11" s="86" t="s">
        <v>6</v>
      </c>
      <c r="AN11" s="86" t="s">
        <v>7</v>
      </c>
      <c r="AO11" s="86" t="s">
        <v>8</v>
      </c>
      <c r="AP11" s="86" t="s">
        <v>9</v>
      </c>
      <c r="AQ11" s="86" t="s">
        <v>10</v>
      </c>
      <c r="AR11" s="87" t="s">
        <v>11</v>
      </c>
      <c r="AS11" s="88" t="s">
        <v>12</v>
      </c>
      <c r="AT11" s="24"/>
      <c r="AU11" s="88" t="s">
        <v>13</v>
      </c>
      <c r="AV11" s="24"/>
    </row>
    <row r="12" ht="20.25" customHeight="1">
      <c r="A12" s="1"/>
      <c r="B12" s="1"/>
      <c r="C12" s="89" t="s">
        <v>15</v>
      </c>
      <c r="D12" s="34">
        <v>3.0</v>
      </c>
      <c r="E12" s="27">
        <v>8.0</v>
      </c>
      <c r="F12" s="27">
        <v>8.0</v>
      </c>
      <c r="G12" s="28"/>
      <c r="H12" s="29"/>
      <c r="I12" s="30"/>
      <c r="J12" s="24"/>
      <c r="K12" s="30"/>
      <c r="L12" s="24"/>
      <c r="M12" s="31"/>
      <c r="N12" s="1"/>
      <c r="O12" s="89" t="s">
        <v>15</v>
      </c>
      <c r="P12" s="34">
        <v>3.0</v>
      </c>
      <c r="Q12" s="27">
        <v>8.0</v>
      </c>
      <c r="R12" s="27">
        <v>8.0</v>
      </c>
      <c r="S12" s="43"/>
      <c r="T12" s="29"/>
      <c r="U12" s="30"/>
      <c r="V12" s="24"/>
      <c r="W12" s="30"/>
      <c r="X12" s="24"/>
      <c r="Y12" s="1"/>
      <c r="Z12" s="12"/>
      <c r="AA12" s="90" t="s">
        <v>15</v>
      </c>
      <c r="AB12" s="45">
        <v>3.0</v>
      </c>
      <c r="AC12" s="91">
        <v>8.0</v>
      </c>
      <c r="AD12" s="91">
        <v>8.0</v>
      </c>
      <c r="AE12" s="92"/>
      <c r="AF12" s="92"/>
      <c r="AG12" s="93"/>
      <c r="AH12" s="24"/>
      <c r="AI12" s="93"/>
      <c r="AJ12" s="24"/>
      <c r="AK12" s="32"/>
      <c r="AL12" s="12"/>
      <c r="AM12" s="90" t="s">
        <v>15</v>
      </c>
      <c r="AN12" s="45">
        <v>3.0</v>
      </c>
      <c r="AO12" s="91">
        <v>8.0</v>
      </c>
      <c r="AP12" s="91">
        <v>8.0</v>
      </c>
      <c r="AQ12" s="92"/>
      <c r="AR12" s="92"/>
      <c r="AS12" s="93"/>
      <c r="AT12" s="24"/>
      <c r="AU12" s="93"/>
      <c r="AV12" s="24"/>
    </row>
    <row r="13" ht="20.25" customHeight="1">
      <c r="A13" s="4"/>
      <c r="B13" s="1"/>
      <c r="C13" s="90" t="s">
        <v>75</v>
      </c>
      <c r="D13" s="34">
        <v>3.0</v>
      </c>
      <c r="E13" s="27" t="s">
        <v>16</v>
      </c>
      <c r="F13" s="27">
        <v>8.0</v>
      </c>
      <c r="G13" s="29"/>
      <c r="H13" s="29"/>
      <c r="I13" s="30"/>
      <c r="J13" s="24"/>
      <c r="K13" s="30"/>
      <c r="L13" s="24"/>
      <c r="M13" s="31"/>
      <c r="N13" s="1"/>
      <c r="O13" s="90" t="s">
        <v>75</v>
      </c>
      <c r="P13" s="34">
        <v>3.0</v>
      </c>
      <c r="Q13" s="27" t="s">
        <v>16</v>
      </c>
      <c r="R13" s="27">
        <v>8.0</v>
      </c>
      <c r="S13" s="29"/>
      <c r="T13" s="29"/>
      <c r="U13" s="30"/>
      <c r="V13" s="24"/>
      <c r="W13" s="30"/>
      <c r="X13" s="24"/>
      <c r="Y13" s="1"/>
      <c r="Z13" s="12"/>
      <c r="AA13" s="90" t="s">
        <v>75</v>
      </c>
      <c r="AB13" s="45">
        <v>3.0</v>
      </c>
      <c r="AC13" s="91" t="s">
        <v>16</v>
      </c>
      <c r="AD13" s="91">
        <v>8.0</v>
      </c>
      <c r="AE13" s="92"/>
      <c r="AF13" s="92"/>
      <c r="AG13" s="93"/>
      <c r="AH13" s="24"/>
      <c r="AI13" s="93"/>
      <c r="AJ13" s="24"/>
      <c r="AK13" s="32"/>
      <c r="AL13" s="12"/>
      <c r="AM13" s="90" t="s">
        <v>75</v>
      </c>
      <c r="AN13" s="45">
        <v>3.0</v>
      </c>
      <c r="AO13" s="91" t="s">
        <v>16</v>
      </c>
      <c r="AP13" s="91">
        <v>8.0</v>
      </c>
      <c r="AQ13" s="92"/>
      <c r="AR13" s="92"/>
      <c r="AS13" s="93"/>
      <c r="AT13" s="24"/>
      <c r="AU13" s="93"/>
      <c r="AV13" s="24"/>
    </row>
    <row r="14" ht="20.25" customHeight="1">
      <c r="A14" s="4"/>
      <c r="B14" s="1"/>
      <c r="C14" s="90" t="s">
        <v>76</v>
      </c>
      <c r="D14" s="34">
        <v>3.0</v>
      </c>
      <c r="E14" s="27" t="s">
        <v>16</v>
      </c>
      <c r="F14" s="27">
        <v>8.0</v>
      </c>
      <c r="G14" s="29"/>
      <c r="H14" s="29"/>
      <c r="I14" s="30"/>
      <c r="J14" s="24"/>
      <c r="K14" s="30"/>
      <c r="L14" s="24"/>
      <c r="M14" s="31"/>
      <c r="N14" s="1"/>
      <c r="O14" s="90" t="s">
        <v>76</v>
      </c>
      <c r="P14" s="34">
        <v>3.0</v>
      </c>
      <c r="Q14" s="27" t="s">
        <v>16</v>
      </c>
      <c r="R14" s="27">
        <v>8.0</v>
      </c>
      <c r="S14" s="29"/>
      <c r="T14" s="29"/>
      <c r="U14" s="30"/>
      <c r="V14" s="24"/>
      <c r="W14" s="30"/>
      <c r="X14" s="24"/>
      <c r="Y14" s="25"/>
      <c r="Z14" s="94"/>
      <c r="AA14" s="90" t="s">
        <v>76</v>
      </c>
      <c r="AB14" s="45">
        <v>3.0</v>
      </c>
      <c r="AC14" s="91" t="s">
        <v>16</v>
      </c>
      <c r="AD14" s="91">
        <v>8.0</v>
      </c>
      <c r="AE14" s="92"/>
      <c r="AF14" s="92"/>
      <c r="AG14" s="93"/>
      <c r="AH14" s="24"/>
      <c r="AI14" s="93"/>
      <c r="AJ14" s="24"/>
      <c r="AK14" s="32"/>
      <c r="AL14" s="94"/>
      <c r="AM14" s="90" t="s">
        <v>76</v>
      </c>
      <c r="AN14" s="45">
        <v>3.0</v>
      </c>
      <c r="AO14" s="91" t="s">
        <v>16</v>
      </c>
      <c r="AP14" s="91">
        <v>8.0</v>
      </c>
      <c r="AQ14" s="92"/>
      <c r="AR14" s="92"/>
      <c r="AS14" s="93"/>
      <c r="AT14" s="24"/>
      <c r="AU14" s="93"/>
      <c r="AV14" s="24"/>
    </row>
    <row r="15" ht="20.25" customHeight="1">
      <c r="A15" s="1"/>
      <c r="B15" s="1"/>
      <c r="C15" s="90" t="s">
        <v>77</v>
      </c>
      <c r="D15" s="34">
        <v>3.0</v>
      </c>
      <c r="E15" s="34" t="s">
        <v>16</v>
      </c>
      <c r="F15" s="27">
        <v>8.0</v>
      </c>
      <c r="G15" s="29"/>
      <c r="H15" s="29"/>
      <c r="I15" s="30"/>
      <c r="J15" s="24"/>
      <c r="K15" s="30"/>
      <c r="L15" s="24"/>
      <c r="M15" s="31"/>
      <c r="N15" s="1"/>
      <c r="O15" s="90" t="s">
        <v>77</v>
      </c>
      <c r="P15" s="34">
        <v>3.0</v>
      </c>
      <c r="Q15" s="34" t="s">
        <v>16</v>
      </c>
      <c r="R15" s="27">
        <v>8.0</v>
      </c>
      <c r="S15" s="29"/>
      <c r="T15" s="29"/>
      <c r="U15" s="30"/>
      <c r="V15" s="24"/>
      <c r="W15" s="30"/>
      <c r="X15" s="24"/>
      <c r="Y15" s="25"/>
      <c r="Z15" s="94"/>
      <c r="AA15" s="90" t="s">
        <v>77</v>
      </c>
      <c r="AB15" s="45">
        <v>3.0</v>
      </c>
      <c r="AC15" s="45" t="s">
        <v>16</v>
      </c>
      <c r="AD15" s="91">
        <v>8.0</v>
      </c>
      <c r="AE15" s="92"/>
      <c r="AF15" s="92"/>
      <c r="AG15" s="93"/>
      <c r="AH15" s="24"/>
      <c r="AI15" s="93"/>
      <c r="AJ15" s="24"/>
      <c r="AK15" s="32"/>
      <c r="AL15" s="94"/>
      <c r="AM15" s="90" t="s">
        <v>77</v>
      </c>
      <c r="AN15" s="45">
        <v>3.0</v>
      </c>
      <c r="AO15" s="45" t="s">
        <v>16</v>
      </c>
      <c r="AP15" s="91">
        <v>8.0</v>
      </c>
      <c r="AQ15" s="92"/>
      <c r="AR15" s="92"/>
      <c r="AS15" s="93"/>
      <c r="AT15" s="24"/>
      <c r="AU15" s="93"/>
      <c r="AV15" s="24"/>
    </row>
    <row r="16">
      <c r="A16" s="1"/>
      <c r="B16" s="1"/>
      <c r="C16" s="90" t="s">
        <v>78</v>
      </c>
      <c r="D16" s="34">
        <v>3.0</v>
      </c>
      <c r="E16" s="34" t="s">
        <v>16</v>
      </c>
      <c r="F16" s="27">
        <v>8.0</v>
      </c>
      <c r="G16" s="29"/>
      <c r="H16" s="29"/>
      <c r="I16" s="30"/>
      <c r="J16" s="24"/>
      <c r="K16" s="30"/>
      <c r="L16" s="24"/>
      <c r="M16" s="31"/>
      <c r="N16" s="1"/>
      <c r="O16" s="90" t="s">
        <v>78</v>
      </c>
      <c r="P16" s="34">
        <v>3.0</v>
      </c>
      <c r="Q16" s="34" t="s">
        <v>16</v>
      </c>
      <c r="R16" s="27">
        <v>8.0</v>
      </c>
      <c r="S16" s="29"/>
      <c r="T16" s="29"/>
      <c r="U16" s="30"/>
      <c r="V16" s="24"/>
      <c r="W16" s="30"/>
      <c r="X16" s="24"/>
      <c r="Y16" s="1"/>
      <c r="Z16" s="12"/>
      <c r="AA16" s="90" t="s">
        <v>78</v>
      </c>
      <c r="AB16" s="45">
        <v>3.0</v>
      </c>
      <c r="AC16" s="45" t="s">
        <v>16</v>
      </c>
      <c r="AD16" s="91">
        <v>8.0</v>
      </c>
      <c r="AE16" s="92"/>
      <c r="AF16" s="92"/>
      <c r="AG16" s="93"/>
      <c r="AH16" s="24"/>
      <c r="AI16" s="93"/>
      <c r="AJ16" s="24"/>
      <c r="AK16" s="32"/>
      <c r="AL16" s="12"/>
      <c r="AM16" s="90" t="s">
        <v>78</v>
      </c>
      <c r="AN16" s="45">
        <v>3.0</v>
      </c>
      <c r="AO16" s="45" t="s">
        <v>16</v>
      </c>
      <c r="AP16" s="91">
        <v>8.0</v>
      </c>
      <c r="AQ16" s="92"/>
      <c r="AR16" s="92"/>
      <c r="AS16" s="93"/>
      <c r="AT16" s="24"/>
      <c r="AU16" s="93"/>
      <c r="AV16" s="24"/>
    </row>
    <row r="17" ht="20.25" customHeight="1">
      <c r="A17" s="1"/>
      <c r="B17" s="1"/>
      <c r="C17" s="90" t="s">
        <v>23</v>
      </c>
      <c r="D17" s="34">
        <v>3.0</v>
      </c>
      <c r="E17" s="27" t="s">
        <v>24</v>
      </c>
      <c r="F17" s="27">
        <v>8.0</v>
      </c>
      <c r="G17" s="29"/>
      <c r="H17" s="29"/>
      <c r="I17" s="30"/>
      <c r="J17" s="24"/>
      <c r="K17" s="30"/>
      <c r="L17" s="24"/>
      <c r="M17" s="31"/>
      <c r="N17" s="1"/>
      <c r="O17" s="90" t="s">
        <v>23</v>
      </c>
      <c r="P17" s="34">
        <v>3.0</v>
      </c>
      <c r="Q17" s="27" t="s">
        <v>24</v>
      </c>
      <c r="R17" s="27">
        <v>8.0</v>
      </c>
      <c r="S17" s="29"/>
      <c r="T17" s="29"/>
      <c r="U17" s="30"/>
      <c r="V17" s="24"/>
      <c r="W17" s="30"/>
      <c r="X17" s="24"/>
      <c r="Y17" s="25"/>
      <c r="Z17" s="94"/>
      <c r="AA17" s="90" t="s">
        <v>23</v>
      </c>
      <c r="AB17" s="45">
        <v>3.0</v>
      </c>
      <c r="AC17" s="91" t="s">
        <v>24</v>
      </c>
      <c r="AD17" s="91">
        <v>8.0</v>
      </c>
      <c r="AE17" s="92"/>
      <c r="AF17" s="92"/>
      <c r="AG17" s="93"/>
      <c r="AH17" s="24"/>
      <c r="AI17" s="93"/>
      <c r="AJ17" s="24"/>
      <c r="AK17" s="32"/>
      <c r="AL17" s="94"/>
      <c r="AM17" s="90" t="s">
        <v>23</v>
      </c>
      <c r="AN17" s="45">
        <v>3.0</v>
      </c>
      <c r="AO17" s="91" t="s">
        <v>24</v>
      </c>
      <c r="AP17" s="91">
        <v>8.0</v>
      </c>
      <c r="AQ17" s="92"/>
      <c r="AR17" s="92"/>
      <c r="AS17" s="93"/>
      <c r="AT17" s="24"/>
      <c r="AU17" s="93"/>
      <c r="AV17" s="24"/>
    </row>
    <row r="18" ht="20.25" customHeight="1">
      <c r="A18" s="1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5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4"/>
      <c r="Z18" s="95"/>
      <c r="AA18" s="96"/>
      <c r="AB18" s="19"/>
      <c r="AC18" s="19"/>
      <c r="AD18" s="19"/>
      <c r="AE18" s="19"/>
      <c r="AF18" s="19"/>
      <c r="AG18" s="19"/>
      <c r="AH18" s="19"/>
      <c r="AI18" s="19"/>
      <c r="AJ18" s="19"/>
      <c r="AK18" s="2"/>
      <c r="AL18" s="95"/>
      <c r="AM18" s="96"/>
      <c r="AN18" s="19"/>
      <c r="AO18" s="19"/>
      <c r="AP18" s="19"/>
      <c r="AQ18" s="19"/>
      <c r="AR18" s="19"/>
      <c r="AS18" s="19"/>
      <c r="AT18" s="19"/>
      <c r="AU18" s="19"/>
      <c r="AV18" s="19"/>
    </row>
    <row r="19" ht="20.25" customHeight="1">
      <c r="A19" s="1"/>
      <c r="B19" s="4"/>
      <c r="C19" s="13" t="s">
        <v>79</v>
      </c>
      <c r="D19" s="40"/>
      <c r="E19" s="40"/>
      <c r="F19" s="1"/>
      <c r="G19" s="1"/>
      <c r="H19" s="1"/>
      <c r="I19" s="1"/>
      <c r="J19" s="1"/>
      <c r="K19" s="1"/>
      <c r="L19" s="1"/>
      <c r="M19" s="5"/>
      <c r="N19" s="4"/>
      <c r="O19" s="13" t="s">
        <v>79</v>
      </c>
      <c r="P19" s="40"/>
      <c r="Q19" s="40"/>
      <c r="R19" s="1"/>
      <c r="S19" s="1"/>
      <c r="T19" s="1"/>
      <c r="U19" s="1"/>
      <c r="V19" s="1"/>
      <c r="W19" s="1"/>
      <c r="X19" s="1"/>
      <c r="Y19" s="25"/>
      <c r="Z19" s="94"/>
      <c r="AA19" s="97" t="s">
        <v>79</v>
      </c>
      <c r="AB19" s="12"/>
      <c r="AC19" s="12"/>
      <c r="AD19" s="12"/>
      <c r="AE19" s="12"/>
      <c r="AF19" s="94"/>
      <c r="AG19" s="94"/>
      <c r="AH19" s="94"/>
      <c r="AI19" s="94"/>
      <c r="AJ19" s="94"/>
      <c r="AK19" s="3"/>
      <c r="AL19" s="94"/>
      <c r="AM19" s="97" t="s">
        <v>79</v>
      </c>
      <c r="AN19" s="12"/>
      <c r="AO19" s="12"/>
      <c r="AP19" s="12"/>
      <c r="AQ19" s="12"/>
      <c r="AR19" s="94"/>
      <c r="AS19" s="94"/>
      <c r="AT19" s="94"/>
      <c r="AU19" s="94"/>
      <c r="AV19" s="94"/>
    </row>
    <row r="20">
      <c r="A20" s="1"/>
      <c r="B20" s="13" t="s">
        <v>80</v>
      </c>
      <c r="C20" s="41" t="s">
        <v>6</v>
      </c>
      <c r="D20" s="22" t="s">
        <v>7</v>
      </c>
      <c r="E20" s="22" t="s">
        <v>8</v>
      </c>
      <c r="F20" s="21" t="s">
        <v>9</v>
      </c>
      <c r="G20" s="22" t="s">
        <v>10</v>
      </c>
      <c r="H20" s="22" t="s">
        <v>11</v>
      </c>
      <c r="I20" s="23" t="s">
        <v>12</v>
      </c>
      <c r="J20" s="24"/>
      <c r="K20" s="23" t="s">
        <v>13</v>
      </c>
      <c r="L20" s="24"/>
      <c r="M20" s="31"/>
      <c r="N20" s="13" t="s">
        <v>80</v>
      </c>
      <c r="O20" s="41" t="s">
        <v>6</v>
      </c>
      <c r="P20" s="22" t="s">
        <v>7</v>
      </c>
      <c r="Q20" s="22" t="s">
        <v>8</v>
      </c>
      <c r="R20" s="21" t="s">
        <v>9</v>
      </c>
      <c r="S20" s="22" t="s">
        <v>10</v>
      </c>
      <c r="T20" s="22" t="s">
        <v>11</v>
      </c>
      <c r="U20" s="23" t="s">
        <v>12</v>
      </c>
      <c r="V20" s="24"/>
      <c r="W20" s="23" t="s">
        <v>13</v>
      </c>
      <c r="X20" s="24"/>
      <c r="Y20" s="25"/>
      <c r="Z20" s="85" t="s">
        <v>80</v>
      </c>
      <c r="AA20" s="88" t="s">
        <v>6</v>
      </c>
      <c r="AB20" s="86" t="s">
        <v>7</v>
      </c>
      <c r="AC20" s="87" t="s">
        <v>8</v>
      </c>
      <c r="AD20" s="87" t="s">
        <v>9</v>
      </c>
      <c r="AE20" s="87" t="s">
        <v>10</v>
      </c>
      <c r="AF20" s="87" t="s">
        <v>11</v>
      </c>
      <c r="AG20" s="88" t="s">
        <v>12</v>
      </c>
      <c r="AH20" s="24"/>
      <c r="AI20" s="88" t="s">
        <v>13</v>
      </c>
      <c r="AJ20" s="24"/>
      <c r="AK20" s="32"/>
      <c r="AL20" s="85" t="s">
        <v>80</v>
      </c>
      <c r="AM20" s="88" t="s">
        <v>6</v>
      </c>
      <c r="AN20" s="86" t="s">
        <v>7</v>
      </c>
      <c r="AO20" s="87" t="s">
        <v>8</v>
      </c>
      <c r="AP20" s="87" t="s">
        <v>9</v>
      </c>
      <c r="AQ20" s="87" t="s">
        <v>10</v>
      </c>
      <c r="AR20" s="87" t="s">
        <v>11</v>
      </c>
      <c r="AS20" s="88" t="s">
        <v>12</v>
      </c>
      <c r="AT20" s="24"/>
      <c r="AU20" s="88" t="s">
        <v>13</v>
      </c>
      <c r="AV20" s="24"/>
    </row>
    <row r="21" ht="20.25" customHeight="1">
      <c r="A21" s="4"/>
      <c r="B21" s="1"/>
      <c r="C21" s="90" t="s">
        <v>37</v>
      </c>
      <c r="D21" s="45">
        <v>3.0</v>
      </c>
      <c r="E21" s="42">
        <v>10.0</v>
      </c>
      <c r="F21" s="42">
        <v>8.0</v>
      </c>
      <c r="G21" s="43"/>
      <c r="H21" s="44"/>
      <c r="I21" s="30"/>
      <c r="J21" s="24"/>
      <c r="K21" s="30"/>
      <c r="L21" s="24"/>
      <c r="M21" s="18"/>
      <c r="N21" s="1"/>
      <c r="O21" s="90" t="s">
        <v>37</v>
      </c>
      <c r="P21" s="45">
        <v>3.0</v>
      </c>
      <c r="Q21" s="42">
        <v>10.0</v>
      </c>
      <c r="R21" s="42">
        <v>8.0</v>
      </c>
      <c r="S21" s="43"/>
      <c r="T21" s="44"/>
      <c r="U21" s="30"/>
      <c r="V21" s="24"/>
      <c r="W21" s="30"/>
      <c r="X21" s="24"/>
      <c r="Y21" s="1"/>
      <c r="Z21" s="12"/>
      <c r="AA21" s="7" t="s">
        <v>37</v>
      </c>
      <c r="AB21" s="45">
        <v>3.0</v>
      </c>
      <c r="AC21" s="91">
        <v>10.0</v>
      </c>
      <c r="AD21" s="91">
        <v>8.0</v>
      </c>
      <c r="AE21" s="92"/>
      <c r="AF21" s="98"/>
      <c r="AG21" s="93"/>
      <c r="AH21" s="24"/>
      <c r="AI21" s="93"/>
      <c r="AJ21" s="24"/>
      <c r="AK21" s="32"/>
      <c r="AL21" s="12"/>
      <c r="AM21" s="7" t="s">
        <v>37</v>
      </c>
      <c r="AN21" s="45">
        <v>3.0</v>
      </c>
      <c r="AO21" s="91">
        <v>10.0</v>
      </c>
      <c r="AP21" s="91">
        <v>8.0</v>
      </c>
      <c r="AQ21" s="92"/>
      <c r="AR21" s="98"/>
      <c r="AS21" s="93"/>
      <c r="AT21" s="24"/>
      <c r="AU21" s="93"/>
      <c r="AV21" s="24"/>
    </row>
    <row r="22" ht="20.25" customHeight="1">
      <c r="A22" s="1"/>
      <c r="B22" s="1"/>
      <c r="C22" s="7" t="s">
        <v>30</v>
      </c>
      <c r="D22" s="45">
        <v>3.0</v>
      </c>
      <c r="E22" s="42" t="s">
        <v>16</v>
      </c>
      <c r="F22" s="42">
        <v>8.0</v>
      </c>
      <c r="G22" s="29"/>
      <c r="H22" s="29"/>
      <c r="I22" s="30"/>
      <c r="J22" s="24"/>
      <c r="K22" s="30"/>
      <c r="L22" s="24"/>
      <c r="M22" s="31"/>
      <c r="N22" s="1"/>
      <c r="O22" s="7" t="s">
        <v>30</v>
      </c>
      <c r="P22" s="45">
        <v>3.0</v>
      </c>
      <c r="Q22" s="42" t="s">
        <v>16</v>
      </c>
      <c r="R22" s="42">
        <v>8.0</v>
      </c>
      <c r="S22" s="29"/>
      <c r="T22" s="29"/>
      <c r="U22" s="30"/>
      <c r="V22" s="24"/>
      <c r="W22" s="30"/>
      <c r="X22" s="24"/>
      <c r="Y22" s="25"/>
      <c r="Z22" s="94"/>
      <c r="AA22" s="90" t="s">
        <v>30</v>
      </c>
      <c r="AB22" s="45">
        <v>3.0</v>
      </c>
      <c r="AC22" s="91" t="s">
        <v>16</v>
      </c>
      <c r="AD22" s="91">
        <v>8.0</v>
      </c>
      <c r="AE22" s="92"/>
      <c r="AF22" s="92"/>
      <c r="AG22" s="93"/>
      <c r="AH22" s="24"/>
      <c r="AI22" s="93"/>
      <c r="AJ22" s="24"/>
      <c r="AK22" s="32"/>
      <c r="AL22" s="94"/>
      <c r="AM22" s="90" t="s">
        <v>30</v>
      </c>
      <c r="AN22" s="45">
        <v>3.0</v>
      </c>
      <c r="AO22" s="91" t="s">
        <v>16</v>
      </c>
      <c r="AP22" s="91">
        <v>8.0</v>
      </c>
      <c r="AQ22" s="92"/>
      <c r="AR22" s="92"/>
      <c r="AS22" s="93"/>
      <c r="AT22" s="24"/>
      <c r="AU22" s="93"/>
      <c r="AV22" s="24"/>
    </row>
    <row r="23" ht="20.25" customHeight="1">
      <c r="A23" s="1"/>
      <c r="B23" s="1"/>
      <c r="C23" s="90" t="s">
        <v>31</v>
      </c>
      <c r="D23" s="45">
        <v>3.0</v>
      </c>
      <c r="E23" s="42" t="s">
        <v>16</v>
      </c>
      <c r="F23" s="42">
        <v>8.0</v>
      </c>
      <c r="G23" s="29"/>
      <c r="H23" s="29"/>
      <c r="I23" s="30"/>
      <c r="J23" s="24"/>
      <c r="K23" s="30"/>
      <c r="L23" s="24"/>
      <c r="M23" s="31"/>
      <c r="N23" s="1"/>
      <c r="O23" s="90" t="s">
        <v>31</v>
      </c>
      <c r="P23" s="45">
        <v>3.0</v>
      </c>
      <c r="Q23" s="42" t="s">
        <v>16</v>
      </c>
      <c r="R23" s="42">
        <v>8.0</v>
      </c>
      <c r="S23" s="29"/>
      <c r="T23" s="29"/>
      <c r="U23" s="30"/>
      <c r="V23" s="24"/>
      <c r="W23" s="30"/>
      <c r="X23" s="24"/>
      <c r="Y23" s="25"/>
      <c r="Z23" s="94"/>
      <c r="AA23" s="90" t="s">
        <v>31</v>
      </c>
      <c r="AB23" s="45">
        <v>3.0</v>
      </c>
      <c r="AC23" s="91" t="s">
        <v>16</v>
      </c>
      <c r="AD23" s="91">
        <v>8.0</v>
      </c>
      <c r="AE23" s="92"/>
      <c r="AF23" s="92"/>
      <c r="AG23" s="93"/>
      <c r="AH23" s="24"/>
      <c r="AI23" s="93"/>
      <c r="AJ23" s="24"/>
      <c r="AK23" s="32"/>
      <c r="AL23" s="94"/>
      <c r="AM23" s="90" t="s">
        <v>31</v>
      </c>
      <c r="AN23" s="45">
        <v>3.0</v>
      </c>
      <c r="AO23" s="91" t="s">
        <v>16</v>
      </c>
      <c r="AP23" s="91">
        <v>8.0</v>
      </c>
      <c r="AQ23" s="92"/>
      <c r="AR23" s="92"/>
      <c r="AS23" s="93"/>
      <c r="AT23" s="24"/>
      <c r="AU23" s="93"/>
      <c r="AV23" s="24"/>
    </row>
    <row r="24" ht="20.25" customHeight="1">
      <c r="A24" s="1"/>
      <c r="B24" s="1"/>
      <c r="C24" s="90" t="s">
        <v>81</v>
      </c>
      <c r="D24" s="45">
        <v>3.0</v>
      </c>
      <c r="E24" s="42" t="s">
        <v>16</v>
      </c>
      <c r="F24" s="42">
        <v>8.0</v>
      </c>
      <c r="G24" s="29"/>
      <c r="H24" s="29"/>
      <c r="I24" s="30"/>
      <c r="J24" s="24"/>
      <c r="K24" s="30"/>
      <c r="L24" s="24"/>
      <c r="M24" s="31"/>
      <c r="N24" s="1"/>
      <c r="O24" s="90" t="s">
        <v>81</v>
      </c>
      <c r="P24" s="45">
        <v>3.0</v>
      </c>
      <c r="Q24" s="42" t="s">
        <v>16</v>
      </c>
      <c r="R24" s="42">
        <v>8.0</v>
      </c>
      <c r="S24" s="29"/>
      <c r="T24" s="29"/>
      <c r="U24" s="30"/>
      <c r="V24" s="24"/>
      <c r="W24" s="30"/>
      <c r="X24" s="24"/>
      <c r="Y24" s="25"/>
      <c r="Z24" s="94"/>
      <c r="AA24" s="90" t="s">
        <v>81</v>
      </c>
      <c r="AB24" s="45">
        <v>3.0</v>
      </c>
      <c r="AC24" s="91" t="s">
        <v>16</v>
      </c>
      <c r="AD24" s="91">
        <v>8.0</v>
      </c>
      <c r="AE24" s="92"/>
      <c r="AF24" s="92"/>
      <c r="AG24" s="93"/>
      <c r="AH24" s="24"/>
      <c r="AI24" s="93"/>
      <c r="AJ24" s="24"/>
      <c r="AK24" s="32"/>
      <c r="AL24" s="94"/>
      <c r="AM24" s="90" t="s">
        <v>81</v>
      </c>
      <c r="AN24" s="45">
        <v>3.0</v>
      </c>
      <c r="AO24" s="91" t="s">
        <v>16</v>
      </c>
      <c r="AP24" s="91">
        <v>8.0</v>
      </c>
      <c r="AQ24" s="92"/>
      <c r="AR24" s="92"/>
      <c r="AS24" s="93"/>
      <c r="AT24" s="24"/>
      <c r="AU24" s="93"/>
      <c r="AV24" s="24"/>
    </row>
    <row r="25" ht="20.25" customHeight="1">
      <c r="A25" s="1"/>
      <c r="B25" s="1"/>
      <c r="C25" s="90" t="s">
        <v>18</v>
      </c>
      <c r="D25" s="45">
        <v>3.0</v>
      </c>
      <c r="E25" s="42" t="s">
        <v>16</v>
      </c>
      <c r="F25" s="42">
        <v>8.0</v>
      </c>
      <c r="G25" s="29"/>
      <c r="H25" s="29"/>
      <c r="I25" s="30"/>
      <c r="J25" s="24"/>
      <c r="K25" s="30"/>
      <c r="L25" s="24"/>
      <c r="M25" s="31"/>
      <c r="N25" s="1"/>
      <c r="O25" s="90" t="s">
        <v>18</v>
      </c>
      <c r="P25" s="45">
        <v>3.0</v>
      </c>
      <c r="Q25" s="42" t="s">
        <v>16</v>
      </c>
      <c r="R25" s="42">
        <v>8.0</v>
      </c>
      <c r="S25" s="29"/>
      <c r="T25" s="29"/>
      <c r="U25" s="30"/>
      <c r="V25" s="24"/>
      <c r="W25" s="30"/>
      <c r="X25" s="24"/>
      <c r="Y25" s="25"/>
      <c r="Z25" s="94"/>
      <c r="AA25" s="90" t="s">
        <v>18</v>
      </c>
      <c r="AB25" s="45">
        <v>3.0</v>
      </c>
      <c r="AC25" s="45" t="s">
        <v>16</v>
      </c>
      <c r="AD25" s="91">
        <v>8.0</v>
      </c>
      <c r="AE25" s="92"/>
      <c r="AF25" s="92"/>
      <c r="AG25" s="93"/>
      <c r="AH25" s="24"/>
      <c r="AI25" s="93"/>
      <c r="AJ25" s="24"/>
      <c r="AK25" s="32"/>
      <c r="AL25" s="94"/>
      <c r="AM25" s="90" t="s">
        <v>18</v>
      </c>
      <c r="AN25" s="45">
        <v>3.0</v>
      </c>
      <c r="AO25" s="45" t="s">
        <v>16</v>
      </c>
      <c r="AP25" s="91">
        <v>8.0</v>
      </c>
      <c r="AQ25" s="92"/>
      <c r="AR25" s="92"/>
      <c r="AS25" s="93"/>
      <c r="AT25" s="24"/>
      <c r="AU25" s="93"/>
      <c r="AV25" s="24"/>
    </row>
    <row r="26" ht="20.25" customHeight="1">
      <c r="A26" s="1"/>
      <c r="B26" s="1"/>
      <c r="C26" s="90" t="s">
        <v>20</v>
      </c>
      <c r="D26" s="45">
        <v>3.0</v>
      </c>
      <c r="E26" s="45" t="s">
        <v>16</v>
      </c>
      <c r="F26" s="42">
        <v>8.0</v>
      </c>
      <c r="G26" s="29"/>
      <c r="H26" s="29"/>
      <c r="I26" s="30"/>
      <c r="J26" s="24"/>
      <c r="K26" s="30"/>
      <c r="L26" s="24"/>
      <c r="M26" s="31"/>
      <c r="N26" s="1"/>
      <c r="O26" s="90" t="s">
        <v>20</v>
      </c>
      <c r="P26" s="45">
        <v>3.0</v>
      </c>
      <c r="Q26" s="45" t="s">
        <v>16</v>
      </c>
      <c r="R26" s="42">
        <v>8.0</v>
      </c>
      <c r="S26" s="29"/>
      <c r="T26" s="29"/>
      <c r="U26" s="30"/>
      <c r="V26" s="24"/>
      <c r="W26" s="30"/>
      <c r="X26" s="24"/>
      <c r="Y26" s="33"/>
      <c r="Z26" s="94"/>
      <c r="AA26" s="90" t="s">
        <v>20</v>
      </c>
      <c r="AB26" s="45">
        <v>3.0</v>
      </c>
      <c r="AC26" s="45" t="s">
        <v>16</v>
      </c>
      <c r="AD26" s="91">
        <v>8.0</v>
      </c>
      <c r="AE26" s="92"/>
      <c r="AF26" s="92"/>
      <c r="AG26" s="93"/>
      <c r="AH26" s="24"/>
      <c r="AI26" s="93"/>
      <c r="AJ26" s="24"/>
      <c r="AK26" s="32"/>
      <c r="AL26" s="94"/>
      <c r="AM26" s="90" t="s">
        <v>20</v>
      </c>
      <c r="AN26" s="45">
        <v>3.0</v>
      </c>
      <c r="AO26" s="45" t="s">
        <v>16</v>
      </c>
      <c r="AP26" s="91">
        <v>8.0</v>
      </c>
      <c r="AQ26" s="92"/>
      <c r="AR26" s="92"/>
      <c r="AS26" s="93"/>
      <c r="AT26" s="24"/>
      <c r="AU26" s="93"/>
      <c r="AV26" s="24"/>
    </row>
    <row r="27" ht="20.25" customHeight="1">
      <c r="A27" s="1"/>
      <c r="B27" s="17"/>
      <c r="C27" s="99" t="s">
        <v>82</v>
      </c>
      <c r="D27" s="100">
        <v>3.0</v>
      </c>
      <c r="E27" s="100" t="s">
        <v>16</v>
      </c>
      <c r="F27" s="101">
        <v>8.0</v>
      </c>
      <c r="G27" s="102"/>
      <c r="H27" s="102"/>
      <c r="I27" s="103"/>
      <c r="J27" s="11"/>
      <c r="K27" s="103"/>
      <c r="L27" s="11"/>
      <c r="M27" s="18"/>
      <c r="N27" s="17"/>
      <c r="O27" s="99" t="s">
        <v>82</v>
      </c>
      <c r="P27" s="100">
        <v>3.0</v>
      </c>
      <c r="Q27" s="100" t="s">
        <v>16</v>
      </c>
      <c r="R27" s="101">
        <v>8.0</v>
      </c>
      <c r="S27" s="102"/>
      <c r="T27" s="102"/>
      <c r="U27" s="103"/>
      <c r="V27" s="11"/>
      <c r="W27" s="103"/>
      <c r="X27" s="11"/>
      <c r="Y27" s="46"/>
      <c r="Z27" s="19"/>
      <c r="AA27" s="90" t="s">
        <v>82</v>
      </c>
      <c r="AB27" s="104">
        <v>3.0</v>
      </c>
      <c r="AC27" s="104" t="s">
        <v>16</v>
      </c>
      <c r="AD27" s="104">
        <v>8.0</v>
      </c>
      <c r="AE27" s="105"/>
      <c r="AF27" s="105"/>
      <c r="AG27" s="106"/>
      <c r="AH27" s="11"/>
      <c r="AI27" s="106"/>
      <c r="AJ27" s="11"/>
      <c r="AK27" s="47"/>
      <c r="AL27" s="19"/>
      <c r="AM27" s="90" t="s">
        <v>82</v>
      </c>
      <c r="AN27" s="104">
        <v>3.0</v>
      </c>
      <c r="AO27" s="104" t="s">
        <v>16</v>
      </c>
      <c r="AP27" s="104">
        <v>8.0</v>
      </c>
      <c r="AQ27" s="105"/>
      <c r="AR27" s="105"/>
      <c r="AS27" s="106"/>
      <c r="AT27" s="11"/>
      <c r="AU27" s="106"/>
      <c r="AV27" s="11"/>
    </row>
    <row r="28" ht="20.25" customHeight="1">
      <c r="A28" s="1"/>
      <c r="B28" s="1"/>
      <c r="C28" s="90" t="s">
        <v>83</v>
      </c>
      <c r="D28" s="42">
        <v>1.0</v>
      </c>
      <c r="E28" s="107" t="s">
        <v>84</v>
      </c>
      <c r="F28" s="107" t="s">
        <v>85</v>
      </c>
      <c r="G28" s="29"/>
      <c r="H28" s="29"/>
      <c r="I28" s="30"/>
      <c r="J28" s="24"/>
      <c r="K28" s="30"/>
      <c r="L28" s="24"/>
      <c r="M28" s="18"/>
      <c r="N28" s="1"/>
      <c r="O28" s="90" t="s">
        <v>83</v>
      </c>
      <c r="P28" s="42">
        <v>1.0</v>
      </c>
      <c r="Q28" s="107" t="s">
        <v>84</v>
      </c>
      <c r="R28" s="107" t="s">
        <v>85</v>
      </c>
      <c r="S28" s="29"/>
      <c r="T28" s="29"/>
      <c r="U28" s="30"/>
      <c r="V28" s="24"/>
      <c r="W28" s="30"/>
      <c r="X28" s="24"/>
      <c r="Y28" s="46"/>
      <c r="Z28" s="12"/>
      <c r="AA28" s="90" t="s">
        <v>83</v>
      </c>
      <c r="AB28" s="91">
        <v>1.0</v>
      </c>
      <c r="AC28" s="91" t="s">
        <v>84</v>
      </c>
      <c r="AD28" s="91" t="s">
        <v>85</v>
      </c>
      <c r="AE28" s="92"/>
      <c r="AF28" s="92"/>
      <c r="AG28" s="93"/>
      <c r="AH28" s="24"/>
      <c r="AI28" s="93"/>
      <c r="AJ28" s="24"/>
      <c r="AK28" s="47"/>
      <c r="AL28" s="12"/>
      <c r="AM28" s="90" t="s">
        <v>83</v>
      </c>
      <c r="AN28" s="91">
        <v>1.0</v>
      </c>
      <c r="AO28" s="91" t="s">
        <v>84</v>
      </c>
      <c r="AP28" s="91" t="s">
        <v>85</v>
      </c>
      <c r="AQ28" s="92"/>
      <c r="AR28" s="92"/>
      <c r="AS28" s="93"/>
      <c r="AT28" s="24"/>
      <c r="AU28" s="93"/>
      <c r="AV28" s="24"/>
    </row>
    <row r="29" ht="20.25" customHeight="1">
      <c r="A29" s="1"/>
      <c r="B29" s="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5"/>
      <c r="N29" s="1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2"/>
      <c r="Z29" s="12"/>
      <c r="AA29" s="96"/>
      <c r="AB29" s="19"/>
      <c r="AC29" s="19"/>
      <c r="AD29" s="19"/>
      <c r="AE29" s="19"/>
      <c r="AF29" s="19"/>
      <c r="AG29" s="19"/>
      <c r="AH29" s="19"/>
      <c r="AI29" s="19"/>
      <c r="AJ29" s="19"/>
      <c r="AK29" s="2"/>
      <c r="AL29" s="12"/>
      <c r="AM29" s="96"/>
      <c r="AN29" s="19"/>
      <c r="AO29" s="19"/>
      <c r="AP29" s="19"/>
      <c r="AQ29" s="19"/>
      <c r="AR29" s="19"/>
      <c r="AS29" s="19"/>
      <c r="AT29" s="19"/>
      <c r="AU29" s="19"/>
      <c r="AV29" s="19"/>
    </row>
    <row r="30" ht="20.25" customHeight="1">
      <c r="A30" s="1"/>
      <c r="B30" s="1"/>
      <c r="C30" s="37" t="s">
        <v>26</v>
      </c>
      <c r="D30" s="38"/>
      <c r="E30" s="38"/>
      <c r="F30" s="38"/>
      <c r="G30" s="38"/>
      <c r="H30" s="38"/>
      <c r="I30" s="38"/>
      <c r="J30" s="38"/>
      <c r="K30" s="38"/>
      <c r="L30" s="24"/>
      <c r="M30" s="5"/>
      <c r="N30" s="1"/>
      <c r="O30" s="37" t="s">
        <v>26</v>
      </c>
      <c r="P30" s="38"/>
      <c r="Q30" s="38"/>
      <c r="R30" s="38"/>
      <c r="S30" s="38"/>
      <c r="T30" s="38"/>
      <c r="U30" s="38"/>
      <c r="V30" s="38"/>
      <c r="W30" s="38"/>
      <c r="X30" s="24"/>
      <c r="Y30" s="48"/>
      <c r="Z30" s="94"/>
      <c r="AA30" s="108" t="s">
        <v>26</v>
      </c>
      <c r="AB30" s="38"/>
      <c r="AC30" s="38"/>
      <c r="AD30" s="38"/>
      <c r="AE30" s="38"/>
      <c r="AF30" s="38"/>
      <c r="AG30" s="38"/>
      <c r="AH30" s="38"/>
      <c r="AI30" s="38"/>
      <c r="AJ30" s="24"/>
      <c r="AK30" s="3"/>
      <c r="AL30" s="94"/>
      <c r="AM30" s="108" t="s">
        <v>26</v>
      </c>
      <c r="AN30" s="38"/>
      <c r="AO30" s="38"/>
      <c r="AP30" s="38"/>
      <c r="AQ30" s="38"/>
      <c r="AR30" s="38"/>
      <c r="AS30" s="38"/>
      <c r="AT30" s="38"/>
      <c r="AU30" s="38"/>
      <c r="AV30" s="24"/>
    </row>
    <row r="31" ht="27.0" customHeight="1">
      <c r="A31" s="4"/>
      <c r="B31" s="2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31"/>
      <c r="N31" s="2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33"/>
      <c r="Z31" s="94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32"/>
      <c r="AL31" s="94"/>
      <c r="AM31" s="96"/>
      <c r="AN31" s="96"/>
      <c r="AO31" s="96"/>
      <c r="AP31" s="96"/>
      <c r="AQ31" s="96"/>
      <c r="AR31" s="96"/>
      <c r="AS31" s="96"/>
      <c r="AT31" s="96"/>
      <c r="AU31" s="96"/>
      <c r="AV31" s="96"/>
    </row>
    <row r="32">
      <c r="A32" s="1"/>
      <c r="B32" s="17"/>
      <c r="C32" s="13" t="s">
        <v>86</v>
      </c>
      <c r="D32" s="40"/>
      <c r="E32" s="40"/>
      <c r="F32" s="1"/>
      <c r="G32" s="1"/>
      <c r="H32" s="1"/>
      <c r="I32" s="1"/>
      <c r="J32" s="1"/>
      <c r="K32" s="1"/>
      <c r="L32" s="1"/>
      <c r="M32" s="31"/>
      <c r="N32" s="17"/>
      <c r="O32" s="13" t="s">
        <v>86</v>
      </c>
      <c r="P32" s="40"/>
      <c r="Q32" s="40"/>
      <c r="R32" s="1"/>
      <c r="S32" s="1"/>
      <c r="T32" s="1"/>
      <c r="U32" s="1"/>
      <c r="V32" s="1"/>
      <c r="W32" s="1"/>
      <c r="X32" s="1"/>
      <c r="Y32" s="33"/>
      <c r="Z32" s="96"/>
      <c r="AA32" s="85" t="s">
        <v>86</v>
      </c>
      <c r="AB32" s="12"/>
      <c r="AC32" s="94"/>
      <c r="AD32" s="94"/>
      <c r="AE32" s="94"/>
      <c r="AF32" s="94"/>
      <c r="AG32" s="94"/>
      <c r="AH32" s="94"/>
      <c r="AI32" s="94"/>
      <c r="AJ32" s="94"/>
      <c r="AK32" s="32"/>
      <c r="AL32" s="96"/>
      <c r="AM32" s="85" t="s">
        <v>86</v>
      </c>
      <c r="AN32" s="12"/>
      <c r="AO32" s="94"/>
      <c r="AP32" s="94"/>
      <c r="AQ32" s="94"/>
      <c r="AR32" s="94"/>
      <c r="AS32" s="94"/>
      <c r="AT32" s="94"/>
      <c r="AU32" s="94"/>
      <c r="AV32" s="94"/>
    </row>
    <row r="33" ht="20.25" customHeight="1">
      <c r="A33" s="8"/>
      <c r="B33" s="49" t="s">
        <v>87</v>
      </c>
      <c r="C33" s="22" t="s">
        <v>6</v>
      </c>
      <c r="D33" s="22" t="s">
        <v>7</v>
      </c>
      <c r="E33" s="22" t="s">
        <v>8</v>
      </c>
      <c r="F33" s="21" t="s">
        <v>9</v>
      </c>
      <c r="G33" s="22" t="s">
        <v>10</v>
      </c>
      <c r="H33" s="22" t="s">
        <v>11</v>
      </c>
      <c r="I33" s="23" t="s">
        <v>12</v>
      </c>
      <c r="J33" s="24"/>
      <c r="K33" s="23" t="s">
        <v>13</v>
      </c>
      <c r="L33" s="24"/>
      <c r="M33" s="5"/>
      <c r="N33" s="49" t="s">
        <v>87</v>
      </c>
      <c r="O33" s="22" t="s">
        <v>6</v>
      </c>
      <c r="P33" s="22" t="s">
        <v>7</v>
      </c>
      <c r="Q33" s="22" t="s">
        <v>8</v>
      </c>
      <c r="R33" s="21" t="s">
        <v>9</v>
      </c>
      <c r="S33" s="22" t="s">
        <v>10</v>
      </c>
      <c r="T33" s="22" t="s">
        <v>11</v>
      </c>
      <c r="U33" s="23" t="s">
        <v>12</v>
      </c>
      <c r="V33" s="24"/>
      <c r="W33" s="23" t="s">
        <v>13</v>
      </c>
      <c r="X33" s="24"/>
      <c r="Y33" s="33"/>
      <c r="Z33" s="109" t="s">
        <v>87</v>
      </c>
      <c r="AA33" s="87" t="s">
        <v>6</v>
      </c>
      <c r="AB33" s="87" t="s">
        <v>7</v>
      </c>
      <c r="AC33" s="86" t="s">
        <v>8</v>
      </c>
      <c r="AD33" s="87" t="s">
        <v>9</v>
      </c>
      <c r="AE33" s="87" t="s">
        <v>10</v>
      </c>
      <c r="AF33" s="87" t="s">
        <v>11</v>
      </c>
      <c r="AG33" s="88" t="s">
        <v>12</v>
      </c>
      <c r="AH33" s="24"/>
      <c r="AI33" s="88" t="s">
        <v>13</v>
      </c>
      <c r="AJ33" s="24"/>
      <c r="AK33" s="50"/>
      <c r="AL33" s="109" t="s">
        <v>87</v>
      </c>
      <c r="AM33" s="87" t="s">
        <v>6</v>
      </c>
      <c r="AN33" s="87" t="s">
        <v>7</v>
      </c>
      <c r="AO33" s="86" t="s">
        <v>8</v>
      </c>
      <c r="AP33" s="87" t="s">
        <v>9</v>
      </c>
      <c r="AQ33" s="87" t="s">
        <v>10</v>
      </c>
      <c r="AR33" s="87" t="s">
        <v>11</v>
      </c>
      <c r="AS33" s="88" t="s">
        <v>12</v>
      </c>
      <c r="AT33" s="24"/>
      <c r="AU33" s="88" t="s">
        <v>13</v>
      </c>
      <c r="AV33" s="24"/>
    </row>
    <row r="34" ht="20.25" customHeight="1">
      <c r="A34" s="51"/>
      <c r="B34" s="1"/>
      <c r="C34" s="99" t="s">
        <v>36</v>
      </c>
      <c r="D34" s="42">
        <v>3.0</v>
      </c>
      <c r="E34" s="42">
        <v>8.0</v>
      </c>
      <c r="F34" s="42">
        <v>8.0</v>
      </c>
      <c r="G34" s="43"/>
      <c r="H34" s="29"/>
      <c r="I34" s="30"/>
      <c r="J34" s="24"/>
      <c r="K34" s="30"/>
      <c r="L34" s="24"/>
      <c r="M34" s="5"/>
      <c r="N34" s="1"/>
      <c r="O34" s="99" t="s">
        <v>36</v>
      </c>
      <c r="P34" s="42">
        <v>3.0</v>
      </c>
      <c r="Q34" s="42">
        <v>8.0</v>
      </c>
      <c r="R34" s="42">
        <v>8.0</v>
      </c>
      <c r="S34" s="43"/>
      <c r="T34" s="29"/>
      <c r="U34" s="30"/>
      <c r="V34" s="24"/>
      <c r="W34" s="30"/>
      <c r="X34" s="24"/>
      <c r="Y34" s="25"/>
      <c r="Z34" s="94"/>
      <c r="AA34" s="90" t="s">
        <v>36</v>
      </c>
      <c r="AB34" s="91">
        <v>3.0</v>
      </c>
      <c r="AC34" s="45">
        <v>8.0</v>
      </c>
      <c r="AD34" s="91">
        <v>8.0</v>
      </c>
      <c r="AE34" s="92"/>
      <c r="AF34" s="92"/>
      <c r="AG34" s="93"/>
      <c r="AH34" s="24"/>
      <c r="AI34" s="93"/>
      <c r="AJ34" s="24"/>
      <c r="AK34" s="52"/>
      <c r="AL34" s="94"/>
      <c r="AM34" s="90" t="s">
        <v>36</v>
      </c>
      <c r="AN34" s="91">
        <v>3.0</v>
      </c>
      <c r="AO34" s="45">
        <v>8.0</v>
      </c>
      <c r="AP34" s="91">
        <v>8.0</v>
      </c>
      <c r="AQ34" s="92"/>
      <c r="AR34" s="92"/>
      <c r="AS34" s="93"/>
      <c r="AT34" s="24"/>
      <c r="AU34" s="93"/>
      <c r="AV34" s="24"/>
    </row>
    <row r="35" ht="20.25" customHeight="1">
      <c r="A35" s="4"/>
      <c r="B35" s="1"/>
      <c r="C35" s="110" t="s">
        <v>17</v>
      </c>
      <c r="D35" s="45">
        <v>3.0</v>
      </c>
      <c r="E35" s="42" t="s">
        <v>16</v>
      </c>
      <c r="F35" s="42">
        <v>8.0</v>
      </c>
      <c r="G35" s="29"/>
      <c r="H35" s="29"/>
      <c r="I35" s="30"/>
      <c r="J35" s="24"/>
      <c r="K35" s="30"/>
      <c r="L35" s="24"/>
      <c r="M35" s="31"/>
      <c r="N35" s="1"/>
      <c r="O35" s="110" t="s">
        <v>17</v>
      </c>
      <c r="P35" s="45">
        <v>3.0</v>
      </c>
      <c r="Q35" s="42" t="s">
        <v>16</v>
      </c>
      <c r="R35" s="42">
        <v>8.0</v>
      </c>
      <c r="S35" s="29"/>
      <c r="T35" s="29"/>
      <c r="U35" s="30"/>
      <c r="V35" s="24"/>
      <c r="W35" s="30"/>
      <c r="X35" s="24"/>
      <c r="Y35" s="33"/>
      <c r="Z35" s="94"/>
      <c r="AA35" s="111" t="s">
        <v>17</v>
      </c>
      <c r="AB35" s="91">
        <v>3.0</v>
      </c>
      <c r="AC35" s="45" t="s">
        <v>16</v>
      </c>
      <c r="AD35" s="91">
        <v>8.0</v>
      </c>
      <c r="AE35" s="92"/>
      <c r="AF35" s="92"/>
      <c r="AG35" s="93"/>
      <c r="AH35" s="24"/>
      <c r="AI35" s="93"/>
      <c r="AJ35" s="24"/>
      <c r="AK35" s="32"/>
      <c r="AL35" s="94"/>
      <c r="AM35" s="111" t="s">
        <v>17</v>
      </c>
      <c r="AN35" s="91">
        <v>3.0</v>
      </c>
      <c r="AO35" s="45" t="s">
        <v>16</v>
      </c>
      <c r="AP35" s="91">
        <v>8.0</v>
      </c>
      <c r="AQ35" s="92"/>
      <c r="AR35" s="92"/>
      <c r="AS35" s="93"/>
      <c r="AT35" s="24"/>
      <c r="AU35" s="93"/>
      <c r="AV35" s="24"/>
    </row>
    <row r="36" ht="20.25" customHeight="1">
      <c r="A36" s="1"/>
      <c r="B36" s="1"/>
      <c r="C36" s="89" t="s">
        <v>88</v>
      </c>
      <c r="D36" s="42">
        <v>3.0</v>
      </c>
      <c r="E36" s="45" t="s">
        <v>16</v>
      </c>
      <c r="F36" s="42">
        <v>8.0</v>
      </c>
      <c r="G36" s="29"/>
      <c r="H36" s="53"/>
      <c r="I36" s="30"/>
      <c r="J36" s="24"/>
      <c r="K36" s="30"/>
      <c r="L36" s="24"/>
      <c r="M36" s="31"/>
      <c r="N36" s="1"/>
      <c r="O36" s="89" t="s">
        <v>88</v>
      </c>
      <c r="P36" s="42">
        <v>3.0</v>
      </c>
      <c r="Q36" s="45" t="s">
        <v>16</v>
      </c>
      <c r="R36" s="42">
        <v>8.0</v>
      </c>
      <c r="S36" s="29"/>
      <c r="T36" s="53"/>
      <c r="U36" s="30"/>
      <c r="V36" s="24"/>
      <c r="W36" s="30"/>
      <c r="X36" s="24"/>
      <c r="Y36" s="1"/>
      <c r="Z36" s="12"/>
      <c r="AA36" s="90" t="s">
        <v>88</v>
      </c>
      <c r="AB36" s="45">
        <v>3.0</v>
      </c>
      <c r="AC36" s="45" t="s">
        <v>16</v>
      </c>
      <c r="AD36" s="91">
        <v>8.0</v>
      </c>
      <c r="AE36" s="92"/>
      <c r="AF36" s="93"/>
      <c r="AG36" s="93"/>
      <c r="AH36" s="24"/>
      <c r="AI36" s="93"/>
      <c r="AJ36" s="24"/>
      <c r="AK36" s="32"/>
      <c r="AL36" s="12"/>
      <c r="AM36" s="90" t="s">
        <v>88</v>
      </c>
      <c r="AN36" s="45">
        <v>3.0</v>
      </c>
      <c r="AO36" s="45" t="s">
        <v>16</v>
      </c>
      <c r="AP36" s="91">
        <v>8.0</v>
      </c>
      <c r="AQ36" s="92"/>
      <c r="AR36" s="93"/>
      <c r="AS36" s="93"/>
      <c r="AT36" s="24"/>
      <c r="AU36" s="93"/>
      <c r="AV36" s="24"/>
    </row>
    <row r="37" ht="20.25" customHeight="1">
      <c r="A37" s="1"/>
      <c r="B37" s="1"/>
      <c r="C37" s="89" t="s">
        <v>89</v>
      </c>
      <c r="D37" s="42">
        <v>3.0</v>
      </c>
      <c r="E37" s="45" t="s">
        <v>16</v>
      </c>
      <c r="F37" s="42">
        <v>8.0</v>
      </c>
      <c r="G37" s="29"/>
      <c r="H37" s="53"/>
      <c r="I37" s="30"/>
      <c r="J37" s="24"/>
      <c r="K37" s="30"/>
      <c r="L37" s="24"/>
      <c r="M37" s="31"/>
      <c r="N37" s="1"/>
      <c r="O37" s="89" t="s">
        <v>89</v>
      </c>
      <c r="P37" s="42">
        <v>3.0</v>
      </c>
      <c r="Q37" s="45" t="s">
        <v>16</v>
      </c>
      <c r="R37" s="42">
        <v>8.0</v>
      </c>
      <c r="S37" s="29"/>
      <c r="T37" s="53"/>
      <c r="U37" s="30"/>
      <c r="V37" s="24"/>
      <c r="W37" s="30"/>
      <c r="X37" s="24"/>
      <c r="Y37" s="1"/>
      <c r="Z37" s="12"/>
      <c r="AA37" s="90" t="s">
        <v>89</v>
      </c>
      <c r="AB37" s="45">
        <v>3.0</v>
      </c>
      <c r="AC37" s="91" t="s">
        <v>16</v>
      </c>
      <c r="AD37" s="91">
        <v>8.0</v>
      </c>
      <c r="AE37" s="112"/>
      <c r="AF37" s="113"/>
      <c r="AG37" s="93"/>
      <c r="AH37" s="24"/>
      <c r="AI37" s="93"/>
      <c r="AJ37" s="24"/>
      <c r="AK37" s="32"/>
      <c r="AL37" s="12"/>
      <c r="AM37" s="90" t="s">
        <v>89</v>
      </c>
      <c r="AN37" s="45">
        <v>3.0</v>
      </c>
      <c r="AO37" s="91" t="s">
        <v>16</v>
      </c>
      <c r="AP37" s="91">
        <v>8.0</v>
      </c>
      <c r="AQ37" s="112"/>
      <c r="AR37" s="113"/>
      <c r="AS37" s="93"/>
      <c r="AT37" s="24"/>
      <c r="AU37" s="93"/>
      <c r="AV37" s="24"/>
    </row>
    <row r="38" ht="20.25" customHeight="1">
      <c r="A38" s="1"/>
      <c r="B38" s="1"/>
      <c r="C38" s="89" t="s">
        <v>32</v>
      </c>
      <c r="D38" s="54">
        <v>3.0</v>
      </c>
      <c r="E38" s="55" t="s">
        <v>16</v>
      </c>
      <c r="F38" s="42">
        <v>8.0</v>
      </c>
      <c r="G38" s="29"/>
      <c r="H38" s="29"/>
      <c r="I38" s="30"/>
      <c r="J38" s="24"/>
      <c r="K38" s="30"/>
      <c r="L38" s="24"/>
      <c r="M38" s="5"/>
      <c r="N38" s="1"/>
      <c r="O38" s="89" t="s">
        <v>32</v>
      </c>
      <c r="P38" s="54">
        <v>3.0</v>
      </c>
      <c r="Q38" s="55" t="s">
        <v>16</v>
      </c>
      <c r="R38" s="42">
        <v>8.0</v>
      </c>
      <c r="S38" s="29"/>
      <c r="T38" s="29"/>
      <c r="U38" s="30"/>
      <c r="V38" s="24"/>
      <c r="W38" s="30"/>
      <c r="X38" s="24"/>
      <c r="Y38" s="2"/>
      <c r="Z38" s="12"/>
      <c r="AA38" s="7" t="s">
        <v>32</v>
      </c>
      <c r="AB38" s="55">
        <v>3.0</v>
      </c>
      <c r="AC38" s="55" t="s">
        <v>16</v>
      </c>
      <c r="AD38" s="45">
        <v>8.0</v>
      </c>
      <c r="AE38" s="114"/>
      <c r="AF38" s="114"/>
      <c r="AG38" s="115"/>
      <c r="AH38" s="24"/>
      <c r="AI38" s="115"/>
      <c r="AJ38" s="24"/>
      <c r="AK38" s="2"/>
      <c r="AL38" s="12"/>
      <c r="AM38" s="7" t="s">
        <v>32</v>
      </c>
      <c r="AN38" s="55">
        <v>3.0</v>
      </c>
      <c r="AO38" s="55" t="s">
        <v>16</v>
      </c>
      <c r="AP38" s="45">
        <v>8.0</v>
      </c>
      <c r="AQ38" s="114"/>
      <c r="AR38" s="114"/>
      <c r="AS38" s="115"/>
      <c r="AT38" s="24"/>
      <c r="AU38" s="115"/>
      <c r="AV38" s="24"/>
    </row>
    <row r="39" ht="20.25" customHeight="1">
      <c r="A39" s="1"/>
      <c r="B39" s="17"/>
      <c r="C39" s="116" t="s">
        <v>90</v>
      </c>
      <c r="D39" s="45">
        <v>3.0</v>
      </c>
      <c r="E39" s="45" t="s">
        <v>16</v>
      </c>
      <c r="F39" s="42">
        <v>8.0</v>
      </c>
      <c r="G39" s="29"/>
      <c r="H39" s="29"/>
      <c r="I39" s="30"/>
      <c r="J39" s="24"/>
      <c r="K39" s="30"/>
      <c r="L39" s="24"/>
      <c r="M39" s="5"/>
      <c r="N39" s="17"/>
      <c r="O39" s="116" t="s">
        <v>90</v>
      </c>
      <c r="P39" s="45">
        <v>3.0</v>
      </c>
      <c r="Q39" s="45" t="s">
        <v>16</v>
      </c>
      <c r="R39" s="42">
        <v>8.0</v>
      </c>
      <c r="S39" s="29"/>
      <c r="T39" s="29"/>
      <c r="U39" s="30"/>
      <c r="V39" s="24"/>
      <c r="W39" s="30"/>
      <c r="X39" s="24"/>
      <c r="Y39" s="48"/>
      <c r="Z39" s="96"/>
      <c r="AA39" s="117" t="s">
        <v>90</v>
      </c>
      <c r="AB39" s="45">
        <v>3.0</v>
      </c>
      <c r="AC39" s="45" t="s">
        <v>16</v>
      </c>
      <c r="AD39" s="45">
        <v>8.0</v>
      </c>
      <c r="AE39" s="114"/>
      <c r="AF39" s="92"/>
      <c r="AG39" s="93"/>
      <c r="AH39" s="24"/>
      <c r="AI39" s="93"/>
      <c r="AJ39" s="24"/>
      <c r="AK39" s="3"/>
      <c r="AL39" s="96"/>
      <c r="AM39" s="117" t="s">
        <v>90</v>
      </c>
      <c r="AN39" s="45">
        <v>3.0</v>
      </c>
      <c r="AO39" s="45" t="s">
        <v>16</v>
      </c>
      <c r="AP39" s="45">
        <v>8.0</v>
      </c>
      <c r="AQ39" s="114"/>
      <c r="AR39" s="92"/>
      <c r="AS39" s="93"/>
      <c r="AT39" s="24"/>
      <c r="AU39" s="93"/>
      <c r="AV39" s="24"/>
    </row>
    <row r="40" ht="20.25" customHeight="1">
      <c r="A40" s="4"/>
      <c r="B40" s="17"/>
      <c r="C40" s="99" t="str">
        <f>HYPERLINK("https://youtu.be/h0XtRD5YUmo", "Overhead cable extension ")</f>
        <v>Overhead cable extension </v>
      </c>
      <c r="D40" s="45">
        <v>3.0</v>
      </c>
      <c r="E40" s="42" t="s">
        <v>16</v>
      </c>
      <c r="F40" s="42">
        <v>8.0</v>
      </c>
      <c r="G40" s="29"/>
      <c r="H40" s="56"/>
      <c r="I40" s="30"/>
      <c r="J40" s="24"/>
      <c r="K40" s="30"/>
      <c r="L40" s="24"/>
      <c r="M40" s="31"/>
      <c r="N40" s="17"/>
      <c r="O40" s="99" t="str">
        <f>HYPERLINK("https://youtu.be/h0XtRD5YUmo", "Overhead cable extension ")</f>
        <v>Overhead cable extension </v>
      </c>
      <c r="P40" s="45">
        <v>3.0</v>
      </c>
      <c r="Q40" s="42" t="s">
        <v>16</v>
      </c>
      <c r="R40" s="42">
        <v>8.0</v>
      </c>
      <c r="S40" s="29"/>
      <c r="T40" s="56"/>
      <c r="U40" s="30"/>
      <c r="V40" s="24"/>
      <c r="W40" s="30"/>
      <c r="X40" s="24"/>
      <c r="Y40" s="33"/>
      <c r="Z40" s="96"/>
      <c r="AA40" s="90" t="str">
        <f>HYPERLINK("https://youtu.be/h0XtRD5YUmo", "Overhead cable extension ")</f>
        <v>Overhead cable extension </v>
      </c>
      <c r="AB40" s="45">
        <v>3.0</v>
      </c>
      <c r="AC40" s="91" t="s">
        <v>16</v>
      </c>
      <c r="AD40" s="91">
        <v>8.0</v>
      </c>
      <c r="AE40" s="92"/>
      <c r="AF40" s="112"/>
      <c r="AG40" s="93"/>
      <c r="AH40" s="24"/>
      <c r="AI40" s="93"/>
      <c r="AJ40" s="24"/>
      <c r="AK40" s="32"/>
      <c r="AL40" s="96"/>
      <c r="AM40" s="90" t="str">
        <f>HYPERLINK("https://youtu.be/h0XtRD5YUmo", "Overhead cable extension ")</f>
        <v>Overhead cable extension </v>
      </c>
      <c r="AN40" s="45">
        <v>3.0</v>
      </c>
      <c r="AO40" s="91" t="s">
        <v>16</v>
      </c>
      <c r="AP40" s="91">
        <v>8.0</v>
      </c>
      <c r="AQ40" s="92"/>
      <c r="AR40" s="112"/>
      <c r="AS40" s="93"/>
      <c r="AT40" s="24"/>
      <c r="AU40" s="93"/>
      <c r="AV40" s="24"/>
    </row>
    <row r="41" ht="20.25" customHeight="1">
      <c r="A41" s="4"/>
      <c r="B41" s="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1"/>
      <c r="N41" s="1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33"/>
      <c r="Z41" s="94"/>
      <c r="AA41" s="19"/>
      <c r="AB41" s="19"/>
      <c r="AC41" s="96"/>
      <c r="AD41" s="96"/>
      <c r="AE41" s="96"/>
      <c r="AF41" s="96"/>
      <c r="AG41" s="96"/>
      <c r="AH41" s="96"/>
      <c r="AI41" s="96"/>
      <c r="AJ41" s="96"/>
      <c r="AK41" s="32"/>
      <c r="AL41" s="94"/>
      <c r="AM41" s="19"/>
      <c r="AN41" s="19"/>
      <c r="AO41" s="96"/>
      <c r="AP41" s="96"/>
      <c r="AQ41" s="96"/>
      <c r="AR41" s="96"/>
      <c r="AS41" s="96"/>
      <c r="AT41" s="96"/>
      <c r="AU41" s="96"/>
      <c r="AV41" s="96"/>
    </row>
    <row r="42" ht="20.25" customHeight="1">
      <c r="A42" s="1"/>
      <c r="B42" s="17"/>
      <c r="C42" s="118" t="s">
        <v>91</v>
      </c>
      <c r="D42" s="40"/>
      <c r="E42" s="40"/>
      <c r="F42" s="1"/>
      <c r="G42" s="1"/>
      <c r="H42" s="1"/>
      <c r="I42" s="1"/>
      <c r="J42" s="1"/>
      <c r="K42" s="1"/>
      <c r="L42" s="1"/>
      <c r="M42" s="31"/>
      <c r="N42" s="17"/>
      <c r="O42" s="118" t="s">
        <v>91</v>
      </c>
      <c r="P42" s="40"/>
      <c r="Q42" s="40"/>
      <c r="R42" s="1"/>
      <c r="S42" s="1"/>
      <c r="T42" s="1"/>
      <c r="U42" s="1"/>
      <c r="V42" s="1"/>
      <c r="W42" s="1"/>
      <c r="X42" s="1"/>
      <c r="Y42" s="33"/>
      <c r="Z42" s="96"/>
      <c r="AA42" s="119" t="s">
        <v>91</v>
      </c>
      <c r="AB42" s="12"/>
      <c r="AC42" s="94"/>
      <c r="AD42" s="94"/>
      <c r="AE42" s="94"/>
      <c r="AF42" s="94"/>
      <c r="AG42" s="94"/>
      <c r="AH42" s="94"/>
      <c r="AI42" s="94"/>
      <c r="AJ42" s="94"/>
      <c r="AK42" s="32"/>
      <c r="AL42" s="96"/>
      <c r="AM42" s="119" t="s">
        <v>91</v>
      </c>
      <c r="AN42" s="12"/>
      <c r="AO42" s="94"/>
      <c r="AP42" s="94"/>
      <c r="AQ42" s="94"/>
      <c r="AR42" s="94"/>
      <c r="AS42" s="94"/>
      <c r="AT42" s="94"/>
      <c r="AU42" s="94"/>
      <c r="AV42" s="94"/>
    </row>
    <row r="43" ht="20.25" customHeight="1">
      <c r="A43" s="1"/>
      <c r="B43" s="120" t="s">
        <v>34</v>
      </c>
      <c r="C43" s="121" t="s">
        <v>6</v>
      </c>
      <c r="D43" s="22" t="s">
        <v>7</v>
      </c>
      <c r="E43" s="22" t="s">
        <v>8</v>
      </c>
      <c r="F43" s="21" t="s">
        <v>9</v>
      </c>
      <c r="G43" s="22" t="s">
        <v>10</v>
      </c>
      <c r="H43" s="22" t="s">
        <v>11</v>
      </c>
      <c r="I43" s="23" t="s">
        <v>12</v>
      </c>
      <c r="J43" s="24"/>
      <c r="K43" s="23" t="s">
        <v>13</v>
      </c>
      <c r="L43" s="24"/>
      <c r="M43" s="31"/>
      <c r="N43" s="120" t="s">
        <v>34</v>
      </c>
      <c r="O43" s="121" t="s">
        <v>6</v>
      </c>
      <c r="P43" s="22" t="s">
        <v>7</v>
      </c>
      <c r="Q43" s="22" t="s">
        <v>8</v>
      </c>
      <c r="R43" s="21" t="s">
        <v>9</v>
      </c>
      <c r="S43" s="22" t="s">
        <v>10</v>
      </c>
      <c r="T43" s="22" t="s">
        <v>11</v>
      </c>
      <c r="U43" s="23" t="s">
        <v>12</v>
      </c>
      <c r="V43" s="24"/>
      <c r="W43" s="23" t="s">
        <v>13</v>
      </c>
      <c r="X43" s="24"/>
      <c r="Y43" s="33"/>
      <c r="Z43" s="122" t="s">
        <v>34</v>
      </c>
      <c r="AA43" s="123" t="s">
        <v>6</v>
      </c>
      <c r="AB43" s="86" t="s">
        <v>7</v>
      </c>
      <c r="AC43" s="87" t="s">
        <v>8</v>
      </c>
      <c r="AD43" s="87" t="s">
        <v>9</v>
      </c>
      <c r="AE43" s="87" t="s">
        <v>10</v>
      </c>
      <c r="AF43" s="87" t="s">
        <v>11</v>
      </c>
      <c r="AG43" s="88" t="s">
        <v>12</v>
      </c>
      <c r="AH43" s="24"/>
      <c r="AI43" s="88" t="s">
        <v>13</v>
      </c>
      <c r="AJ43" s="24"/>
      <c r="AK43" s="32"/>
      <c r="AL43" s="122" t="s">
        <v>34</v>
      </c>
      <c r="AM43" s="123" t="s">
        <v>6</v>
      </c>
      <c r="AN43" s="86" t="s">
        <v>7</v>
      </c>
      <c r="AO43" s="87" t="s">
        <v>8</v>
      </c>
      <c r="AP43" s="87" t="s">
        <v>9</v>
      </c>
      <c r="AQ43" s="87" t="s">
        <v>10</v>
      </c>
      <c r="AR43" s="87" t="s">
        <v>11</v>
      </c>
      <c r="AS43" s="88" t="s">
        <v>12</v>
      </c>
      <c r="AT43" s="24"/>
      <c r="AU43" s="88" t="s">
        <v>13</v>
      </c>
      <c r="AV43" s="24"/>
    </row>
    <row r="44" ht="20.25" customHeight="1">
      <c r="A44" s="4"/>
      <c r="B44" s="1"/>
      <c r="C44" s="89" t="s">
        <v>92</v>
      </c>
      <c r="D44" s="45">
        <v>3.0</v>
      </c>
      <c r="E44" s="42">
        <v>8.0</v>
      </c>
      <c r="F44" s="42">
        <v>8.0</v>
      </c>
      <c r="G44" s="43"/>
      <c r="H44" s="29"/>
      <c r="I44" s="30"/>
      <c r="J44" s="24"/>
      <c r="K44" s="30"/>
      <c r="L44" s="24"/>
      <c r="M44" s="31"/>
      <c r="N44" s="1"/>
      <c r="O44" s="89" t="s">
        <v>92</v>
      </c>
      <c r="P44" s="45">
        <v>3.0</v>
      </c>
      <c r="Q44" s="42">
        <v>8.0</v>
      </c>
      <c r="R44" s="42">
        <v>8.0</v>
      </c>
      <c r="S44" s="43"/>
      <c r="T44" s="29"/>
      <c r="U44" s="30"/>
      <c r="V44" s="24"/>
      <c r="W44" s="30"/>
      <c r="X44" s="24"/>
      <c r="Y44" s="33"/>
      <c r="Z44" s="94"/>
      <c r="AA44" s="7" t="s">
        <v>92</v>
      </c>
      <c r="AB44" s="45">
        <v>3.0</v>
      </c>
      <c r="AC44" s="91">
        <v>8.0</v>
      </c>
      <c r="AD44" s="91">
        <v>8.0</v>
      </c>
      <c r="AE44" s="92"/>
      <c r="AF44" s="92"/>
      <c r="AG44" s="93"/>
      <c r="AH44" s="24"/>
      <c r="AI44" s="93"/>
      <c r="AJ44" s="24"/>
      <c r="AK44" s="32"/>
      <c r="AL44" s="94"/>
      <c r="AM44" s="7" t="s">
        <v>92</v>
      </c>
      <c r="AN44" s="45">
        <v>3.0</v>
      </c>
      <c r="AO44" s="91">
        <v>8.0</v>
      </c>
      <c r="AP44" s="91">
        <v>8.0</v>
      </c>
      <c r="AQ44" s="92"/>
      <c r="AR44" s="92"/>
      <c r="AS44" s="93"/>
      <c r="AT44" s="24"/>
      <c r="AU44" s="93"/>
      <c r="AV44" s="24"/>
    </row>
    <row r="45" ht="20.25" customHeight="1">
      <c r="A45" s="1"/>
      <c r="B45" s="1"/>
      <c r="C45" s="124" t="s">
        <v>18</v>
      </c>
      <c r="D45" s="45">
        <v>3.0</v>
      </c>
      <c r="E45" s="42" t="s">
        <v>93</v>
      </c>
      <c r="F45" s="42">
        <v>8.0</v>
      </c>
      <c r="G45" s="29"/>
      <c r="H45" s="29"/>
      <c r="I45" s="30"/>
      <c r="J45" s="24"/>
      <c r="K45" s="30"/>
      <c r="L45" s="24"/>
      <c r="M45" s="31"/>
      <c r="N45" s="1"/>
      <c r="O45" s="124" t="s">
        <v>18</v>
      </c>
      <c r="P45" s="45">
        <v>3.0</v>
      </c>
      <c r="Q45" s="42" t="s">
        <v>93</v>
      </c>
      <c r="R45" s="42">
        <v>8.0</v>
      </c>
      <c r="S45" s="29"/>
      <c r="T45" s="29"/>
      <c r="U45" s="30"/>
      <c r="V45" s="24"/>
      <c r="W45" s="30"/>
      <c r="X45" s="24"/>
      <c r="Y45" s="33"/>
      <c r="Z45" s="94"/>
      <c r="AA45" s="90" t="s">
        <v>18</v>
      </c>
      <c r="AB45" s="45">
        <v>3.0</v>
      </c>
      <c r="AC45" s="125" t="s">
        <v>93</v>
      </c>
      <c r="AD45" s="91">
        <v>8.0</v>
      </c>
      <c r="AE45" s="92"/>
      <c r="AF45" s="92"/>
      <c r="AG45" s="93"/>
      <c r="AH45" s="24"/>
      <c r="AI45" s="93"/>
      <c r="AJ45" s="24"/>
      <c r="AK45" s="32"/>
      <c r="AL45" s="94"/>
      <c r="AM45" s="90" t="s">
        <v>18</v>
      </c>
      <c r="AN45" s="45">
        <v>3.0</v>
      </c>
      <c r="AO45" s="125" t="s">
        <v>93</v>
      </c>
      <c r="AP45" s="91">
        <v>8.0</v>
      </c>
      <c r="AQ45" s="92"/>
      <c r="AR45" s="92"/>
      <c r="AS45" s="93"/>
      <c r="AT45" s="24"/>
      <c r="AU45" s="93"/>
      <c r="AV45" s="24"/>
    </row>
    <row r="46" ht="20.25" customHeight="1">
      <c r="A46" s="1"/>
      <c r="B46" s="1"/>
      <c r="C46" s="124" t="s">
        <v>38</v>
      </c>
      <c r="D46" s="45">
        <v>3.0</v>
      </c>
      <c r="E46" s="42" t="s">
        <v>16</v>
      </c>
      <c r="F46" s="42">
        <v>8.0</v>
      </c>
      <c r="G46" s="29"/>
      <c r="H46" s="29"/>
      <c r="I46" s="30"/>
      <c r="J46" s="24"/>
      <c r="K46" s="30"/>
      <c r="L46" s="24"/>
      <c r="M46" s="18"/>
      <c r="N46" s="1"/>
      <c r="O46" s="124" t="s">
        <v>38</v>
      </c>
      <c r="P46" s="45">
        <v>3.0</v>
      </c>
      <c r="Q46" s="42" t="s">
        <v>16</v>
      </c>
      <c r="R46" s="42">
        <v>8.0</v>
      </c>
      <c r="S46" s="29"/>
      <c r="T46" s="29"/>
      <c r="U46" s="30"/>
      <c r="V46" s="24"/>
      <c r="W46" s="30"/>
      <c r="X46" s="24"/>
      <c r="Y46" s="126"/>
      <c r="Z46" s="12"/>
      <c r="AA46" s="90" t="s">
        <v>38</v>
      </c>
      <c r="AB46" s="91">
        <v>3.0</v>
      </c>
      <c r="AC46" s="91" t="s">
        <v>16</v>
      </c>
      <c r="AD46" s="91">
        <v>8.0</v>
      </c>
      <c r="AE46" s="92"/>
      <c r="AF46" s="92"/>
      <c r="AG46" s="93"/>
      <c r="AH46" s="24"/>
      <c r="AI46" s="93"/>
      <c r="AJ46" s="24"/>
      <c r="AK46" s="4"/>
      <c r="AL46" s="12"/>
      <c r="AM46" s="90" t="s">
        <v>38</v>
      </c>
      <c r="AN46" s="91">
        <v>3.0</v>
      </c>
      <c r="AO46" s="91" t="s">
        <v>16</v>
      </c>
      <c r="AP46" s="91">
        <v>8.0</v>
      </c>
      <c r="AQ46" s="92"/>
      <c r="AR46" s="92"/>
      <c r="AS46" s="93"/>
      <c r="AT46" s="24"/>
      <c r="AU46" s="93"/>
      <c r="AV46" s="24"/>
    </row>
    <row r="47" ht="20.25" customHeight="1">
      <c r="A47" s="1"/>
      <c r="B47" s="1"/>
      <c r="C47" s="99" t="s">
        <v>94</v>
      </c>
      <c r="D47" s="45">
        <v>3.0</v>
      </c>
      <c r="E47" s="42" t="s">
        <v>16</v>
      </c>
      <c r="F47" s="42">
        <v>8.0</v>
      </c>
      <c r="G47" s="29"/>
      <c r="H47" s="29"/>
      <c r="I47" s="30"/>
      <c r="J47" s="24"/>
      <c r="K47" s="30"/>
      <c r="L47" s="24"/>
      <c r="M47" s="5"/>
      <c r="N47" s="1"/>
      <c r="O47" s="99" t="s">
        <v>94</v>
      </c>
      <c r="P47" s="45">
        <v>3.0</v>
      </c>
      <c r="Q47" s="42" t="s">
        <v>16</v>
      </c>
      <c r="R47" s="42">
        <v>8.0</v>
      </c>
      <c r="S47" s="29"/>
      <c r="T47" s="29"/>
      <c r="U47" s="30"/>
      <c r="V47" s="24"/>
      <c r="W47" s="30"/>
      <c r="X47" s="24"/>
      <c r="Y47" s="2"/>
      <c r="Z47" s="12"/>
      <c r="AA47" s="7" t="s">
        <v>94</v>
      </c>
      <c r="AB47" s="45">
        <v>3.0</v>
      </c>
      <c r="AC47" s="45" t="s">
        <v>16</v>
      </c>
      <c r="AD47" s="45">
        <v>8.0</v>
      </c>
      <c r="AE47" s="114"/>
      <c r="AF47" s="114"/>
      <c r="AG47" s="115"/>
      <c r="AH47" s="24"/>
      <c r="AI47" s="115"/>
      <c r="AJ47" s="24"/>
      <c r="AK47" s="2"/>
      <c r="AL47" s="12"/>
      <c r="AM47" s="7" t="s">
        <v>94</v>
      </c>
      <c r="AN47" s="45">
        <v>3.0</v>
      </c>
      <c r="AO47" s="45" t="s">
        <v>16</v>
      </c>
      <c r="AP47" s="45">
        <v>8.0</v>
      </c>
      <c r="AQ47" s="114"/>
      <c r="AR47" s="114"/>
      <c r="AS47" s="115"/>
      <c r="AT47" s="24"/>
      <c r="AU47" s="115"/>
      <c r="AV47" s="24"/>
    </row>
    <row r="48" ht="20.25" customHeight="1">
      <c r="A48" s="1"/>
      <c r="B48" s="1"/>
      <c r="C48" s="124" t="s">
        <v>95</v>
      </c>
      <c r="D48" s="45">
        <v>3.0</v>
      </c>
      <c r="E48" s="42" t="s">
        <v>16</v>
      </c>
      <c r="F48" s="42">
        <v>8.0</v>
      </c>
      <c r="G48" s="29"/>
      <c r="H48" s="29"/>
      <c r="I48" s="30"/>
      <c r="J48" s="24"/>
      <c r="K48" s="30"/>
      <c r="L48" s="24"/>
      <c r="M48" s="5"/>
      <c r="N48" s="1"/>
      <c r="O48" s="124" t="s">
        <v>95</v>
      </c>
      <c r="P48" s="45">
        <v>3.0</v>
      </c>
      <c r="Q48" s="42" t="s">
        <v>16</v>
      </c>
      <c r="R48" s="42">
        <v>8.0</v>
      </c>
      <c r="S48" s="29"/>
      <c r="T48" s="29"/>
      <c r="U48" s="30"/>
      <c r="V48" s="24"/>
      <c r="W48" s="30"/>
      <c r="X48" s="24"/>
      <c r="Y48" s="3"/>
      <c r="Z48" s="12"/>
      <c r="AA48" s="7" t="s">
        <v>95</v>
      </c>
      <c r="AB48" s="45">
        <v>3.0</v>
      </c>
      <c r="AC48" s="45" t="s">
        <v>16</v>
      </c>
      <c r="AD48" s="45">
        <v>8.0</v>
      </c>
      <c r="AE48" s="114"/>
      <c r="AF48" s="114"/>
      <c r="AG48" s="115"/>
      <c r="AH48" s="24"/>
      <c r="AI48" s="115"/>
      <c r="AJ48" s="24"/>
      <c r="AK48" s="2"/>
      <c r="AL48" s="12"/>
      <c r="AM48" s="7" t="s">
        <v>95</v>
      </c>
      <c r="AN48" s="45">
        <v>3.0</v>
      </c>
      <c r="AO48" s="45" t="s">
        <v>16</v>
      </c>
      <c r="AP48" s="45">
        <v>8.0</v>
      </c>
      <c r="AQ48" s="114"/>
      <c r="AR48" s="114"/>
      <c r="AS48" s="115"/>
      <c r="AT48" s="24"/>
      <c r="AU48" s="115"/>
      <c r="AV48" s="24"/>
    </row>
    <row r="49" ht="20.25" customHeight="1">
      <c r="A49" s="1"/>
      <c r="B49" s="17"/>
      <c r="C49" s="99" t="s">
        <v>40</v>
      </c>
      <c r="D49" s="45">
        <v>3.0</v>
      </c>
      <c r="E49" s="127">
        <v>45211.0</v>
      </c>
      <c r="F49" s="42">
        <v>8.0</v>
      </c>
      <c r="G49" s="29"/>
      <c r="H49" s="29"/>
      <c r="I49" s="30"/>
      <c r="J49" s="24"/>
      <c r="K49" s="30"/>
      <c r="L49" s="24"/>
      <c r="M49" s="5"/>
      <c r="N49" s="17"/>
      <c r="O49" s="99" t="s">
        <v>40</v>
      </c>
      <c r="P49" s="45">
        <v>3.0</v>
      </c>
      <c r="Q49" s="127">
        <v>45211.0</v>
      </c>
      <c r="R49" s="42">
        <v>8.0</v>
      </c>
      <c r="S49" s="29"/>
      <c r="T49" s="29"/>
      <c r="U49" s="30"/>
      <c r="V49" s="24"/>
      <c r="W49" s="30"/>
      <c r="X49" s="24"/>
      <c r="Y49" s="58"/>
      <c r="Z49" s="19"/>
      <c r="AA49" s="7" t="s">
        <v>40</v>
      </c>
      <c r="AB49" s="45">
        <v>3.0</v>
      </c>
      <c r="AC49" s="125">
        <v>45211.0</v>
      </c>
      <c r="AD49" s="45">
        <v>8.0</v>
      </c>
      <c r="AE49" s="114"/>
      <c r="AF49" s="114"/>
      <c r="AG49" s="115"/>
      <c r="AH49" s="24"/>
      <c r="AI49" s="115"/>
      <c r="AJ49" s="24"/>
      <c r="AK49" s="2"/>
      <c r="AL49" s="19"/>
      <c r="AM49" s="7" t="s">
        <v>40</v>
      </c>
      <c r="AN49" s="45">
        <v>3.0</v>
      </c>
      <c r="AO49" s="125">
        <v>45211.0</v>
      </c>
      <c r="AP49" s="45">
        <v>8.0</v>
      </c>
      <c r="AQ49" s="114"/>
      <c r="AR49" s="114"/>
      <c r="AS49" s="115"/>
      <c r="AT49" s="24"/>
      <c r="AU49" s="115"/>
      <c r="AV49" s="24"/>
    </row>
    <row r="50" ht="20.25" customHeight="1">
      <c r="A50" s="1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5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2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2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</row>
    <row r="51" ht="20.25" customHeight="1">
      <c r="A51" s="1"/>
      <c r="B51" s="1"/>
      <c r="C51" s="37" t="s">
        <v>26</v>
      </c>
      <c r="D51" s="38"/>
      <c r="E51" s="38"/>
      <c r="F51" s="38"/>
      <c r="G51" s="38"/>
      <c r="H51" s="38"/>
      <c r="I51" s="38"/>
      <c r="J51" s="38"/>
      <c r="K51" s="38"/>
      <c r="L51" s="24"/>
      <c r="M51" s="5"/>
      <c r="N51" s="1"/>
      <c r="O51" s="37" t="s">
        <v>26</v>
      </c>
      <c r="P51" s="38"/>
      <c r="Q51" s="38"/>
      <c r="R51" s="38"/>
      <c r="S51" s="38"/>
      <c r="T51" s="38"/>
      <c r="U51" s="38"/>
      <c r="V51" s="38"/>
      <c r="W51" s="38"/>
      <c r="X51" s="24"/>
      <c r="Y51" s="2"/>
      <c r="Z51" s="12"/>
      <c r="AA51" s="108" t="s">
        <v>26</v>
      </c>
      <c r="AB51" s="38"/>
      <c r="AC51" s="38"/>
      <c r="AD51" s="38"/>
      <c r="AE51" s="38"/>
      <c r="AF51" s="38"/>
      <c r="AG51" s="38"/>
      <c r="AH51" s="38"/>
      <c r="AI51" s="38"/>
      <c r="AJ51" s="24"/>
      <c r="AK51" s="2"/>
      <c r="AL51" s="12"/>
      <c r="AM51" s="108" t="s">
        <v>26</v>
      </c>
      <c r="AN51" s="38"/>
      <c r="AO51" s="38"/>
      <c r="AP51" s="38"/>
      <c r="AQ51" s="38"/>
      <c r="AR51" s="38"/>
      <c r="AS51" s="38"/>
      <c r="AT51" s="38"/>
      <c r="AU51" s="38"/>
      <c r="AV51" s="24"/>
    </row>
    <row r="52" ht="20.25" customHeight="1">
      <c r="A52" s="1"/>
      <c r="B52" s="17"/>
      <c r="C52" s="17"/>
      <c r="D52" s="17"/>
      <c r="E52" s="17"/>
      <c r="F52" s="17"/>
      <c r="G52" s="57"/>
      <c r="H52" s="1"/>
      <c r="I52" s="1"/>
      <c r="J52" s="1"/>
      <c r="K52" s="1"/>
      <c r="L52" s="1"/>
      <c r="M52" s="5"/>
      <c r="N52" s="17"/>
      <c r="O52" s="17"/>
      <c r="P52" s="17"/>
      <c r="Q52" s="17"/>
      <c r="R52" s="17"/>
      <c r="S52" s="57"/>
      <c r="T52" s="1"/>
      <c r="U52" s="1"/>
      <c r="V52" s="1"/>
      <c r="W52" s="1"/>
      <c r="X52" s="1"/>
      <c r="Y52" s="58"/>
      <c r="Z52" s="19"/>
      <c r="AA52" s="19"/>
      <c r="AB52" s="19"/>
      <c r="AC52" s="19"/>
      <c r="AD52" s="19"/>
      <c r="AE52" s="12"/>
      <c r="AF52" s="12"/>
      <c r="AG52" s="12"/>
      <c r="AH52" s="12"/>
      <c r="AI52" s="12"/>
      <c r="AJ52" s="12"/>
      <c r="AK52" s="2"/>
      <c r="AL52" s="19"/>
      <c r="AM52" s="19"/>
      <c r="AN52" s="19"/>
      <c r="AO52" s="19"/>
      <c r="AP52" s="19"/>
      <c r="AQ52" s="12"/>
      <c r="AR52" s="12"/>
      <c r="AS52" s="12"/>
      <c r="AT52" s="12"/>
      <c r="AU52" s="12"/>
      <c r="AV52" s="12"/>
    </row>
    <row r="53" ht="20.25" customHeight="1">
      <c r="A53" s="1"/>
      <c r="B53" s="17"/>
      <c r="C53" s="17"/>
      <c r="D53" s="17"/>
      <c r="E53" s="17"/>
      <c r="F53" s="17"/>
      <c r="G53" s="57"/>
      <c r="H53" s="59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59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20.25" customHeight="1">
      <c r="A54" s="1"/>
      <c r="B54" s="60" t="s">
        <v>42</v>
      </c>
      <c r="C54" s="10"/>
      <c r="D54" s="10"/>
      <c r="E54" s="10"/>
      <c r="F54" s="11"/>
      <c r="G54" s="61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ht="20.25" customHeight="1">
      <c r="A55" s="1"/>
      <c r="B55" s="14"/>
      <c r="C55" s="15"/>
      <c r="D55" s="15"/>
      <c r="E55" s="15"/>
      <c r="F55" s="16"/>
      <c r="G55" s="61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ht="20.25" customHeight="1">
      <c r="A56" s="1"/>
      <c r="B56" s="62" t="s">
        <v>6</v>
      </c>
      <c r="C56" s="10"/>
      <c r="D56" s="11"/>
      <c r="E56" s="63" t="s">
        <v>7</v>
      </c>
      <c r="F56" s="63" t="s">
        <v>43</v>
      </c>
      <c r="G56" s="8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20.25" customHeight="1">
      <c r="A57" s="1"/>
      <c r="B57" s="14"/>
      <c r="C57" s="15"/>
      <c r="D57" s="16"/>
      <c r="E57" s="64"/>
      <c r="F57" s="64"/>
      <c r="G57" s="8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20.25" customHeight="1">
      <c r="A58" s="1"/>
      <c r="B58" s="65" t="s">
        <v>44</v>
      </c>
      <c r="C58" s="10"/>
      <c r="D58" s="10"/>
      <c r="E58" s="10"/>
      <c r="F58" s="11"/>
      <c r="G58" s="66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20.25" customHeight="1">
      <c r="A59" s="1"/>
      <c r="B59" s="14"/>
      <c r="C59" s="15"/>
      <c r="D59" s="15"/>
      <c r="E59" s="15"/>
      <c r="F59" s="16"/>
      <c r="G59" s="66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20.25" customHeight="1">
      <c r="A60" s="17"/>
      <c r="B60" s="67" t="s">
        <v>45</v>
      </c>
      <c r="C60" s="10"/>
      <c r="D60" s="11"/>
      <c r="E60" s="68">
        <v>1.0</v>
      </c>
      <c r="F60" s="69" t="s">
        <v>46</v>
      </c>
      <c r="G60" s="70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20.25" customHeight="1">
      <c r="A61" s="1"/>
      <c r="B61" s="14"/>
      <c r="C61" s="15"/>
      <c r="D61" s="16"/>
      <c r="E61" s="64"/>
      <c r="F61" s="64"/>
      <c r="G61" s="70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20.25" customHeight="1">
      <c r="A62" s="1"/>
      <c r="B62" s="67" t="s">
        <v>47</v>
      </c>
      <c r="C62" s="10"/>
      <c r="D62" s="11"/>
      <c r="E62" s="68">
        <v>1.0</v>
      </c>
      <c r="F62" s="69" t="s">
        <v>48</v>
      </c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20.25" customHeight="1">
      <c r="A63" s="1"/>
      <c r="B63" s="14"/>
      <c r="C63" s="15"/>
      <c r="D63" s="16"/>
      <c r="E63" s="64"/>
      <c r="F63" s="64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20.25" customHeight="1">
      <c r="A64" s="1"/>
      <c r="B64" s="71" t="s">
        <v>49</v>
      </c>
      <c r="C64" s="10"/>
      <c r="D64" s="11"/>
      <c r="E64" s="72">
        <v>1.0</v>
      </c>
      <c r="F64" s="73" t="s">
        <v>48</v>
      </c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20.25" customHeight="1">
      <c r="A65" s="1"/>
      <c r="B65" s="14"/>
      <c r="C65" s="15"/>
      <c r="D65" s="16"/>
      <c r="E65" s="64"/>
      <c r="F65" s="64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20.25" customHeight="1">
      <c r="A67" s="1"/>
      <c r="B67" s="2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20.25" customHeight="1">
      <c r="A68" s="1"/>
      <c r="B68" s="2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20.25" customHeight="1">
      <c r="A69" s="1"/>
      <c r="B69" s="128" t="s">
        <v>96</v>
      </c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20.25" customHeight="1">
      <c r="A70" s="1"/>
      <c r="B70" s="128" t="s">
        <v>97</v>
      </c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20.25" customHeight="1">
      <c r="A71" s="1"/>
      <c r="B71" s="128" t="s">
        <v>98</v>
      </c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20.25" customHeight="1">
      <c r="A72" s="1"/>
      <c r="B72" s="128"/>
      <c r="C72" s="75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20.25" customHeight="1">
      <c r="A73" s="1"/>
      <c r="B73" s="128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20.25" customHeight="1">
      <c r="A74" s="1"/>
      <c r="B74" s="2"/>
      <c r="C74" s="2"/>
      <c r="D74" s="3"/>
      <c r="E74" s="3"/>
      <c r="F74" s="2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20.25" customHeight="1">
      <c r="A75" s="1"/>
      <c r="B75" s="2"/>
      <c r="C75" s="2"/>
      <c r="D75" s="3"/>
      <c r="E75" s="3"/>
      <c r="F75" s="2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20.25" customHeight="1">
      <c r="A76" s="1"/>
      <c r="B76" s="4"/>
      <c r="C76" s="4"/>
      <c r="D76" s="76"/>
      <c r="E76" s="76"/>
      <c r="F76" s="4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20.25" customHeight="1">
      <c r="A77" s="1"/>
      <c r="B77" s="4"/>
      <c r="C77" s="4"/>
      <c r="D77" s="76"/>
      <c r="E77" s="76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20.25" customHeight="1">
      <c r="A78" s="1"/>
      <c r="B78" s="4"/>
      <c r="C78" s="4"/>
      <c r="D78" s="76"/>
      <c r="E78" s="76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20.25" customHeight="1">
      <c r="A79" s="1"/>
      <c r="B79" s="4"/>
      <c r="C79" s="4"/>
      <c r="D79" s="76"/>
      <c r="E79" s="76"/>
      <c r="F79" s="4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20.25" customHeight="1">
      <c r="A80" s="1"/>
      <c r="B80" s="4"/>
      <c r="C80" s="4"/>
      <c r="D80" s="76"/>
      <c r="E80" s="76"/>
      <c r="F80" s="4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1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1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20.25" customHeight="1">
      <c r="A86" s="1"/>
      <c r="B86" s="1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20.25" customHeight="1">
      <c r="A95" s="1"/>
      <c r="B95" s="2"/>
      <c r="C95" s="1"/>
      <c r="D95" s="40"/>
      <c r="E95" s="40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20.25" customHeight="1">
      <c r="A96" s="1"/>
      <c r="B96" s="2"/>
      <c r="C96" s="1"/>
      <c r="D96" s="40"/>
      <c r="E96" s="40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20.25" customHeight="1">
      <c r="A97" s="1"/>
      <c r="B97" s="2"/>
      <c r="C97" s="1"/>
      <c r="D97" s="40"/>
      <c r="E97" s="40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20.25" customHeight="1">
      <c r="A98" s="1"/>
      <c r="B98" s="2"/>
      <c r="C98" s="1"/>
      <c r="D98" s="40"/>
      <c r="E98" s="40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20.25" customHeight="1">
      <c r="A99" s="1"/>
      <c r="B99" s="2"/>
      <c r="C99" s="1"/>
      <c r="D99" s="40"/>
      <c r="E99" s="40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20.25" customHeight="1">
      <c r="A100" s="1"/>
      <c r="B100" s="2"/>
      <c r="C100" s="1"/>
      <c r="D100" s="40"/>
      <c r="E100" s="40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20.25" customHeight="1">
      <c r="A101" s="1"/>
      <c r="B101" s="2"/>
      <c r="C101" s="1"/>
      <c r="D101" s="40"/>
      <c r="E101" s="40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20.25" customHeight="1">
      <c r="A102" s="1"/>
      <c r="B102" s="2"/>
      <c r="C102" s="1"/>
      <c r="D102" s="40"/>
      <c r="E102" s="40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20.25" customHeight="1">
      <c r="A103" s="1"/>
      <c r="B103" s="2"/>
      <c r="C103" s="1"/>
      <c r="D103" s="40"/>
      <c r="E103" s="40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20.25" customHeight="1">
      <c r="A104" s="1"/>
      <c r="B104" s="2"/>
      <c r="C104" s="1"/>
      <c r="D104" s="40"/>
      <c r="E104" s="40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20.25" customHeight="1">
      <c r="A105" s="1"/>
      <c r="B105" s="2"/>
      <c r="C105" s="1"/>
      <c r="D105" s="40"/>
      <c r="E105" s="40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20.25" customHeight="1">
      <c r="A106" s="1"/>
      <c r="B106" s="2"/>
      <c r="C106" s="1"/>
      <c r="D106" s="40"/>
      <c r="E106" s="40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20.25" customHeight="1">
      <c r="A107" s="1"/>
      <c r="B107" s="2"/>
      <c r="C107" s="1"/>
      <c r="D107" s="40"/>
      <c r="E107" s="40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20.25" customHeight="1">
      <c r="A108" s="1"/>
      <c r="B108" s="2"/>
      <c r="C108" s="1"/>
      <c r="D108" s="40"/>
      <c r="E108" s="40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20.25" customHeight="1">
      <c r="A109" s="1"/>
      <c r="B109" s="2"/>
      <c r="C109" s="1"/>
      <c r="D109" s="40"/>
      <c r="E109" s="40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20.25" customHeight="1">
      <c r="A110" s="1"/>
      <c r="B110" s="2"/>
      <c r="C110" s="1"/>
      <c r="D110" s="40"/>
      <c r="E110" s="40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20.25" customHeight="1">
      <c r="A111" s="1"/>
      <c r="B111" s="2"/>
      <c r="C111" s="1"/>
      <c r="D111" s="40"/>
      <c r="E111" s="40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20.25" customHeight="1">
      <c r="A112" s="1"/>
      <c r="B112" s="2"/>
      <c r="C112" s="1"/>
      <c r="D112" s="40"/>
      <c r="E112" s="40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20.25" customHeight="1">
      <c r="A113" s="1"/>
      <c r="B113" s="2"/>
      <c r="C113" s="1"/>
      <c r="D113" s="40"/>
      <c r="E113" s="40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20.25" customHeight="1">
      <c r="A114" s="1"/>
      <c r="B114" s="2"/>
      <c r="C114" s="1"/>
      <c r="D114" s="40"/>
      <c r="E114" s="40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20.25" customHeight="1">
      <c r="A115" s="1"/>
      <c r="B115" s="2"/>
      <c r="C115" s="1"/>
      <c r="D115" s="40"/>
      <c r="E115" s="40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20.25" customHeight="1">
      <c r="A116" s="1"/>
      <c r="B116" s="2"/>
      <c r="C116" s="1"/>
      <c r="D116" s="40"/>
      <c r="E116" s="40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20.25" customHeight="1">
      <c r="A117" s="1"/>
      <c r="B117" s="2"/>
      <c r="C117" s="1"/>
      <c r="D117" s="40"/>
      <c r="E117" s="40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20.25" customHeight="1">
      <c r="A118" s="1"/>
      <c r="B118" s="2"/>
      <c r="C118" s="1"/>
      <c r="D118" s="40"/>
      <c r="E118" s="40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20.25" customHeight="1">
      <c r="A119" s="1"/>
      <c r="B119" s="2"/>
      <c r="C119" s="1"/>
      <c r="D119" s="40"/>
      <c r="E119" s="40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20.25" customHeight="1">
      <c r="A120" s="1"/>
      <c r="B120" s="2"/>
      <c r="C120" s="1"/>
      <c r="D120" s="40"/>
      <c r="E120" s="40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20.25" customHeight="1">
      <c r="A121" s="1"/>
      <c r="B121" s="2"/>
      <c r="C121" s="1"/>
      <c r="D121" s="40"/>
      <c r="E121" s="40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20.25" customHeight="1">
      <c r="A122" s="1"/>
      <c r="B122" s="2"/>
      <c r="C122" s="1"/>
      <c r="D122" s="40"/>
      <c r="E122" s="40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20.25" customHeight="1">
      <c r="A123" s="1"/>
      <c r="B123" s="2"/>
      <c r="C123" s="1"/>
      <c r="D123" s="40"/>
      <c r="E123" s="40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20.25" customHeight="1">
      <c r="A124" s="1"/>
      <c r="B124" s="2"/>
      <c r="C124" s="1"/>
      <c r="D124" s="40"/>
      <c r="E124" s="40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20.25" customHeight="1">
      <c r="A125" s="1"/>
      <c r="B125" s="2"/>
      <c r="C125" s="1"/>
      <c r="D125" s="40"/>
      <c r="E125" s="40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20.25" customHeight="1">
      <c r="A126" s="1"/>
      <c r="B126" s="2"/>
      <c r="C126" s="1"/>
      <c r="D126" s="40"/>
      <c r="E126" s="40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20.25" customHeight="1">
      <c r="A127" s="1"/>
      <c r="B127" s="2"/>
      <c r="C127" s="1"/>
      <c r="D127" s="40"/>
      <c r="E127" s="40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20.25" customHeight="1">
      <c r="A128" s="1"/>
      <c r="B128" s="2"/>
      <c r="C128" s="1"/>
      <c r="D128" s="40"/>
      <c r="E128" s="40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20.25" customHeight="1">
      <c r="A129" s="1"/>
      <c r="B129" s="2"/>
      <c r="C129" s="1"/>
      <c r="D129" s="40"/>
      <c r="E129" s="40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20.25" customHeight="1">
      <c r="A130" s="1"/>
      <c r="B130" s="2"/>
      <c r="C130" s="1"/>
      <c r="D130" s="40"/>
      <c r="E130" s="40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20.25" customHeight="1">
      <c r="A131" s="1"/>
      <c r="B131" s="2"/>
      <c r="C131" s="1"/>
      <c r="D131" s="40"/>
      <c r="E131" s="40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20.25" customHeight="1">
      <c r="A132" s="1"/>
      <c r="B132" s="2"/>
      <c r="C132" s="1"/>
      <c r="D132" s="40"/>
      <c r="E132" s="40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20.25" customHeight="1">
      <c r="A133" s="1"/>
      <c r="B133" s="2"/>
      <c r="C133" s="1"/>
      <c r="D133" s="40"/>
      <c r="E133" s="40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20.25" customHeight="1">
      <c r="A134" s="1"/>
      <c r="B134" s="2"/>
      <c r="C134" s="1"/>
      <c r="D134" s="40"/>
      <c r="E134" s="40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20.25" customHeight="1">
      <c r="A135" s="1"/>
      <c r="B135" s="2"/>
      <c r="C135" s="1"/>
      <c r="D135" s="40"/>
      <c r="E135" s="40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20.25" customHeight="1">
      <c r="A136" s="1"/>
      <c r="B136" s="2"/>
      <c r="C136" s="1"/>
      <c r="D136" s="40"/>
      <c r="E136" s="40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20.25" customHeight="1">
      <c r="A137" s="1"/>
      <c r="B137" s="2"/>
      <c r="C137" s="1"/>
      <c r="D137" s="40"/>
      <c r="E137" s="40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20.25" customHeight="1">
      <c r="A138" s="1"/>
      <c r="B138" s="2"/>
      <c r="C138" s="1"/>
      <c r="D138" s="40"/>
      <c r="E138" s="40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20.25" customHeight="1">
      <c r="A139" s="1"/>
      <c r="B139" s="2"/>
      <c r="C139" s="1"/>
      <c r="D139" s="40"/>
      <c r="E139" s="40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20.25" customHeight="1">
      <c r="A140" s="1"/>
      <c r="B140" s="2"/>
      <c r="C140" s="1"/>
      <c r="D140" s="40"/>
      <c r="E140" s="40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20.25" customHeight="1">
      <c r="A141" s="1"/>
      <c r="B141" s="2"/>
      <c r="C141" s="1"/>
      <c r="D141" s="40"/>
      <c r="E141" s="40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20.25" customHeight="1">
      <c r="A142" s="1"/>
      <c r="B142" s="2"/>
      <c r="C142" s="1"/>
      <c r="D142" s="40"/>
      <c r="E142" s="40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20.25" customHeight="1">
      <c r="A143" s="1"/>
      <c r="B143" s="2"/>
      <c r="C143" s="1"/>
      <c r="D143" s="40"/>
      <c r="E143" s="40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20.25" customHeight="1">
      <c r="A144" s="1"/>
      <c r="B144" s="2"/>
      <c r="C144" s="1"/>
      <c r="D144" s="40"/>
      <c r="E144" s="40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20.25" customHeight="1">
      <c r="A145" s="1"/>
      <c r="B145" s="2"/>
      <c r="C145" s="1"/>
      <c r="D145" s="40"/>
      <c r="E145" s="40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20.25" customHeight="1">
      <c r="A146" s="1"/>
      <c r="B146" s="2"/>
      <c r="C146" s="1"/>
      <c r="D146" s="40"/>
      <c r="E146" s="40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20.25" customHeight="1">
      <c r="A147" s="1"/>
      <c r="B147" s="2"/>
      <c r="C147" s="1"/>
      <c r="D147" s="40"/>
      <c r="E147" s="40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20.25" customHeight="1">
      <c r="A148" s="1"/>
      <c r="B148" s="2"/>
      <c r="C148" s="1"/>
      <c r="D148" s="40"/>
      <c r="E148" s="40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20.25" customHeight="1">
      <c r="A149" s="1"/>
      <c r="B149" s="2"/>
      <c r="C149" s="1"/>
      <c r="D149" s="40"/>
      <c r="E149" s="40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20.25" customHeight="1">
      <c r="A150" s="1"/>
      <c r="B150" s="2"/>
      <c r="C150" s="1"/>
      <c r="D150" s="40"/>
      <c r="E150" s="40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20.25" customHeight="1">
      <c r="A151" s="1"/>
      <c r="B151" s="2"/>
      <c r="C151" s="1"/>
      <c r="D151" s="40"/>
      <c r="E151" s="40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20.25" customHeight="1">
      <c r="A152" s="1"/>
      <c r="B152" s="2"/>
      <c r="C152" s="1"/>
      <c r="D152" s="40"/>
      <c r="E152" s="40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20.25" customHeight="1">
      <c r="A153" s="1"/>
      <c r="B153" s="2"/>
      <c r="C153" s="1"/>
      <c r="D153" s="40"/>
      <c r="E153" s="40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20.25" customHeight="1">
      <c r="A154" s="1"/>
      <c r="B154" s="2"/>
      <c r="C154" s="1"/>
      <c r="D154" s="40"/>
      <c r="E154" s="40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20.25" customHeight="1">
      <c r="A155" s="1"/>
      <c r="B155" s="2"/>
      <c r="C155" s="1"/>
      <c r="D155" s="40"/>
      <c r="E155" s="40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20.25" customHeight="1">
      <c r="A156" s="1"/>
      <c r="B156" s="2"/>
      <c r="C156" s="1"/>
      <c r="D156" s="40"/>
      <c r="E156" s="40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20.25" customHeight="1">
      <c r="A157" s="1"/>
      <c r="B157" s="2"/>
      <c r="C157" s="1"/>
      <c r="D157" s="40"/>
      <c r="E157" s="40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20.25" customHeight="1">
      <c r="A158" s="1"/>
      <c r="B158" s="2"/>
      <c r="C158" s="1"/>
      <c r="D158" s="40"/>
      <c r="E158" s="40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20.25" customHeight="1">
      <c r="A159" s="1"/>
      <c r="B159" s="2"/>
      <c r="C159" s="1"/>
      <c r="D159" s="40"/>
      <c r="E159" s="40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20.25" customHeight="1">
      <c r="A160" s="1"/>
      <c r="B160" s="2"/>
      <c r="C160" s="77"/>
      <c r="D160" s="40"/>
      <c r="E160" s="40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20.25" customHeight="1">
      <c r="A161" s="1"/>
      <c r="B161" s="2"/>
      <c r="C161" s="77"/>
      <c r="D161" s="40"/>
      <c r="E161" s="40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20.25" customHeight="1">
      <c r="A162" s="1"/>
      <c r="B162" s="2"/>
      <c r="C162" s="77"/>
      <c r="D162" s="40"/>
      <c r="E162" s="40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20.25" customHeight="1">
      <c r="A163" s="1"/>
      <c r="B163" s="2"/>
      <c r="C163" s="77"/>
      <c r="D163" s="40"/>
      <c r="E163" s="40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20.25" customHeight="1">
      <c r="A164" s="1"/>
      <c r="B164" s="2"/>
      <c r="C164" s="77"/>
      <c r="D164" s="40"/>
      <c r="E164" s="40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20.25" customHeight="1">
      <c r="A165" s="1"/>
      <c r="B165" s="2"/>
      <c r="C165" s="77"/>
      <c r="D165" s="40"/>
      <c r="E165" s="40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0.25" customHeight="1">
      <c r="A166" s="1"/>
      <c r="B166" s="2"/>
      <c r="C166" s="77"/>
      <c r="D166" s="40"/>
      <c r="E166" s="40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0.25" customHeight="1">
      <c r="A167" s="1"/>
      <c r="B167" s="2"/>
      <c r="C167" s="77"/>
      <c r="D167" s="40"/>
      <c r="E167" s="40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0.25" customHeight="1">
      <c r="A168" s="1"/>
      <c r="B168" s="2"/>
      <c r="C168" s="77"/>
      <c r="D168" s="40"/>
      <c r="E168" s="40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0.25" customHeight="1">
      <c r="A169" s="1"/>
      <c r="B169" s="2"/>
      <c r="C169" s="77"/>
      <c r="D169" s="40"/>
      <c r="E169" s="40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0.25" customHeight="1">
      <c r="A170" s="1"/>
      <c r="B170" s="50"/>
      <c r="C170" s="52"/>
      <c r="D170" s="40"/>
      <c r="E170" s="40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0.25" customHeight="1">
      <c r="A171" s="1"/>
      <c r="B171" s="50"/>
      <c r="C171" s="52"/>
      <c r="D171" s="40"/>
      <c r="E171" s="40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0.25" customHeight="1">
      <c r="A172" s="1"/>
      <c r="B172" s="50"/>
      <c r="C172" s="52"/>
      <c r="D172" s="40"/>
      <c r="E172" s="40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0.25" customHeight="1">
      <c r="A173" s="1"/>
      <c r="B173" s="78" t="s">
        <v>50</v>
      </c>
      <c r="C173" s="79" t="s">
        <v>51</v>
      </c>
      <c r="D173" s="40"/>
      <c r="E173" s="40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0.25" customHeight="1">
      <c r="A174" s="1"/>
      <c r="B174" s="78" t="s">
        <v>52</v>
      </c>
      <c r="C174" s="79" t="s">
        <v>53</v>
      </c>
      <c r="D174" s="40"/>
      <c r="E174" s="40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0.25" customHeight="1">
      <c r="A175" s="1"/>
      <c r="B175" s="78" t="s">
        <v>54</v>
      </c>
      <c r="C175" s="80">
        <v>24.0</v>
      </c>
      <c r="D175" s="40"/>
      <c r="E175" s="40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0.25" customHeight="1">
      <c r="A176" s="1"/>
      <c r="B176" s="78" t="s">
        <v>55</v>
      </c>
      <c r="C176" s="80">
        <v>174.5</v>
      </c>
      <c r="D176" s="40"/>
      <c r="E176" s="40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0.25" customHeight="1">
      <c r="A177" s="1"/>
      <c r="B177" s="78" t="s">
        <v>56</v>
      </c>
      <c r="C177" s="80">
        <v>78.0</v>
      </c>
      <c r="D177" s="40"/>
      <c r="E177" s="40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0.25" customHeight="1">
      <c r="A178" s="1"/>
      <c r="B178" s="78" t="s">
        <v>57</v>
      </c>
      <c r="C178" s="81" t="s">
        <v>58</v>
      </c>
      <c r="D178" s="40"/>
      <c r="E178" s="40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20.25" customHeight="1">
      <c r="A179" s="1"/>
      <c r="B179" s="78" t="s">
        <v>59</v>
      </c>
      <c r="C179" s="81" t="s">
        <v>60</v>
      </c>
      <c r="D179" s="40"/>
      <c r="E179" s="40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20.25" customHeight="1">
      <c r="A180" s="1"/>
      <c r="B180" s="78" t="s">
        <v>61</v>
      </c>
      <c r="C180" s="81" t="s">
        <v>62</v>
      </c>
      <c r="D180" s="40"/>
      <c r="E180" s="40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20.25" customHeight="1">
      <c r="A181" s="1"/>
      <c r="B181" s="78" t="s">
        <v>63</v>
      </c>
      <c r="C181" s="81" t="s">
        <v>64</v>
      </c>
      <c r="D181" s="40"/>
      <c r="E181" s="40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20.25" customHeight="1">
      <c r="A182" s="1"/>
      <c r="B182" s="78" t="s">
        <v>65</v>
      </c>
      <c r="C182" s="81" t="s">
        <v>66</v>
      </c>
      <c r="D182" s="40"/>
      <c r="E182" s="40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20.25" customHeight="1">
      <c r="A183" s="50"/>
      <c r="B183" s="78" t="s">
        <v>67</v>
      </c>
      <c r="C183" s="80" t="s">
        <v>68</v>
      </c>
      <c r="D183" s="82"/>
      <c r="E183" s="82"/>
      <c r="F183" s="50"/>
      <c r="G183" s="50"/>
      <c r="H183" s="50"/>
      <c r="I183" s="50"/>
      <c r="J183" s="50"/>
      <c r="K183" s="50"/>
      <c r="L183" s="50"/>
      <c r="M183" s="5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</row>
    <row r="184" ht="20.25" customHeight="1">
      <c r="A184" s="50"/>
      <c r="B184" s="78" t="s">
        <v>69</v>
      </c>
      <c r="C184" s="80">
        <v>0.0</v>
      </c>
      <c r="D184" s="82"/>
      <c r="E184" s="82"/>
      <c r="F184" s="50"/>
      <c r="G184" s="50"/>
      <c r="H184" s="50"/>
      <c r="I184" s="50"/>
      <c r="J184" s="50"/>
      <c r="K184" s="50"/>
      <c r="L184" s="50"/>
      <c r="M184" s="5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</row>
    <row r="185" ht="20.25" customHeight="1">
      <c r="A185" s="50"/>
      <c r="B185" s="78" t="s">
        <v>70</v>
      </c>
      <c r="C185" s="81" t="s">
        <v>71</v>
      </c>
      <c r="D185" s="82"/>
      <c r="E185" s="82"/>
      <c r="F185" s="50"/>
      <c r="G185" s="50"/>
      <c r="H185" s="50"/>
      <c r="I185" s="50"/>
      <c r="J185" s="50"/>
      <c r="K185" s="50"/>
      <c r="L185" s="50"/>
      <c r="M185" s="5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</row>
    <row r="186" ht="20.25" customHeight="1">
      <c r="A186" s="50"/>
      <c r="B186" s="78" t="s">
        <v>72</v>
      </c>
      <c r="C186" s="79" t="s">
        <v>73</v>
      </c>
      <c r="D186" s="82"/>
      <c r="E186" s="82"/>
      <c r="F186" s="50"/>
      <c r="G186" s="50"/>
      <c r="H186" s="50"/>
      <c r="I186" s="50"/>
      <c r="J186" s="50"/>
      <c r="K186" s="50"/>
      <c r="L186" s="50"/>
      <c r="M186" s="5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</row>
    <row r="187" ht="20.25" customHeight="1">
      <c r="A187" s="50"/>
      <c r="B187" s="83"/>
      <c r="C187" s="83"/>
      <c r="D187" s="82"/>
      <c r="E187" s="82"/>
      <c r="F187" s="50"/>
      <c r="G187" s="50"/>
      <c r="H187" s="50"/>
      <c r="I187" s="50"/>
      <c r="J187" s="50"/>
      <c r="K187" s="50"/>
      <c r="L187" s="50"/>
      <c r="M187" s="5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</row>
    <row r="188" ht="20.25" customHeight="1">
      <c r="A188" s="50"/>
      <c r="B188" s="83"/>
      <c r="C188" s="83"/>
      <c r="D188" s="82"/>
      <c r="E188" s="82"/>
      <c r="F188" s="50"/>
      <c r="G188" s="50"/>
      <c r="H188" s="50"/>
      <c r="I188" s="50"/>
      <c r="J188" s="50"/>
      <c r="K188" s="50"/>
      <c r="L188" s="50"/>
      <c r="M188" s="5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</row>
    <row r="189" ht="20.25" customHeight="1">
      <c r="A189" s="50"/>
      <c r="B189" s="83"/>
      <c r="C189" s="83"/>
      <c r="D189" s="82"/>
      <c r="E189" s="82"/>
      <c r="F189" s="50"/>
      <c r="G189" s="50"/>
      <c r="H189" s="50"/>
      <c r="I189" s="50"/>
      <c r="J189" s="50"/>
      <c r="K189" s="50"/>
      <c r="L189" s="50"/>
      <c r="M189" s="5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</row>
    <row r="190" ht="20.25" customHeight="1">
      <c r="A190" s="50"/>
      <c r="B190" s="83"/>
      <c r="C190" s="84"/>
      <c r="D190" s="82"/>
      <c r="E190" s="82"/>
      <c r="F190" s="50"/>
      <c r="G190" s="50"/>
      <c r="H190" s="50"/>
      <c r="I190" s="50"/>
      <c r="J190" s="50"/>
      <c r="K190" s="50"/>
      <c r="L190" s="50"/>
      <c r="M190" s="5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</row>
    <row r="191" ht="20.25" customHeight="1">
      <c r="A191" s="50"/>
      <c r="B191" s="50"/>
      <c r="C191" s="50"/>
      <c r="D191" s="82"/>
      <c r="E191" s="82"/>
      <c r="F191" s="50"/>
      <c r="G191" s="50"/>
      <c r="H191" s="50"/>
      <c r="I191" s="50"/>
      <c r="J191" s="50"/>
      <c r="K191" s="50"/>
      <c r="L191" s="50"/>
      <c r="M191" s="5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</row>
    <row r="192" ht="20.25" customHeight="1">
      <c r="A192" s="1"/>
      <c r="B192" s="50"/>
      <c r="C192" s="50"/>
      <c r="D192" s="40"/>
      <c r="E192" s="40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20.25" customHeight="1">
      <c r="A193" s="1"/>
      <c r="B193" s="50"/>
      <c r="C193" s="50"/>
      <c r="D193" s="40"/>
      <c r="E193" s="40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20.25" customHeight="1">
      <c r="A194" s="1"/>
      <c r="B194" s="2"/>
      <c r="C194" s="77"/>
      <c r="D194" s="40"/>
      <c r="E194" s="40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20.25" customHeight="1">
      <c r="A195" s="1"/>
      <c r="B195" s="2"/>
      <c r="C195" s="77"/>
      <c r="D195" s="40"/>
      <c r="E195" s="40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20.25" customHeight="1">
      <c r="A196" s="1"/>
      <c r="B196" s="2"/>
      <c r="C196" s="77"/>
      <c r="D196" s="40"/>
      <c r="E196" s="40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20.25" customHeight="1">
      <c r="A197" s="1"/>
      <c r="B197" s="2"/>
      <c r="C197" s="77"/>
      <c r="D197" s="40"/>
      <c r="E197" s="40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20.25" customHeight="1">
      <c r="A198" s="1"/>
      <c r="B198" s="2"/>
      <c r="C198" s="77"/>
      <c r="D198" s="40"/>
      <c r="E198" s="40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20.25" customHeight="1">
      <c r="A199" s="1"/>
      <c r="B199" s="2"/>
      <c r="C199" s="77"/>
      <c r="D199" s="40"/>
      <c r="E199" s="40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20.25" customHeight="1">
      <c r="A200" s="1"/>
      <c r="B200" s="2"/>
      <c r="C200" s="77"/>
      <c r="D200" s="40"/>
      <c r="E200" s="40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20.25" customHeight="1">
      <c r="A201" s="1"/>
      <c r="B201" s="2"/>
      <c r="C201" s="77"/>
      <c r="D201" s="40"/>
      <c r="E201" s="40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20.25" customHeight="1">
      <c r="A202" s="1"/>
      <c r="B202" s="2"/>
      <c r="C202" s="77"/>
      <c r="D202" s="40"/>
      <c r="E202" s="40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20.25" customHeight="1">
      <c r="A203" s="1"/>
      <c r="B203" s="2"/>
      <c r="C203" s="77"/>
      <c r="D203" s="40"/>
      <c r="E203" s="40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20.25" customHeight="1">
      <c r="A204" s="1"/>
      <c r="B204" s="2"/>
      <c r="C204" s="77"/>
      <c r="D204" s="40"/>
      <c r="E204" s="40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20.25" customHeight="1">
      <c r="A205" s="1"/>
      <c r="B205" s="2"/>
      <c r="C205" s="77"/>
      <c r="D205" s="40"/>
      <c r="E205" s="40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20.25" customHeight="1">
      <c r="A206" s="1"/>
      <c r="B206" s="2"/>
      <c r="C206" s="77"/>
      <c r="D206" s="40"/>
      <c r="E206" s="40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20.25" customHeight="1">
      <c r="A207" s="1"/>
      <c r="B207" s="2"/>
      <c r="C207" s="77"/>
      <c r="D207" s="40"/>
      <c r="E207" s="40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20.25" customHeight="1">
      <c r="A208" s="1"/>
      <c r="B208" s="2"/>
      <c r="C208" s="77"/>
      <c r="D208" s="40"/>
      <c r="E208" s="40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20.25" customHeight="1">
      <c r="A209" s="1"/>
      <c r="B209" s="2"/>
      <c r="C209" s="77"/>
      <c r="D209" s="40"/>
      <c r="E209" s="40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20.25" customHeight="1">
      <c r="A210" s="1"/>
      <c r="B210" s="2"/>
      <c r="C210" s="77"/>
      <c r="D210" s="40"/>
      <c r="E210" s="40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20.25" customHeight="1">
      <c r="A211" s="1"/>
      <c r="B211" s="2"/>
      <c r="C211" s="77"/>
      <c r="D211" s="40"/>
      <c r="E211" s="40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20.25" customHeight="1">
      <c r="A212" s="1"/>
      <c r="B212" s="2"/>
      <c r="C212" s="77"/>
      <c r="D212" s="40"/>
      <c r="E212" s="40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20.25" customHeight="1">
      <c r="A213" s="1"/>
      <c r="B213" s="2"/>
      <c r="C213" s="77"/>
      <c r="D213" s="40"/>
      <c r="E213" s="40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20.25" customHeight="1">
      <c r="A214" s="1"/>
      <c r="B214" s="2"/>
      <c r="C214" s="77"/>
      <c r="D214" s="40"/>
      <c r="E214" s="40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20.25" customHeight="1">
      <c r="A215" s="1"/>
      <c r="B215" s="2"/>
      <c r="C215" s="77"/>
      <c r="D215" s="40"/>
      <c r="E215" s="40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20.25" customHeight="1">
      <c r="A216" s="1"/>
      <c r="B216" s="2"/>
      <c r="C216" s="77"/>
      <c r="D216" s="40"/>
      <c r="E216" s="40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20.25" customHeight="1">
      <c r="A217" s="1"/>
      <c r="B217" s="2"/>
      <c r="C217" s="77"/>
      <c r="D217" s="40"/>
      <c r="E217" s="40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20.25" customHeight="1">
      <c r="A218" s="1"/>
      <c r="B218" s="2"/>
      <c r="C218" s="77"/>
      <c r="D218" s="40"/>
      <c r="E218" s="40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20.25" customHeight="1">
      <c r="A219" s="1"/>
      <c r="B219" s="2"/>
      <c r="C219" s="77"/>
      <c r="D219" s="40"/>
      <c r="E219" s="40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20.25" customHeight="1">
      <c r="A220" s="1"/>
      <c r="B220" s="2"/>
      <c r="C220" s="77"/>
      <c r="D220" s="40"/>
      <c r="E220" s="40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20.25" customHeight="1">
      <c r="A221" s="1"/>
      <c r="B221" s="2"/>
      <c r="C221" s="77"/>
      <c r="D221" s="40"/>
      <c r="E221" s="40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20.25" customHeight="1">
      <c r="A222" s="1"/>
      <c r="B222" s="2"/>
      <c r="C222" s="77"/>
      <c r="D222" s="40"/>
      <c r="E222" s="40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20.25" customHeight="1">
      <c r="A223" s="1"/>
      <c r="B223" s="2"/>
      <c r="C223" s="77"/>
      <c r="D223" s="40"/>
      <c r="E223" s="40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20.25" customHeight="1">
      <c r="A224" s="1"/>
      <c r="B224" s="2"/>
      <c r="C224" s="77"/>
      <c r="D224" s="40"/>
      <c r="E224" s="40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20.25" customHeight="1">
      <c r="A225" s="1"/>
      <c r="B225" s="2"/>
      <c r="C225" s="77"/>
      <c r="D225" s="40"/>
      <c r="E225" s="40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20.25" customHeight="1">
      <c r="A226" s="1"/>
      <c r="B226" s="2"/>
      <c r="C226" s="77"/>
      <c r="D226" s="40"/>
      <c r="E226" s="40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20.25" customHeight="1">
      <c r="A227" s="1"/>
      <c r="B227" s="2"/>
      <c r="C227" s="77"/>
      <c r="D227" s="40"/>
      <c r="E227" s="40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20.25" customHeight="1">
      <c r="A228" s="1"/>
      <c r="B228" s="2"/>
      <c r="C228" s="77"/>
      <c r="D228" s="40"/>
      <c r="E228" s="40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20.25" customHeight="1">
      <c r="A229" s="1"/>
      <c r="B229" s="2"/>
      <c r="C229" s="77"/>
      <c r="D229" s="40"/>
      <c r="E229" s="40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20.25" customHeight="1">
      <c r="A230" s="1"/>
      <c r="B230" s="2"/>
      <c r="C230" s="77"/>
      <c r="D230" s="40"/>
      <c r="E230" s="40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20.25" customHeight="1">
      <c r="A231" s="1"/>
      <c r="B231" s="2"/>
      <c r="C231" s="77"/>
      <c r="D231" s="40"/>
      <c r="E231" s="40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20.25" customHeight="1">
      <c r="A232" s="1"/>
      <c r="B232" s="2"/>
      <c r="C232" s="77"/>
      <c r="D232" s="40"/>
      <c r="E232" s="40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20.25" customHeight="1">
      <c r="A233" s="1"/>
      <c r="B233" s="2"/>
      <c r="C233" s="77"/>
      <c r="D233" s="40"/>
      <c r="E233" s="40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20.25" customHeight="1">
      <c r="A234" s="1"/>
      <c r="B234" s="2"/>
      <c r="C234" s="77"/>
      <c r="D234" s="40"/>
      <c r="E234" s="40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20.25" customHeight="1">
      <c r="A235" s="1"/>
      <c r="B235" s="2"/>
      <c r="C235" s="77"/>
      <c r="D235" s="40"/>
      <c r="E235" s="40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20.25" customHeight="1">
      <c r="A236" s="1"/>
      <c r="B236" s="2"/>
      <c r="C236" s="77"/>
      <c r="D236" s="40"/>
      <c r="E236" s="40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20.25" customHeight="1">
      <c r="A237" s="1"/>
      <c r="B237" s="2"/>
      <c r="C237" s="77"/>
      <c r="D237" s="40"/>
      <c r="E237" s="40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20.25" customHeight="1">
      <c r="A238" s="1"/>
      <c r="B238" s="2"/>
      <c r="C238" s="77"/>
      <c r="D238" s="40"/>
      <c r="E238" s="40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20.25" customHeight="1">
      <c r="A239" s="1"/>
      <c r="B239" s="2"/>
      <c r="C239" s="77"/>
      <c r="D239" s="40"/>
      <c r="E239" s="40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20.25" customHeight="1">
      <c r="A240" s="1"/>
      <c r="B240" s="2"/>
      <c r="C240" s="77"/>
      <c r="D240" s="40"/>
      <c r="E240" s="40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20.25" customHeight="1">
      <c r="A241" s="1"/>
      <c r="B241" s="2"/>
      <c r="C241" s="77"/>
      <c r="D241" s="40"/>
      <c r="E241" s="40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20.25" customHeight="1">
      <c r="A242" s="1"/>
      <c r="B242" s="2"/>
      <c r="C242" s="77"/>
      <c r="D242" s="40"/>
      <c r="E242" s="40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20.25" customHeight="1">
      <c r="A243" s="1"/>
      <c r="B243" s="2"/>
      <c r="C243" s="77"/>
      <c r="D243" s="40"/>
      <c r="E243" s="40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20.25" customHeight="1">
      <c r="A244" s="1"/>
      <c r="B244" s="2"/>
      <c r="C244" s="77"/>
      <c r="D244" s="40"/>
      <c r="E244" s="40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20.25" customHeight="1">
      <c r="A245" s="1"/>
      <c r="B245" s="2"/>
      <c r="C245" s="77"/>
      <c r="D245" s="40"/>
      <c r="E245" s="40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20.25" customHeight="1">
      <c r="A246" s="1"/>
      <c r="B246" s="2"/>
      <c r="C246" s="77"/>
      <c r="D246" s="40"/>
      <c r="E246" s="40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20.25" customHeight="1">
      <c r="A247" s="1"/>
      <c r="B247" s="2"/>
      <c r="C247" s="77"/>
      <c r="D247" s="40"/>
      <c r="E247" s="40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20.25" customHeight="1">
      <c r="A248" s="1"/>
      <c r="B248" s="2"/>
      <c r="C248" s="77"/>
      <c r="D248" s="40"/>
      <c r="E248" s="40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20.25" customHeight="1">
      <c r="A249" s="1"/>
      <c r="B249" s="2"/>
      <c r="C249" s="77"/>
      <c r="D249" s="40"/>
      <c r="E249" s="40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20.25" customHeight="1">
      <c r="A250" s="1"/>
      <c r="B250" s="2"/>
      <c r="C250" s="77"/>
      <c r="D250" s="40"/>
      <c r="E250" s="40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20.25" customHeight="1">
      <c r="A251" s="1"/>
      <c r="B251" s="2"/>
      <c r="C251" s="77"/>
      <c r="D251" s="40"/>
      <c r="E251" s="40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20.25" customHeight="1">
      <c r="A252" s="1"/>
      <c r="B252" s="2"/>
      <c r="C252" s="77"/>
      <c r="D252" s="40"/>
      <c r="E252" s="40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20.25" customHeight="1">
      <c r="A253" s="1"/>
      <c r="B253" s="2"/>
      <c r="C253" s="77"/>
      <c r="D253" s="40"/>
      <c r="E253" s="40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20.25" customHeight="1">
      <c r="A254" s="1"/>
      <c r="B254" s="2"/>
      <c r="C254" s="77"/>
      <c r="D254" s="40"/>
      <c r="E254" s="40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20.25" customHeight="1">
      <c r="A255" s="1"/>
      <c r="B255" s="2"/>
      <c r="C255" s="77"/>
      <c r="D255" s="40"/>
      <c r="E255" s="40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20.25" customHeight="1">
      <c r="A256" s="1"/>
      <c r="B256" s="2"/>
      <c r="C256" s="77"/>
      <c r="D256" s="40"/>
      <c r="E256" s="40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20.25" customHeight="1">
      <c r="A257" s="1"/>
      <c r="B257" s="2"/>
      <c r="C257" s="77"/>
      <c r="D257" s="40"/>
      <c r="E257" s="40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20.25" customHeight="1">
      <c r="A258" s="1"/>
      <c r="B258" s="2"/>
      <c r="C258" s="77"/>
      <c r="D258" s="40"/>
      <c r="E258" s="40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20.25" customHeight="1">
      <c r="A259" s="1"/>
      <c r="B259" s="2"/>
      <c r="C259" s="77"/>
      <c r="D259" s="40"/>
      <c r="E259" s="40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20.25" customHeight="1">
      <c r="A260" s="1"/>
      <c r="B260" s="2"/>
      <c r="C260" s="77"/>
      <c r="D260" s="40"/>
      <c r="E260" s="40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20.25" customHeight="1">
      <c r="A261" s="1"/>
      <c r="B261" s="2"/>
      <c r="C261" s="77"/>
      <c r="D261" s="40"/>
      <c r="E261" s="40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20.25" customHeight="1">
      <c r="A262" s="1"/>
      <c r="B262" s="2"/>
      <c r="C262" s="77"/>
      <c r="D262" s="40"/>
      <c r="E262" s="40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20.25" customHeight="1">
      <c r="A263" s="1"/>
      <c r="B263" s="2"/>
      <c r="C263" s="77"/>
      <c r="D263" s="40"/>
      <c r="E263" s="40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20.25" customHeight="1">
      <c r="A264" s="1"/>
      <c r="B264" s="2"/>
      <c r="C264" s="77"/>
      <c r="D264" s="40"/>
      <c r="E264" s="40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20.25" customHeight="1">
      <c r="A265" s="1"/>
      <c r="B265" s="2"/>
      <c r="C265" s="77"/>
      <c r="D265" s="40"/>
      <c r="E265" s="40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20.25" customHeight="1">
      <c r="A266" s="1"/>
      <c r="B266" s="2"/>
      <c r="C266" s="77"/>
      <c r="D266" s="40"/>
      <c r="E266" s="40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20.25" customHeight="1">
      <c r="A267" s="1"/>
      <c r="B267" s="2"/>
      <c r="C267" s="77"/>
      <c r="D267" s="40"/>
      <c r="E267" s="40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20.25" customHeight="1">
      <c r="A268" s="1"/>
      <c r="B268" s="2"/>
      <c r="C268" s="77"/>
      <c r="D268" s="40"/>
      <c r="E268" s="40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20.25" customHeight="1">
      <c r="A269" s="1"/>
      <c r="B269" s="2"/>
      <c r="C269" s="77"/>
      <c r="D269" s="40"/>
      <c r="E269" s="40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20.25" customHeight="1">
      <c r="A270" s="1"/>
      <c r="B270" s="2"/>
      <c r="C270" s="77"/>
      <c r="D270" s="40"/>
      <c r="E270" s="40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20.25" customHeight="1">
      <c r="A271" s="1"/>
      <c r="B271" s="2"/>
      <c r="C271" s="77"/>
      <c r="D271" s="40"/>
      <c r="E271" s="40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20.25" customHeight="1">
      <c r="A272" s="1"/>
      <c r="B272" s="2"/>
      <c r="C272" s="77"/>
      <c r="D272" s="40"/>
      <c r="E272" s="40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20.25" customHeight="1">
      <c r="A273" s="1"/>
      <c r="B273" s="2"/>
      <c r="C273" s="77"/>
      <c r="D273" s="40"/>
      <c r="E273" s="40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20.25" customHeight="1">
      <c r="A274" s="1"/>
      <c r="B274" s="2"/>
      <c r="C274" s="77"/>
      <c r="D274" s="40"/>
      <c r="E274" s="40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20.25" customHeight="1">
      <c r="A275" s="1"/>
      <c r="B275" s="2"/>
      <c r="C275" s="77"/>
      <c r="D275" s="40"/>
      <c r="E275" s="40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20.25" customHeight="1">
      <c r="A276" s="1"/>
      <c r="B276" s="2"/>
      <c r="C276" s="77"/>
      <c r="D276" s="40"/>
      <c r="E276" s="40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20.25" customHeight="1">
      <c r="A277" s="1"/>
      <c r="B277" s="2"/>
      <c r="C277" s="77"/>
      <c r="D277" s="40"/>
      <c r="E277" s="40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20.25" customHeight="1">
      <c r="A278" s="1"/>
      <c r="B278" s="2"/>
      <c r="C278" s="77"/>
      <c r="D278" s="40"/>
      <c r="E278" s="40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20.25" customHeight="1">
      <c r="A279" s="1"/>
      <c r="B279" s="2"/>
      <c r="C279" s="77"/>
      <c r="D279" s="40"/>
      <c r="E279" s="40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20.25" customHeight="1">
      <c r="A280" s="1"/>
      <c r="B280" s="2"/>
      <c r="C280" s="77"/>
      <c r="D280" s="40"/>
      <c r="E280" s="40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20.25" customHeight="1">
      <c r="A281" s="1"/>
      <c r="B281" s="2"/>
      <c r="C281" s="77"/>
      <c r="D281" s="40"/>
      <c r="E281" s="40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20.25" customHeight="1">
      <c r="A282" s="1"/>
      <c r="B282" s="2"/>
      <c r="C282" s="77"/>
      <c r="D282" s="40"/>
      <c r="E282" s="40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20.25" customHeight="1">
      <c r="A283" s="1"/>
      <c r="B283" s="2"/>
      <c r="C283" s="77"/>
      <c r="D283" s="40"/>
      <c r="E283" s="40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20.25" customHeight="1">
      <c r="A284" s="1"/>
      <c r="B284" s="2"/>
      <c r="C284" s="77"/>
      <c r="D284" s="40"/>
      <c r="E284" s="40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20.25" customHeight="1">
      <c r="A285" s="1"/>
      <c r="B285" s="2"/>
      <c r="C285" s="77"/>
      <c r="D285" s="40"/>
      <c r="E285" s="40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20.25" customHeight="1">
      <c r="A286" s="1"/>
      <c r="B286" s="2"/>
      <c r="C286" s="77"/>
      <c r="D286" s="40"/>
      <c r="E286" s="40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20.25" customHeight="1">
      <c r="A287" s="1"/>
      <c r="B287" s="2"/>
      <c r="C287" s="77"/>
      <c r="D287" s="40"/>
      <c r="E287" s="40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20.25" customHeight="1">
      <c r="A288" s="1"/>
      <c r="B288" s="2"/>
      <c r="C288" s="77"/>
      <c r="D288" s="40"/>
      <c r="E288" s="40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20.25" customHeight="1">
      <c r="A289" s="1"/>
      <c r="B289" s="2"/>
      <c r="C289" s="77"/>
      <c r="D289" s="40"/>
      <c r="E289" s="40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20.25" customHeight="1">
      <c r="A290" s="1"/>
      <c r="B290" s="2"/>
      <c r="C290" s="77"/>
      <c r="D290" s="40"/>
      <c r="E290" s="40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20.25" customHeight="1">
      <c r="A291" s="1"/>
      <c r="B291" s="2"/>
      <c r="C291" s="77"/>
      <c r="D291" s="40"/>
      <c r="E291" s="40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20.25" customHeight="1">
      <c r="A292" s="1"/>
      <c r="B292" s="2"/>
      <c r="C292" s="77"/>
      <c r="D292" s="40"/>
      <c r="E292" s="40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20.25" customHeight="1">
      <c r="A293" s="1"/>
      <c r="B293" s="2"/>
      <c r="C293" s="77"/>
      <c r="D293" s="40"/>
      <c r="E293" s="40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20.25" customHeight="1">
      <c r="A294" s="1"/>
      <c r="B294" s="2"/>
      <c r="C294" s="77"/>
      <c r="D294" s="40"/>
      <c r="E294" s="40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20.25" customHeight="1">
      <c r="A295" s="1"/>
      <c r="B295" s="2"/>
      <c r="C295" s="77"/>
      <c r="D295" s="40"/>
      <c r="E295" s="40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20.25" customHeight="1">
      <c r="A296" s="1"/>
      <c r="B296" s="2"/>
      <c r="C296" s="77"/>
      <c r="D296" s="40"/>
      <c r="E296" s="40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20.25" customHeight="1">
      <c r="A297" s="1"/>
      <c r="B297" s="2"/>
      <c r="C297" s="77"/>
      <c r="D297" s="40"/>
      <c r="E297" s="40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20.25" customHeight="1">
      <c r="A298" s="1"/>
      <c r="B298" s="2"/>
      <c r="C298" s="77"/>
      <c r="D298" s="40"/>
      <c r="E298" s="40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20.25" customHeight="1">
      <c r="A299" s="1"/>
      <c r="B299" s="2"/>
      <c r="C299" s="77"/>
      <c r="D299" s="40"/>
      <c r="E299" s="40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20.25" customHeight="1">
      <c r="A300" s="1"/>
      <c r="B300" s="2"/>
      <c r="C300" s="77"/>
      <c r="D300" s="40"/>
      <c r="E300" s="40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20.25" customHeight="1">
      <c r="A301" s="1"/>
      <c r="B301" s="2"/>
      <c r="C301" s="77"/>
      <c r="D301" s="40"/>
      <c r="E301" s="40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20.25" customHeight="1">
      <c r="A302" s="1"/>
      <c r="B302" s="2"/>
      <c r="C302" s="77"/>
      <c r="D302" s="40"/>
      <c r="E302" s="40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20.25" customHeight="1">
      <c r="A303" s="1"/>
      <c r="B303" s="2"/>
      <c r="C303" s="77"/>
      <c r="D303" s="40"/>
      <c r="E303" s="40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20.25" customHeight="1">
      <c r="A304" s="1"/>
      <c r="B304" s="2"/>
      <c r="C304" s="77"/>
      <c r="D304" s="40"/>
      <c r="E304" s="40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20.25" customHeight="1">
      <c r="A305" s="1"/>
      <c r="B305" s="2"/>
      <c r="C305" s="77"/>
      <c r="D305" s="40"/>
      <c r="E305" s="40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20.25" customHeight="1">
      <c r="A306" s="1"/>
      <c r="B306" s="2"/>
      <c r="C306" s="77"/>
      <c r="D306" s="40"/>
      <c r="E306" s="40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20.25" customHeight="1">
      <c r="A307" s="1"/>
      <c r="B307" s="2"/>
      <c r="C307" s="77"/>
      <c r="D307" s="40"/>
      <c r="E307" s="40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20.25" customHeight="1">
      <c r="A308" s="1"/>
      <c r="B308" s="2"/>
      <c r="C308" s="77"/>
      <c r="D308" s="40"/>
      <c r="E308" s="40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20.25" customHeight="1">
      <c r="A309" s="1"/>
      <c r="B309" s="2"/>
      <c r="C309" s="77"/>
      <c r="D309" s="40"/>
      <c r="E309" s="40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20.25" customHeight="1">
      <c r="A310" s="1"/>
      <c r="B310" s="2"/>
      <c r="C310" s="77"/>
      <c r="D310" s="40"/>
      <c r="E310" s="40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20.25" customHeight="1">
      <c r="A311" s="1"/>
      <c r="B311" s="2"/>
      <c r="C311" s="77"/>
      <c r="D311" s="40"/>
      <c r="E311" s="40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20.25" customHeight="1">
      <c r="A312" s="1"/>
      <c r="B312" s="2"/>
      <c r="C312" s="77"/>
      <c r="D312" s="40"/>
      <c r="E312" s="40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20.25" customHeight="1">
      <c r="A313" s="1"/>
      <c r="B313" s="2"/>
      <c r="C313" s="77"/>
      <c r="D313" s="40"/>
      <c r="E313" s="40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20.25" customHeight="1">
      <c r="A314" s="1"/>
      <c r="B314" s="2"/>
      <c r="C314" s="77"/>
      <c r="D314" s="40"/>
      <c r="E314" s="40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20.25" customHeight="1">
      <c r="A315" s="1"/>
      <c r="B315" s="2"/>
      <c r="C315" s="77"/>
      <c r="D315" s="40"/>
      <c r="E315" s="40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20.25" customHeight="1">
      <c r="A316" s="1"/>
      <c r="B316" s="2"/>
      <c r="C316" s="77"/>
      <c r="D316" s="40"/>
      <c r="E316" s="40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20.25" customHeight="1">
      <c r="A317" s="1"/>
      <c r="B317" s="2"/>
      <c r="C317" s="77"/>
      <c r="D317" s="40"/>
      <c r="E317" s="40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20.25" customHeight="1">
      <c r="A318" s="1"/>
      <c r="B318" s="2"/>
      <c r="C318" s="77"/>
      <c r="D318" s="40"/>
      <c r="E318" s="40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20.25" customHeight="1">
      <c r="A319" s="1"/>
      <c r="B319" s="2"/>
      <c r="C319" s="77"/>
      <c r="D319" s="40"/>
      <c r="E319" s="40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20.25" customHeight="1">
      <c r="A320" s="1"/>
      <c r="B320" s="2"/>
      <c r="C320" s="77"/>
      <c r="D320" s="40"/>
      <c r="E320" s="40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20.25" customHeight="1">
      <c r="A321" s="1"/>
      <c r="B321" s="2"/>
      <c r="C321" s="77"/>
      <c r="D321" s="40"/>
      <c r="E321" s="40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20.25" customHeight="1">
      <c r="A322" s="1"/>
      <c r="B322" s="2"/>
      <c r="C322" s="77"/>
      <c r="D322" s="40"/>
      <c r="E322" s="40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20.25" customHeight="1">
      <c r="A323" s="1"/>
      <c r="B323" s="2"/>
      <c r="C323" s="77"/>
      <c r="D323" s="40"/>
      <c r="E323" s="40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20.25" customHeight="1">
      <c r="A324" s="1"/>
      <c r="B324" s="2"/>
      <c r="C324" s="77"/>
      <c r="D324" s="40"/>
      <c r="E324" s="40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20.25" customHeight="1">
      <c r="A325" s="1"/>
      <c r="B325" s="2"/>
      <c r="C325" s="77"/>
      <c r="D325" s="40"/>
      <c r="E325" s="40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20.25" customHeight="1">
      <c r="A326" s="1"/>
      <c r="B326" s="2"/>
      <c r="C326" s="77"/>
      <c r="D326" s="40"/>
      <c r="E326" s="40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20.25" customHeight="1">
      <c r="A327" s="1"/>
      <c r="B327" s="2"/>
      <c r="C327" s="77"/>
      <c r="D327" s="40"/>
      <c r="E327" s="40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20.25" customHeight="1">
      <c r="A328" s="1"/>
      <c r="B328" s="2"/>
      <c r="C328" s="77"/>
      <c r="D328" s="40"/>
      <c r="E328" s="40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20.25" customHeight="1">
      <c r="A329" s="1"/>
      <c r="B329" s="2"/>
      <c r="C329" s="77"/>
      <c r="D329" s="40"/>
      <c r="E329" s="40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20.25" customHeight="1">
      <c r="A330" s="1"/>
      <c r="B330" s="2"/>
      <c r="C330" s="77"/>
      <c r="D330" s="40"/>
      <c r="E330" s="40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20.25" customHeight="1">
      <c r="A331" s="1"/>
      <c r="B331" s="2"/>
      <c r="C331" s="77"/>
      <c r="D331" s="40"/>
      <c r="E331" s="40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20.25" customHeight="1">
      <c r="A332" s="1"/>
      <c r="B332" s="2"/>
      <c r="C332" s="77"/>
      <c r="D332" s="40"/>
      <c r="E332" s="40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20.25" customHeight="1">
      <c r="A333" s="1"/>
      <c r="B333" s="2"/>
      <c r="C333" s="77"/>
      <c r="D333" s="40"/>
      <c r="E333" s="40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20.25" customHeight="1">
      <c r="A334" s="1"/>
      <c r="B334" s="2"/>
      <c r="C334" s="77"/>
      <c r="D334" s="40"/>
      <c r="E334" s="40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20.25" customHeight="1">
      <c r="A335" s="1"/>
      <c r="B335" s="2"/>
      <c r="C335" s="77"/>
      <c r="D335" s="40"/>
      <c r="E335" s="40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20.25" customHeight="1">
      <c r="A336" s="1"/>
      <c r="B336" s="2"/>
      <c r="C336" s="77"/>
      <c r="D336" s="40"/>
      <c r="E336" s="40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20.25" customHeight="1">
      <c r="A337" s="1"/>
      <c r="B337" s="2"/>
      <c r="C337" s="77"/>
      <c r="D337" s="40"/>
      <c r="E337" s="40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20.25" customHeight="1">
      <c r="A338" s="1"/>
      <c r="B338" s="2"/>
      <c r="C338" s="77"/>
      <c r="D338" s="40"/>
      <c r="E338" s="40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20.25" customHeight="1">
      <c r="A339" s="1"/>
      <c r="B339" s="2"/>
      <c r="C339" s="77"/>
      <c r="D339" s="40"/>
      <c r="E339" s="40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20.25" customHeight="1">
      <c r="A340" s="1"/>
      <c r="B340" s="2"/>
      <c r="C340" s="77"/>
      <c r="D340" s="40"/>
      <c r="E340" s="40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20.25" customHeight="1">
      <c r="A341" s="1"/>
      <c r="B341" s="2"/>
      <c r="C341" s="77"/>
      <c r="D341" s="40"/>
      <c r="E341" s="40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20.25" customHeight="1">
      <c r="A342" s="1"/>
      <c r="B342" s="2"/>
      <c r="C342" s="77"/>
      <c r="D342" s="40"/>
      <c r="E342" s="40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20.25" customHeight="1">
      <c r="A343" s="1"/>
      <c r="B343" s="2"/>
      <c r="C343" s="77"/>
      <c r="D343" s="40"/>
      <c r="E343" s="40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20.25" customHeight="1">
      <c r="A344" s="1"/>
      <c r="B344" s="2"/>
      <c r="C344" s="77"/>
      <c r="D344" s="40"/>
      <c r="E344" s="40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20.25" customHeight="1">
      <c r="A345" s="1"/>
      <c r="B345" s="2"/>
      <c r="C345" s="77"/>
      <c r="D345" s="40"/>
      <c r="E345" s="40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20.25" customHeight="1">
      <c r="A346" s="1"/>
      <c r="B346" s="2"/>
      <c r="C346" s="77"/>
      <c r="D346" s="40"/>
      <c r="E346" s="40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20.25" customHeight="1">
      <c r="A347" s="1"/>
      <c r="B347" s="2"/>
      <c r="C347" s="77"/>
      <c r="D347" s="40"/>
      <c r="E347" s="40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20.25" customHeight="1">
      <c r="A348" s="1"/>
      <c r="B348" s="2"/>
      <c r="C348" s="77"/>
      <c r="D348" s="40"/>
      <c r="E348" s="40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20.25" customHeight="1">
      <c r="A349" s="1"/>
      <c r="B349" s="2"/>
      <c r="C349" s="77"/>
      <c r="D349" s="40"/>
      <c r="E349" s="40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20.25" customHeight="1">
      <c r="A350" s="1"/>
      <c r="B350" s="2"/>
      <c r="C350" s="77"/>
      <c r="D350" s="40"/>
      <c r="E350" s="40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20.25" customHeight="1">
      <c r="A351" s="1"/>
      <c r="B351" s="2"/>
      <c r="C351" s="77"/>
      <c r="D351" s="40"/>
      <c r="E351" s="40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20.25" customHeight="1">
      <c r="A352" s="1"/>
      <c r="B352" s="2"/>
      <c r="C352" s="77"/>
      <c r="D352" s="40"/>
      <c r="E352" s="40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20.25" customHeight="1">
      <c r="A353" s="1"/>
      <c r="B353" s="2"/>
      <c r="C353" s="77"/>
      <c r="D353" s="40"/>
      <c r="E353" s="40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20.25" customHeight="1">
      <c r="A354" s="1"/>
      <c r="B354" s="2"/>
      <c r="C354" s="77"/>
      <c r="D354" s="40"/>
      <c r="E354" s="40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20.25" customHeight="1">
      <c r="A355" s="1"/>
      <c r="B355" s="2"/>
      <c r="C355" s="77"/>
      <c r="D355" s="40"/>
      <c r="E355" s="40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20.25" customHeight="1">
      <c r="A356" s="1"/>
      <c r="B356" s="2"/>
      <c r="C356" s="77"/>
      <c r="D356" s="40"/>
      <c r="E356" s="40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20.25" customHeight="1">
      <c r="A357" s="1"/>
      <c r="B357" s="2"/>
      <c r="C357" s="77"/>
      <c r="D357" s="40"/>
      <c r="E357" s="40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20.25" customHeight="1">
      <c r="A358" s="1"/>
      <c r="B358" s="2"/>
      <c r="C358" s="77"/>
      <c r="D358" s="40"/>
      <c r="E358" s="40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20.25" customHeight="1">
      <c r="A359" s="1"/>
      <c r="B359" s="2"/>
      <c r="C359" s="77"/>
      <c r="D359" s="40"/>
      <c r="E359" s="40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20.25" customHeight="1">
      <c r="A360" s="1"/>
      <c r="B360" s="2"/>
      <c r="C360" s="77"/>
      <c r="D360" s="40"/>
      <c r="E360" s="40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20.25" customHeight="1">
      <c r="A361" s="1"/>
      <c r="B361" s="2"/>
      <c r="C361" s="77"/>
      <c r="D361" s="40"/>
      <c r="E361" s="40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20.25" customHeight="1">
      <c r="A362" s="1"/>
      <c r="B362" s="2"/>
      <c r="C362" s="77"/>
      <c r="D362" s="40"/>
      <c r="E362" s="40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20.25" customHeight="1">
      <c r="A363" s="1"/>
      <c r="B363" s="2"/>
      <c r="C363" s="77"/>
      <c r="D363" s="40"/>
      <c r="E363" s="40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20.25" customHeight="1">
      <c r="A364" s="1"/>
      <c r="B364" s="2"/>
      <c r="C364" s="77"/>
      <c r="D364" s="40"/>
      <c r="E364" s="40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20.25" customHeight="1">
      <c r="A365" s="1"/>
      <c r="B365" s="2"/>
      <c r="C365" s="77"/>
      <c r="D365" s="40"/>
      <c r="E365" s="40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20.25" customHeight="1">
      <c r="A366" s="1"/>
      <c r="B366" s="2"/>
      <c r="C366" s="77"/>
      <c r="D366" s="40"/>
      <c r="E366" s="40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20.25" customHeight="1">
      <c r="A367" s="1"/>
      <c r="B367" s="2"/>
      <c r="C367" s="77"/>
      <c r="D367" s="40"/>
      <c r="E367" s="40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20.25" customHeight="1">
      <c r="A368" s="1"/>
      <c r="B368" s="2"/>
      <c r="C368" s="77"/>
      <c r="D368" s="40"/>
      <c r="E368" s="40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20.25" customHeight="1">
      <c r="A369" s="1"/>
      <c r="B369" s="2"/>
      <c r="C369" s="77"/>
      <c r="D369" s="40"/>
      <c r="E369" s="40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20.25" customHeight="1">
      <c r="A370" s="1"/>
      <c r="B370" s="2"/>
      <c r="C370" s="77"/>
      <c r="D370" s="40"/>
      <c r="E370" s="40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20.25" customHeight="1">
      <c r="A371" s="1"/>
      <c r="B371" s="2"/>
      <c r="C371" s="77"/>
      <c r="D371" s="40"/>
      <c r="E371" s="40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20.25" customHeight="1">
      <c r="A372" s="1"/>
      <c r="B372" s="2"/>
      <c r="C372" s="77"/>
      <c r="D372" s="40"/>
      <c r="E372" s="40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20.25" customHeight="1">
      <c r="A373" s="1"/>
      <c r="B373" s="2"/>
      <c r="C373" s="77"/>
      <c r="D373" s="40"/>
      <c r="E373" s="40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20.25" customHeight="1">
      <c r="A374" s="1"/>
      <c r="B374" s="2"/>
      <c r="C374" s="77"/>
      <c r="D374" s="40"/>
      <c r="E374" s="40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20.25" customHeight="1">
      <c r="A375" s="1"/>
      <c r="B375" s="2"/>
      <c r="C375" s="77"/>
      <c r="D375" s="40"/>
      <c r="E375" s="40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20.25" customHeight="1">
      <c r="A376" s="1"/>
      <c r="B376" s="2"/>
      <c r="C376" s="77"/>
      <c r="D376" s="40"/>
      <c r="E376" s="40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20.25" customHeight="1">
      <c r="A377" s="1"/>
      <c r="B377" s="2"/>
      <c r="C377" s="77"/>
      <c r="D377" s="40"/>
      <c r="E377" s="40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20.25" customHeight="1">
      <c r="A378" s="1"/>
      <c r="B378" s="2"/>
      <c r="C378" s="77"/>
      <c r="D378" s="40"/>
      <c r="E378" s="40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20.25" customHeight="1">
      <c r="A379" s="1"/>
      <c r="B379" s="2"/>
      <c r="C379" s="77"/>
      <c r="D379" s="40"/>
      <c r="E379" s="40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20.25" customHeight="1">
      <c r="A380" s="1"/>
      <c r="B380" s="2"/>
      <c r="C380" s="77"/>
      <c r="D380" s="40"/>
      <c r="E380" s="40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20.25" customHeight="1">
      <c r="A381" s="1"/>
      <c r="B381" s="2"/>
      <c r="C381" s="77"/>
      <c r="D381" s="40"/>
      <c r="E381" s="40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20.25" customHeight="1">
      <c r="A382" s="1"/>
      <c r="B382" s="2"/>
      <c r="C382" s="77"/>
      <c r="D382" s="40"/>
      <c r="E382" s="40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20.25" customHeight="1">
      <c r="A383" s="1"/>
      <c r="B383" s="2"/>
      <c r="C383" s="77"/>
      <c r="D383" s="40"/>
      <c r="E383" s="40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20.25" customHeight="1">
      <c r="A384" s="1"/>
      <c r="B384" s="2"/>
      <c r="C384" s="77"/>
      <c r="D384" s="40"/>
      <c r="E384" s="40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20.25" customHeight="1">
      <c r="A385" s="1"/>
      <c r="B385" s="2"/>
      <c r="C385" s="77"/>
      <c r="D385" s="40"/>
      <c r="E385" s="40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20.25" customHeight="1">
      <c r="A386" s="1"/>
      <c r="B386" s="2"/>
      <c r="C386" s="77"/>
      <c r="D386" s="40"/>
      <c r="E386" s="40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20.25" customHeight="1">
      <c r="A387" s="1"/>
      <c r="B387" s="2"/>
      <c r="C387" s="77"/>
      <c r="D387" s="40"/>
      <c r="E387" s="40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20.25" customHeight="1">
      <c r="A388" s="1"/>
      <c r="B388" s="2"/>
      <c r="C388" s="77"/>
      <c r="D388" s="40"/>
      <c r="E388" s="40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20.25" customHeight="1">
      <c r="A389" s="1"/>
      <c r="B389" s="2"/>
      <c r="C389" s="77"/>
      <c r="D389" s="40"/>
      <c r="E389" s="40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20.25" customHeight="1">
      <c r="A390" s="1"/>
      <c r="B390" s="2"/>
      <c r="C390" s="77"/>
      <c r="D390" s="40"/>
      <c r="E390" s="40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20.25" customHeight="1">
      <c r="A391" s="1"/>
      <c r="B391" s="2"/>
      <c r="C391" s="77"/>
      <c r="D391" s="40"/>
      <c r="E391" s="40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20.25" customHeight="1">
      <c r="A392" s="1"/>
      <c r="B392" s="2"/>
      <c r="C392" s="77"/>
      <c r="D392" s="40"/>
      <c r="E392" s="40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20.25" customHeight="1">
      <c r="A393" s="1"/>
      <c r="B393" s="2"/>
      <c r="C393" s="77"/>
      <c r="D393" s="40"/>
      <c r="E393" s="40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20.25" customHeight="1">
      <c r="A394" s="1"/>
      <c r="B394" s="2"/>
      <c r="C394" s="77"/>
      <c r="D394" s="40"/>
      <c r="E394" s="40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20.25" customHeight="1">
      <c r="A395" s="1"/>
      <c r="B395" s="2"/>
      <c r="C395" s="77"/>
      <c r="D395" s="40"/>
      <c r="E395" s="40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20.25" customHeight="1">
      <c r="A396" s="1"/>
      <c r="B396" s="2"/>
      <c r="C396" s="77"/>
      <c r="D396" s="40"/>
      <c r="E396" s="40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20.25" customHeight="1">
      <c r="A397" s="1"/>
      <c r="B397" s="2"/>
      <c r="C397" s="77"/>
      <c r="D397" s="40"/>
      <c r="E397" s="40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20.25" customHeight="1">
      <c r="A398" s="1"/>
      <c r="B398" s="2"/>
      <c r="C398" s="77"/>
      <c r="D398" s="40"/>
      <c r="E398" s="40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20.25" customHeight="1">
      <c r="A399" s="1"/>
      <c r="B399" s="2"/>
      <c r="C399" s="77"/>
      <c r="D399" s="40"/>
      <c r="E399" s="40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20.25" customHeight="1">
      <c r="A400" s="1"/>
      <c r="B400" s="2"/>
      <c r="C400" s="77"/>
      <c r="D400" s="40"/>
      <c r="E400" s="40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20.25" customHeight="1">
      <c r="A401" s="1"/>
      <c r="B401" s="2"/>
      <c r="C401" s="77"/>
      <c r="D401" s="40"/>
      <c r="E401" s="40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20.25" customHeight="1">
      <c r="A402" s="1"/>
      <c r="B402" s="2"/>
      <c r="C402" s="77"/>
      <c r="D402" s="40"/>
      <c r="E402" s="40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20.25" customHeight="1">
      <c r="A403" s="1"/>
      <c r="B403" s="2"/>
      <c r="C403" s="77"/>
      <c r="D403" s="40"/>
      <c r="E403" s="40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20.25" customHeight="1">
      <c r="A404" s="1"/>
      <c r="B404" s="2"/>
      <c r="C404" s="77"/>
      <c r="D404" s="40"/>
      <c r="E404" s="40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20.25" customHeight="1">
      <c r="A405" s="1"/>
      <c r="B405" s="2"/>
      <c r="C405" s="77"/>
      <c r="D405" s="40"/>
      <c r="E405" s="40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20.25" customHeight="1">
      <c r="A406" s="1"/>
      <c r="B406" s="2"/>
      <c r="C406" s="77"/>
      <c r="D406" s="40"/>
      <c r="E406" s="40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20.25" customHeight="1">
      <c r="A407" s="1"/>
      <c r="B407" s="2"/>
      <c r="C407" s="77"/>
      <c r="D407" s="40"/>
      <c r="E407" s="40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20.25" customHeight="1">
      <c r="A408" s="1"/>
      <c r="B408" s="2"/>
      <c r="C408" s="77"/>
      <c r="D408" s="40"/>
      <c r="E408" s="40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20.25" customHeight="1">
      <c r="A409" s="1"/>
      <c r="B409" s="2"/>
      <c r="C409" s="77"/>
      <c r="D409" s="40"/>
      <c r="E409" s="40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20.25" customHeight="1">
      <c r="A410" s="1"/>
      <c r="B410" s="2"/>
      <c r="C410" s="77"/>
      <c r="D410" s="40"/>
      <c r="E410" s="40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20.25" customHeight="1">
      <c r="A411" s="1"/>
      <c r="B411" s="2"/>
      <c r="C411" s="77"/>
      <c r="D411" s="40"/>
      <c r="E411" s="40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20.25" customHeight="1">
      <c r="A412" s="1"/>
      <c r="B412" s="2"/>
      <c r="C412" s="77"/>
      <c r="D412" s="40"/>
      <c r="E412" s="40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20.25" customHeight="1">
      <c r="A413" s="1"/>
      <c r="B413" s="2"/>
      <c r="C413" s="77"/>
      <c r="D413" s="40"/>
      <c r="E413" s="40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20.25" customHeight="1">
      <c r="A414" s="1"/>
      <c r="B414" s="2"/>
      <c r="C414" s="77"/>
      <c r="D414" s="40"/>
      <c r="E414" s="40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20.25" customHeight="1">
      <c r="A415" s="1"/>
      <c r="B415" s="2"/>
      <c r="C415" s="77"/>
      <c r="D415" s="40"/>
      <c r="E415" s="40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20.25" customHeight="1">
      <c r="A416" s="1"/>
      <c r="B416" s="2"/>
      <c r="C416" s="77"/>
      <c r="D416" s="40"/>
      <c r="E416" s="40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20.25" customHeight="1">
      <c r="A417" s="1"/>
      <c r="B417" s="2"/>
      <c r="C417" s="77"/>
      <c r="D417" s="40"/>
      <c r="E417" s="40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20.25" customHeight="1">
      <c r="A418" s="1"/>
      <c r="B418" s="2"/>
      <c r="C418" s="77"/>
      <c r="D418" s="40"/>
      <c r="E418" s="40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20.25" customHeight="1">
      <c r="A419" s="1"/>
      <c r="B419" s="2"/>
      <c r="C419" s="77"/>
      <c r="D419" s="40"/>
      <c r="E419" s="40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20.25" customHeight="1">
      <c r="A420" s="1"/>
      <c r="B420" s="2"/>
      <c r="C420" s="77"/>
      <c r="D420" s="40"/>
      <c r="E420" s="40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20.25" customHeight="1">
      <c r="A421" s="1"/>
      <c r="B421" s="2"/>
      <c r="C421" s="77"/>
      <c r="D421" s="40"/>
      <c r="E421" s="40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20.25" customHeight="1">
      <c r="A422" s="1"/>
      <c r="B422" s="2"/>
      <c r="C422" s="77"/>
      <c r="D422" s="40"/>
      <c r="E422" s="40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20.25" customHeight="1">
      <c r="A423" s="1"/>
      <c r="B423" s="2"/>
      <c r="C423" s="77"/>
      <c r="D423" s="40"/>
      <c r="E423" s="40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20.25" customHeight="1">
      <c r="A424" s="1"/>
      <c r="B424" s="2"/>
      <c r="C424" s="77"/>
      <c r="D424" s="40"/>
      <c r="E424" s="40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20.25" customHeight="1">
      <c r="A425" s="1"/>
      <c r="B425" s="2"/>
      <c r="C425" s="77"/>
      <c r="D425" s="40"/>
      <c r="E425" s="40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20.25" customHeight="1">
      <c r="A426" s="1"/>
      <c r="B426" s="2"/>
      <c r="C426" s="77"/>
      <c r="D426" s="40"/>
      <c r="E426" s="40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20.25" customHeight="1">
      <c r="A427" s="1"/>
      <c r="B427" s="2"/>
      <c r="C427" s="77"/>
      <c r="D427" s="40"/>
      <c r="E427" s="40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20.25" customHeight="1">
      <c r="A428" s="1"/>
      <c r="B428" s="2"/>
      <c r="C428" s="77"/>
      <c r="D428" s="40"/>
      <c r="E428" s="40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20.25" customHeight="1">
      <c r="A429" s="1"/>
      <c r="B429" s="2"/>
      <c r="C429" s="77"/>
      <c r="D429" s="40"/>
      <c r="E429" s="40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20.25" customHeight="1">
      <c r="A430" s="1"/>
      <c r="B430" s="2"/>
      <c r="C430" s="77"/>
      <c r="D430" s="40"/>
      <c r="E430" s="40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20.25" customHeight="1">
      <c r="A431" s="1"/>
      <c r="B431" s="2"/>
      <c r="C431" s="77"/>
      <c r="D431" s="40"/>
      <c r="E431" s="40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20.25" customHeight="1">
      <c r="A432" s="1"/>
      <c r="B432" s="2"/>
      <c r="C432" s="77"/>
      <c r="D432" s="40"/>
      <c r="E432" s="40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20.25" customHeight="1">
      <c r="A433" s="1"/>
      <c r="B433" s="2"/>
      <c r="C433" s="77"/>
      <c r="D433" s="40"/>
      <c r="E433" s="40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20.25" customHeight="1">
      <c r="A434" s="1"/>
      <c r="B434" s="2"/>
      <c r="C434" s="77"/>
      <c r="D434" s="40"/>
      <c r="E434" s="40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20.25" customHeight="1">
      <c r="A435" s="1"/>
      <c r="B435" s="2"/>
      <c r="C435" s="77"/>
      <c r="D435" s="40"/>
      <c r="E435" s="40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20.25" customHeight="1">
      <c r="A436" s="1"/>
      <c r="B436" s="2"/>
      <c r="C436" s="77"/>
      <c r="D436" s="40"/>
      <c r="E436" s="40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20.25" customHeight="1">
      <c r="A437" s="1"/>
      <c r="B437" s="2"/>
      <c r="C437" s="77"/>
      <c r="D437" s="40"/>
      <c r="E437" s="40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20.25" customHeight="1">
      <c r="A438" s="1"/>
      <c r="B438" s="2"/>
      <c r="C438" s="77"/>
      <c r="D438" s="40"/>
      <c r="E438" s="40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20.25" customHeight="1">
      <c r="A439" s="1"/>
      <c r="B439" s="2"/>
      <c r="C439" s="77"/>
      <c r="D439" s="40"/>
      <c r="E439" s="40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20.25" customHeight="1">
      <c r="A440" s="1"/>
      <c r="B440" s="2"/>
      <c r="C440" s="77"/>
      <c r="D440" s="40"/>
      <c r="E440" s="40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20.25" customHeight="1">
      <c r="A441" s="1"/>
      <c r="B441" s="2"/>
      <c r="C441" s="77"/>
      <c r="D441" s="40"/>
      <c r="E441" s="40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20.25" customHeight="1">
      <c r="A442" s="1"/>
      <c r="B442" s="2"/>
      <c r="C442" s="77"/>
      <c r="D442" s="40"/>
      <c r="E442" s="40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20.25" customHeight="1">
      <c r="A443" s="1"/>
      <c r="B443" s="2"/>
      <c r="C443" s="77"/>
      <c r="D443" s="40"/>
      <c r="E443" s="40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20.25" customHeight="1">
      <c r="A444" s="1"/>
      <c r="B444" s="2"/>
      <c r="C444" s="77"/>
      <c r="D444" s="40"/>
      <c r="E444" s="40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20.25" customHeight="1">
      <c r="A445" s="1"/>
      <c r="B445" s="2"/>
      <c r="C445" s="77"/>
      <c r="D445" s="40"/>
      <c r="E445" s="40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20.25" customHeight="1">
      <c r="A446" s="1"/>
      <c r="B446" s="2"/>
      <c r="C446" s="77"/>
      <c r="D446" s="40"/>
      <c r="E446" s="40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20.25" customHeight="1">
      <c r="A447" s="1"/>
      <c r="B447" s="2"/>
      <c r="C447" s="77"/>
      <c r="D447" s="40"/>
      <c r="E447" s="40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20.25" customHeight="1">
      <c r="A448" s="1"/>
      <c r="B448" s="2"/>
      <c r="C448" s="77"/>
      <c r="D448" s="40"/>
      <c r="E448" s="40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20.25" customHeight="1">
      <c r="A449" s="1"/>
      <c r="B449" s="2"/>
      <c r="C449" s="77"/>
      <c r="D449" s="40"/>
      <c r="E449" s="40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20.25" customHeight="1">
      <c r="A450" s="1"/>
      <c r="B450" s="2"/>
      <c r="C450" s="77"/>
      <c r="D450" s="40"/>
      <c r="E450" s="40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20.25" customHeight="1">
      <c r="A451" s="1"/>
      <c r="B451" s="2"/>
      <c r="C451" s="77"/>
      <c r="D451" s="40"/>
      <c r="E451" s="40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20.25" customHeight="1">
      <c r="A452" s="1"/>
      <c r="B452" s="2"/>
      <c r="C452" s="77"/>
      <c r="D452" s="40"/>
      <c r="E452" s="40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20.25" customHeight="1">
      <c r="A453" s="1"/>
      <c r="B453" s="2"/>
      <c r="C453" s="77"/>
      <c r="D453" s="40"/>
      <c r="E453" s="40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20.25" customHeight="1">
      <c r="A454" s="1"/>
      <c r="B454" s="2"/>
      <c r="C454" s="77"/>
      <c r="D454" s="40"/>
      <c r="E454" s="40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20.25" customHeight="1">
      <c r="A455" s="1"/>
      <c r="B455" s="2"/>
      <c r="C455" s="77"/>
      <c r="D455" s="40"/>
      <c r="E455" s="40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20.25" customHeight="1">
      <c r="A456" s="1"/>
      <c r="B456" s="2"/>
      <c r="C456" s="77"/>
      <c r="D456" s="40"/>
      <c r="E456" s="40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20.25" customHeight="1">
      <c r="A457" s="1"/>
      <c r="B457" s="2"/>
      <c r="C457" s="77"/>
      <c r="D457" s="40"/>
      <c r="E457" s="40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20.25" customHeight="1">
      <c r="A458" s="1"/>
      <c r="B458" s="2"/>
      <c r="C458" s="77"/>
      <c r="D458" s="40"/>
      <c r="E458" s="40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20.25" customHeight="1">
      <c r="A459" s="1"/>
      <c r="B459" s="2"/>
      <c r="C459" s="77"/>
      <c r="D459" s="40"/>
      <c r="E459" s="40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20.25" customHeight="1">
      <c r="A460" s="1"/>
      <c r="B460" s="2"/>
      <c r="C460" s="77"/>
      <c r="D460" s="40"/>
      <c r="E460" s="40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20.25" customHeight="1">
      <c r="A461" s="1"/>
      <c r="B461" s="2"/>
      <c r="C461" s="77"/>
      <c r="D461" s="40"/>
      <c r="E461" s="40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20.25" customHeight="1">
      <c r="A462" s="1"/>
      <c r="B462" s="2"/>
      <c r="C462" s="77"/>
      <c r="D462" s="40"/>
      <c r="E462" s="40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20.25" customHeight="1">
      <c r="A463" s="1"/>
      <c r="B463" s="2"/>
      <c r="C463" s="77"/>
      <c r="D463" s="40"/>
      <c r="E463" s="40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20.25" customHeight="1">
      <c r="A464" s="1"/>
      <c r="B464" s="2"/>
      <c r="C464" s="77"/>
      <c r="D464" s="40"/>
      <c r="E464" s="40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20.25" customHeight="1">
      <c r="A465" s="1"/>
      <c r="B465" s="2"/>
      <c r="C465" s="77"/>
      <c r="D465" s="40"/>
      <c r="E465" s="40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20.25" customHeight="1">
      <c r="A466" s="1"/>
      <c r="B466" s="2"/>
      <c r="C466" s="77"/>
      <c r="D466" s="40"/>
      <c r="E466" s="40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20.25" customHeight="1">
      <c r="A467" s="1"/>
      <c r="B467" s="2"/>
      <c r="C467" s="77"/>
      <c r="D467" s="40"/>
      <c r="E467" s="40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20.25" customHeight="1">
      <c r="A468" s="1"/>
      <c r="B468" s="2"/>
      <c r="C468" s="77"/>
      <c r="D468" s="40"/>
      <c r="E468" s="40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20.25" customHeight="1">
      <c r="A469" s="1"/>
      <c r="B469" s="2"/>
      <c r="C469" s="77"/>
      <c r="D469" s="40"/>
      <c r="E469" s="40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20.25" customHeight="1">
      <c r="A470" s="1"/>
      <c r="B470" s="2"/>
      <c r="C470" s="77"/>
      <c r="D470" s="40"/>
      <c r="E470" s="40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20.25" customHeight="1">
      <c r="A471" s="1"/>
      <c r="B471" s="2"/>
      <c r="C471" s="77"/>
      <c r="D471" s="40"/>
      <c r="E471" s="40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20.25" customHeight="1">
      <c r="A472" s="1"/>
      <c r="B472" s="2"/>
      <c r="C472" s="77"/>
      <c r="D472" s="40"/>
      <c r="E472" s="40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20.25" customHeight="1">
      <c r="A473" s="1"/>
      <c r="B473" s="2"/>
      <c r="C473" s="77"/>
      <c r="D473" s="40"/>
      <c r="E473" s="40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20.25" customHeight="1">
      <c r="A474" s="1"/>
      <c r="B474" s="2"/>
      <c r="C474" s="77"/>
      <c r="D474" s="40"/>
      <c r="E474" s="40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20.25" customHeight="1">
      <c r="A475" s="1"/>
      <c r="B475" s="2"/>
      <c r="C475" s="77"/>
      <c r="D475" s="40"/>
      <c r="E475" s="40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20.25" customHeight="1">
      <c r="A476" s="1"/>
      <c r="B476" s="2"/>
      <c r="C476" s="77"/>
      <c r="D476" s="40"/>
      <c r="E476" s="40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20.25" customHeight="1">
      <c r="A477" s="1"/>
      <c r="B477" s="2"/>
      <c r="C477" s="77"/>
      <c r="D477" s="40"/>
      <c r="E477" s="40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20.25" customHeight="1">
      <c r="A478" s="1"/>
      <c r="B478" s="2"/>
      <c r="C478" s="77"/>
      <c r="D478" s="40"/>
      <c r="E478" s="40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20.25" customHeight="1">
      <c r="A479" s="1"/>
      <c r="B479" s="2"/>
      <c r="C479" s="77"/>
      <c r="D479" s="40"/>
      <c r="E479" s="40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20.25" customHeight="1">
      <c r="A480" s="1"/>
      <c r="B480" s="2"/>
      <c r="C480" s="77"/>
      <c r="D480" s="40"/>
      <c r="E480" s="40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20.25" customHeight="1">
      <c r="A481" s="1"/>
      <c r="B481" s="2"/>
      <c r="C481" s="77"/>
      <c r="D481" s="40"/>
      <c r="E481" s="40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20.25" customHeight="1">
      <c r="A482" s="1"/>
      <c r="B482" s="2"/>
      <c r="C482" s="77"/>
      <c r="D482" s="40"/>
      <c r="E482" s="40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20.25" customHeight="1">
      <c r="A483" s="1"/>
      <c r="B483" s="2"/>
      <c r="C483" s="77"/>
      <c r="D483" s="40"/>
      <c r="E483" s="40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20.25" customHeight="1">
      <c r="A484" s="1"/>
      <c r="B484" s="2"/>
      <c r="C484" s="77"/>
      <c r="D484" s="40"/>
      <c r="E484" s="40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20.25" customHeight="1">
      <c r="A485" s="1"/>
      <c r="B485" s="2"/>
      <c r="C485" s="77"/>
      <c r="D485" s="40"/>
      <c r="E485" s="40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20.25" customHeight="1">
      <c r="A486" s="1"/>
      <c r="B486" s="2"/>
      <c r="C486" s="77"/>
      <c r="D486" s="40"/>
      <c r="E486" s="40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20.25" customHeight="1">
      <c r="A487" s="1"/>
      <c r="B487" s="2"/>
      <c r="C487" s="77"/>
      <c r="D487" s="40"/>
      <c r="E487" s="40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20.25" customHeight="1">
      <c r="A488" s="1"/>
      <c r="B488" s="2"/>
      <c r="C488" s="77"/>
      <c r="D488" s="40"/>
      <c r="E488" s="40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20.25" customHeight="1">
      <c r="A489" s="1"/>
      <c r="B489" s="2"/>
      <c r="C489" s="77"/>
      <c r="D489" s="40"/>
      <c r="E489" s="40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20.25" customHeight="1">
      <c r="A490" s="1"/>
      <c r="B490" s="2"/>
      <c r="C490" s="77"/>
      <c r="D490" s="40"/>
      <c r="E490" s="40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20.25" customHeight="1">
      <c r="A491" s="1"/>
      <c r="B491" s="2"/>
      <c r="C491" s="77"/>
      <c r="D491" s="40"/>
      <c r="E491" s="40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20.25" customHeight="1">
      <c r="A492" s="1"/>
      <c r="B492" s="2"/>
      <c r="C492" s="77"/>
      <c r="D492" s="40"/>
      <c r="E492" s="40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20.25" customHeight="1">
      <c r="A493" s="1"/>
      <c r="B493" s="2"/>
      <c r="C493" s="77"/>
      <c r="D493" s="40"/>
      <c r="E493" s="40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20.25" customHeight="1">
      <c r="A494" s="1"/>
      <c r="B494" s="2"/>
      <c r="C494" s="77"/>
      <c r="D494" s="40"/>
      <c r="E494" s="40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20.25" customHeight="1">
      <c r="A495" s="1"/>
      <c r="B495" s="2"/>
      <c r="C495" s="77"/>
      <c r="D495" s="40"/>
      <c r="E495" s="40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20.25" customHeight="1">
      <c r="A496" s="1"/>
      <c r="B496" s="2"/>
      <c r="C496" s="77"/>
      <c r="D496" s="40"/>
      <c r="E496" s="40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20.25" customHeight="1">
      <c r="A497" s="1"/>
      <c r="B497" s="2"/>
      <c r="C497" s="77"/>
      <c r="D497" s="40"/>
      <c r="E497" s="40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20.25" customHeight="1">
      <c r="A498" s="1"/>
      <c r="B498" s="2"/>
      <c r="C498" s="77"/>
      <c r="D498" s="40"/>
      <c r="E498" s="40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20.25" customHeight="1">
      <c r="A499" s="1"/>
      <c r="B499" s="2"/>
      <c r="C499" s="77"/>
      <c r="D499" s="40"/>
      <c r="E499" s="40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20.25" customHeight="1">
      <c r="A500" s="1"/>
      <c r="B500" s="2"/>
      <c r="C500" s="77"/>
      <c r="D500" s="40"/>
      <c r="E500" s="40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20.25" customHeight="1">
      <c r="A501" s="1"/>
      <c r="B501" s="2"/>
      <c r="C501" s="77"/>
      <c r="D501" s="40"/>
      <c r="E501" s="40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20.25" customHeight="1">
      <c r="A502" s="1"/>
      <c r="B502" s="2"/>
      <c r="C502" s="77"/>
      <c r="D502" s="40"/>
      <c r="E502" s="40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20.25" customHeight="1">
      <c r="A503" s="1"/>
      <c r="B503" s="2"/>
      <c r="C503" s="77"/>
      <c r="D503" s="40"/>
      <c r="E503" s="40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20.25" customHeight="1">
      <c r="A504" s="1"/>
      <c r="B504" s="2"/>
      <c r="C504" s="77"/>
      <c r="D504" s="40"/>
      <c r="E504" s="40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20.25" customHeight="1">
      <c r="A505" s="1"/>
      <c r="B505" s="2"/>
      <c r="C505" s="77"/>
      <c r="D505" s="40"/>
      <c r="E505" s="40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20.25" customHeight="1">
      <c r="A506" s="1"/>
      <c r="B506" s="2"/>
      <c r="C506" s="77"/>
      <c r="D506" s="40"/>
      <c r="E506" s="40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20.25" customHeight="1">
      <c r="A507" s="1"/>
      <c r="B507" s="2"/>
      <c r="C507" s="77"/>
      <c r="D507" s="40"/>
      <c r="E507" s="40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20.25" customHeight="1">
      <c r="A508" s="1"/>
      <c r="B508" s="2"/>
      <c r="C508" s="77"/>
      <c r="D508" s="40"/>
      <c r="E508" s="40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20.25" customHeight="1">
      <c r="A509" s="1"/>
      <c r="B509" s="2"/>
      <c r="C509" s="77"/>
      <c r="D509" s="40"/>
      <c r="E509" s="40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20.25" customHeight="1">
      <c r="A510" s="1"/>
      <c r="B510" s="2"/>
      <c r="C510" s="77"/>
      <c r="D510" s="40"/>
      <c r="E510" s="40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20.25" customHeight="1">
      <c r="A511" s="1"/>
      <c r="B511" s="2"/>
      <c r="C511" s="77"/>
      <c r="D511" s="40"/>
      <c r="E511" s="40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20.25" customHeight="1">
      <c r="A512" s="1"/>
      <c r="B512" s="2"/>
      <c r="C512" s="77"/>
      <c r="D512" s="40"/>
      <c r="E512" s="40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20.25" customHeight="1">
      <c r="A513" s="1"/>
      <c r="B513" s="2"/>
      <c r="C513" s="77"/>
      <c r="D513" s="40"/>
      <c r="E513" s="40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20.25" customHeight="1">
      <c r="A514" s="1"/>
      <c r="B514" s="2"/>
      <c r="C514" s="77"/>
      <c r="D514" s="40"/>
      <c r="E514" s="40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20.25" customHeight="1">
      <c r="A515" s="1"/>
      <c r="B515" s="2"/>
      <c r="C515" s="77"/>
      <c r="D515" s="40"/>
      <c r="E515" s="40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20.25" customHeight="1">
      <c r="A516" s="1"/>
      <c r="B516" s="2"/>
      <c r="C516" s="77"/>
      <c r="D516" s="40"/>
      <c r="E516" s="40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20.25" customHeight="1">
      <c r="A517" s="1"/>
      <c r="B517" s="2"/>
      <c r="C517" s="77"/>
      <c r="D517" s="40"/>
      <c r="E517" s="40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20.25" customHeight="1">
      <c r="A518" s="1"/>
      <c r="B518" s="2"/>
      <c r="C518" s="77"/>
      <c r="D518" s="40"/>
      <c r="E518" s="40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20.25" customHeight="1">
      <c r="A519" s="1"/>
      <c r="B519" s="2"/>
      <c r="C519" s="77"/>
      <c r="D519" s="40"/>
      <c r="E519" s="40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20.25" customHeight="1">
      <c r="A520" s="1"/>
      <c r="B520" s="2"/>
      <c r="C520" s="77"/>
      <c r="D520" s="40"/>
      <c r="E520" s="40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20.25" customHeight="1">
      <c r="A521" s="1"/>
      <c r="B521" s="2"/>
      <c r="C521" s="77"/>
      <c r="D521" s="40"/>
      <c r="E521" s="40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20.25" customHeight="1">
      <c r="A522" s="1"/>
      <c r="B522" s="2"/>
      <c r="C522" s="77"/>
      <c r="D522" s="40"/>
      <c r="E522" s="40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20.25" customHeight="1">
      <c r="A523" s="1"/>
      <c r="B523" s="2"/>
      <c r="C523" s="77"/>
      <c r="D523" s="40"/>
      <c r="E523" s="40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20.25" customHeight="1">
      <c r="A524" s="1"/>
      <c r="B524" s="2"/>
      <c r="C524" s="77"/>
      <c r="D524" s="40"/>
      <c r="E524" s="40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20.25" customHeight="1">
      <c r="A525" s="1"/>
      <c r="B525" s="2"/>
      <c r="C525" s="77"/>
      <c r="D525" s="40"/>
      <c r="E525" s="40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20.25" customHeight="1">
      <c r="A526" s="1"/>
      <c r="B526" s="2"/>
      <c r="C526" s="77"/>
      <c r="D526" s="40"/>
      <c r="E526" s="40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20.25" customHeight="1">
      <c r="A527" s="1"/>
      <c r="B527" s="2"/>
      <c r="C527" s="77"/>
      <c r="D527" s="40"/>
      <c r="E527" s="40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20.25" customHeight="1">
      <c r="A528" s="1"/>
      <c r="B528" s="2"/>
      <c r="C528" s="77"/>
      <c r="D528" s="40"/>
      <c r="E528" s="40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20.25" customHeight="1">
      <c r="A529" s="1"/>
      <c r="B529" s="2"/>
      <c r="C529" s="77"/>
      <c r="D529" s="40"/>
      <c r="E529" s="40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20.25" customHeight="1">
      <c r="A530" s="1"/>
      <c r="B530" s="2"/>
      <c r="C530" s="77"/>
      <c r="D530" s="40"/>
      <c r="E530" s="40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20.25" customHeight="1">
      <c r="A531" s="1"/>
      <c r="B531" s="2"/>
      <c r="C531" s="77"/>
      <c r="D531" s="40"/>
      <c r="E531" s="40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20.25" customHeight="1">
      <c r="A532" s="1"/>
      <c r="B532" s="2"/>
      <c r="C532" s="77"/>
      <c r="D532" s="40"/>
      <c r="E532" s="40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20.25" customHeight="1">
      <c r="A533" s="1"/>
      <c r="B533" s="2"/>
      <c r="C533" s="77"/>
      <c r="D533" s="40"/>
      <c r="E533" s="40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20.25" customHeight="1">
      <c r="A534" s="1"/>
      <c r="B534" s="2"/>
      <c r="C534" s="77"/>
      <c r="D534" s="40"/>
      <c r="E534" s="40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20.25" customHeight="1">
      <c r="A535" s="1"/>
      <c r="B535" s="2"/>
      <c r="C535" s="77"/>
      <c r="D535" s="40"/>
      <c r="E535" s="40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20.25" customHeight="1">
      <c r="A536" s="1"/>
      <c r="B536" s="2"/>
      <c r="C536" s="77"/>
      <c r="D536" s="40"/>
      <c r="E536" s="40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20.25" customHeight="1">
      <c r="A537" s="1"/>
      <c r="B537" s="2"/>
      <c r="C537" s="77"/>
      <c r="D537" s="40"/>
      <c r="E537" s="40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20.25" customHeight="1">
      <c r="A538" s="1"/>
      <c r="B538" s="2"/>
      <c r="C538" s="77"/>
      <c r="D538" s="40"/>
      <c r="E538" s="40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20.25" customHeight="1">
      <c r="A539" s="1"/>
      <c r="B539" s="2"/>
      <c r="C539" s="77"/>
      <c r="D539" s="40"/>
      <c r="E539" s="40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20.25" customHeight="1">
      <c r="A540" s="1"/>
      <c r="B540" s="2"/>
      <c r="C540" s="77"/>
      <c r="D540" s="40"/>
      <c r="E540" s="40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20.25" customHeight="1">
      <c r="A541" s="1"/>
      <c r="B541" s="2"/>
      <c r="C541" s="77"/>
      <c r="D541" s="40"/>
      <c r="E541" s="40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20.25" customHeight="1">
      <c r="A542" s="1"/>
      <c r="B542" s="2"/>
      <c r="C542" s="77"/>
      <c r="D542" s="40"/>
      <c r="E542" s="40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20.25" customHeight="1">
      <c r="A543" s="1"/>
      <c r="B543" s="2"/>
      <c r="C543" s="77"/>
      <c r="D543" s="40"/>
      <c r="E543" s="40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20.25" customHeight="1">
      <c r="A544" s="1"/>
      <c r="B544" s="2"/>
      <c r="C544" s="77"/>
      <c r="D544" s="40"/>
      <c r="E544" s="40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20.25" customHeight="1">
      <c r="A545" s="1"/>
      <c r="B545" s="2"/>
      <c r="C545" s="77"/>
      <c r="D545" s="40"/>
      <c r="E545" s="40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20.25" customHeight="1">
      <c r="A546" s="1"/>
      <c r="B546" s="2"/>
      <c r="C546" s="77"/>
      <c r="D546" s="40"/>
      <c r="E546" s="40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20.25" customHeight="1">
      <c r="A547" s="1"/>
      <c r="B547" s="2"/>
      <c r="C547" s="77"/>
      <c r="D547" s="40"/>
      <c r="E547" s="40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20.25" customHeight="1">
      <c r="A548" s="1"/>
      <c r="B548" s="2"/>
      <c r="C548" s="77"/>
      <c r="D548" s="40"/>
      <c r="E548" s="40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20.25" customHeight="1">
      <c r="A549" s="1"/>
      <c r="B549" s="2"/>
      <c r="C549" s="77"/>
      <c r="D549" s="40"/>
      <c r="E549" s="40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20.25" customHeight="1">
      <c r="A550" s="1"/>
      <c r="B550" s="2"/>
      <c r="C550" s="77"/>
      <c r="D550" s="40"/>
      <c r="E550" s="40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20.25" customHeight="1">
      <c r="A551" s="1"/>
      <c r="B551" s="2"/>
      <c r="C551" s="77"/>
      <c r="D551" s="40"/>
      <c r="E551" s="40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20.25" customHeight="1">
      <c r="A552" s="1"/>
      <c r="B552" s="2"/>
      <c r="C552" s="77"/>
      <c r="D552" s="40"/>
      <c r="E552" s="40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20.25" customHeight="1">
      <c r="A553" s="1"/>
      <c r="B553" s="2"/>
      <c r="C553" s="77"/>
      <c r="D553" s="40"/>
      <c r="E553" s="40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20.25" customHeight="1">
      <c r="A554" s="1"/>
      <c r="B554" s="2"/>
      <c r="C554" s="77"/>
      <c r="D554" s="40"/>
      <c r="E554" s="40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20.25" customHeight="1">
      <c r="A555" s="1"/>
      <c r="B555" s="2"/>
      <c r="C555" s="77"/>
      <c r="D555" s="40"/>
      <c r="E555" s="40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20.25" customHeight="1">
      <c r="A556" s="1"/>
      <c r="B556" s="2"/>
      <c r="C556" s="77"/>
      <c r="D556" s="40"/>
      <c r="E556" s="40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20.25" customHeight="1">
      <c r="A557" s="1"/>
      <c r="B557" s="2"/>
      <c r="C557" s="77"/>
      <c r="D557" s="40"/>
      <c r="E557" s="40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20.25" customHeight="1">
      <c r="A558" s="1"/>
      <c r="B558" s="2"/>
      <c r="C558" s="77"/>
      <c r="D558" s="40"/>
      <c r="E558" s="40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20.25" customHeight="1">
      <c r="A559" s="1"/>
      <c r="B559" s="2"/>
      <c r="C559" s="77"/>
      <c r="D559" s="40"/>
      <c r="E559" s="40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20.25" customHeight="1">
      <c r="A560" s="1"/>
      <c r="B560" s="2"/>
      <c r="C560" s="77"/>
      <c r="D560" s="40"/>
      <c r="E560" s="40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20.25" customHeight="1">
      <c r="A561" s="1"/>
      <c r="B561" s="2"/>
      <c r="C561" s="77"/>
      <c r="D561" s="40"/>
      <c r="E561" s="40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20.25" customHeight="1">
      <c r="A562" s="1"/>
      <c r="B562" s="2"/>
      <c r="C562" s="77"/>
      <c r="D562" s="40"/>
      <c r="E562" s="40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20.25" customHeight="1">
      <c r="A563" s="1"/>
      <c r="B563" s="2"/>
      <c r="C563" s="77"/>
      <c r="D563" s="40"/>
      <c r="E563" s="40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20.25" customHeight="1">
      <c r="A564" s="1"/>
      <c r="B564" s="2"/>
      <c r="C564" s="77"/>
      <c r="D564" s="40"/>
      <c r="E564" s="40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20.25" customHeight="1">
      <c r="A565" s="1"/>
      <c r="B565" s="2"/>
      <c r="C565" s="77"/>
      <c r="D565" s="40"/>
      <c r="E565" s="40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20.25" customHeight="1">
      <c r="A566" s="1"/>
      <c r="B566" s="2"/>
      <c r="C566" s="77"/>
      <c r="D566" s="40"/>
      <c r="E566" s="40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20.25" customHeight="1">
      <c r="A567" s="1"/>
      <c r="B567" s="2"/>
      <c r="C567" s="77"/>
      <c r="D567" s="40"/>
      <c r="E567" s="40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20.25" customHeight="1">
      <c r="A568" s="1"/>
      <c r="B568" s="2"/>
      <c r="C568" s="77"/>
      <c r="D568" s="40"/>
      <c r="E568" s="40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20.25" customHeight="1">
      <c r="A569" s="1"/>
      <c r="B569" s="2"/>
      <c r="C569" s="77"/>
      <c r="D569" s="40"/>
      <c r="E569" s="40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20.25" customHeight="1">
      <c r="A570" s="1"/>
      <c r="B570" s="2"/>
      <c r="C570" s="77"/>
      <c r="D570" s="40"/>
      <c r="E570" s="40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20.25" customHeight="1">
      <c r="A571" s="1"/>
      <c r="B571" s="2"/>
      <c r="C571" s="77"/>
      <c r="D571" s="40"/>
      <c r="E571" s="40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20.25" customHeight="1">
      <c r="A572" s="1"/>
      <c r="B572" s="2"/>
      <c r="C572" s="77"/>
      <c r="D572" s="40"/>
      <c r="E572" s="40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20.25" customHeight="1">
      <c r="A573" s="1"/>
      <c r="B573" s="2"/>
      <c r="C573" s="77"/>
      <c r="D573" s="40"/>
      <c r="E573" s="40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20.25" customHeight="1">
      <c r="A574" s="1"/>
      <c r="B574" s="2"/>
      <c r="C574" s="77"/>
      <c r="D574" s="40"/>
      <c r="E574" s="40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20.25" customHeight="1">
      <c r="A575" s="1"/>
      <c r="B575" s="2"/>
      <c r="C575" s="77"/>
      <c r="D575" s="40"/>
      <c r="E575" s="40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20.25" customHeight="1">
      <c r="A576" s="1"/>
      <c r="B576" s="2"/>
      <c r="C576" s="77"/>
      <c r="D576" s="40"/>
      <c r="E576" s="40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20.25" customHeight="1">
      <c r="A577" s="1"/>
      <c r="B577" s="2"/>
      <c r="C577" s="77"/>
      <c r="D577" s="40"/>
      <c r="E577" s="40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20.25" customHeight="1">
      <c r="A578" s="1"/>
      <c r="B578" s="2"/>
      <c r="C578" s="77"/>
      <c r="D578" s="40"/>
      <c r="E578" s="40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20.25" customHeight="1">
      <c r="A579" s="1"/>
      <c r="B579" s="2"/>
      <c r="C579" s="77"/>
      <c r="D579" s="40"/>
      <c r="E579" s="40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20.25" customHeight="1">
      <c r="A580" s="1"/>
      <c r="B580" s="2"/>
      <c r="C580" s="77"/>
      <c r="D580" s="40"/>
      <c r="E580" s="40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20.25" customHeight="1">
      <c r="A581" s="1"/>
      <c r="B581" s="2"/>
      <c r="C581" s="77"/>
      <c r="D581" s="40"/>
      <c r="E581" s="40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20.25" customHeight="1">
      <c r="A582" s="1"/>
      <c r="B582" s="2"/>
      <c r="C582" s="77"/>
      <c r="D582" s="40"/>
      <c r="E582" s="40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20.25" customHeight="1">
      <c r="A583" s="1"/>
      <c r="B583" s="2"/>
      <c r="C583" s="77"/>
      <c r="D583" s="40"/>
      <c r="E583" s="40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20.25" customHeight="1">
      <c r="A584" s="1"/>
      <c r="B584" s="2"/>
      <c r="C584" s="77"/>
      <c r="D584" s="40"/>
      <c r="E584" s="40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20.25" customHeight="1">
      <c r="A585" s="1"/>
      <c r="B585" s="2"/>
      <c r="C585" s="77"/>
      <c r="D585" s="40"/>
      <c r="E585" s="40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20.25" customHeight="1">
      <c r="A586" s="1"/>
      <c r="B586" s="2"/>
      <c r="C586" s="77"/>
      <c r="D586" s="40"/>
      <c r="E586" s="40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20.25" customHeight="1">
      <c r="A587" s="1"/>
      <c r="B587" s="2"/>
      <c r="C587" s="77"/>
      <c r="D587" s="40"/>
      <c r="E587" s="40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20.25" customHeight="1">
      <c r="A588" s="1"/>
      <c r="B588" s="2"/>
      <c r="C588" s="77"/>
      <c r="D588" s="40"/>
      <c r="E588" s="40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20.25" customHeight="1">
      <c r="A589" s="1"/>
      <c r="B589" s="2"/>
      <c r="C589" s="77"/>
      <c r="D589" s="40"/>
      <c r="E589" s="40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20.25" customHeight="1">
      <c r="A590" s="1"/>
      <c r="B590" s="2"/>
      <c r="C590" s="77"/>
      <c r="D590" s="40"/>
      <c r="E590" s="40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20.25" customHeight="1">
      <c r="A591" s="1"/>
      <c r="B591" s="2"/>
      <c r="C591" s="77"/>
      <c r="D591" s="40"/>
      <c r="E591" s="40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20.25" customHeight="1">
      <c r="A592" s="1"/>
      <c r="B592" s="2"/>
      <c r="C592" s="77"/>
      <c r="D592" s="40"/>
      <c r="E592" s="40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20.25" customHeight="1">
      <c r="A593" s="1"/>
      <c r="B593" s="2"/>
      <c r="C593" s="77"/>
      <c r="D593" s="40"/>
      <c r="E593" s="40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20.25" customHeight="1">
      <c r="A594" s="1"/>
      <c r="B594" s="2"/>
      <c r="C594" s="77"/>
      <c r="D594" s="40"/>
      <c r="E594" s="40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20.25" customHeight="1">
      <c r="A595" s="1"/>
      <c r="B595" s="2"/>
      <c r="C595" s="77"/>
      <c r="D595" s="40"/>
      <c r="E595" s="40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20.25" customHeight="1">
      <c r="A596" s="1"/>
      <c r="B596" s="2"/>
      <c r="C596" s="77"/>
      <c r="D596" s="40"/>
      <c r="E596" s="40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20.25" customHeight="1">
      <c r="A597" s="1"/>
      <c r="B597" s="2"/>
      <c r="C597" s="77"/>
      <c r="D597" s="40"/>
      <c r="E597" s="40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20.25" customHeight="1">
      <c r="A598" s="1"/>
      <c r="B598" s="2"/>
      <c r="C598" s="77"/>
      <c r="D598" s="40"/>
      <c r="E598" s="40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20.25" customHeight="1">
      <c r="A599" s="1"/>
      <c r="B599" s="2"/>
      <c r="C599" s="77"/>
      <c r="D599" s="40"/>
      <c r="E599" s="40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20.25" customHeight="1">
      <c r="A600" s="1"/>
      <c r="B600" s="2"/>
      <c r="C600" s="77"/>
      <c r="D600" s="40"/>
      <c r="E600" s="40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20.25" customHeight="1">
      <c r="A601" s="1"/>
      <c r="B601" s="2"/>
      <c r="C601" s="77"/>
      <c r="D601" s="40"/>
      <c r="E601" s="40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20.25" customHeight="1">
      <c r="A602" s="1"/>
      <c r="B602" s="2"/>
      <c r="C602" s="77"/>
      <c r="D602" s="40"/>
      <c r="E602" s="40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20.25" customHeight="1">
      <c r="A603" s="1"/>
      <c r="B603" s="2"/>
      <c r="C603" s="77"/>
      <c r="D603" s="40"/>
      <c r="E603" s="40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20.25" customHeight="1">
      <c r="A604" s="1"/>
      <c r="B604" s="2"/>
      <c r="C604" s="77"/>
      <c r="D604" s="40"/>
      <c r="E604" s="40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20.25" customHeight="1">
      <c r="A605" s="1"/>
      <c r="B605" s="2"/>
      <c r="C605" s="77"/>
      <c r="D605" s="40"/>
      <c r="E605" s="40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20.25" customHeight="1">
      <c r="A606" s="1"/>
      <c r="B606" s="2"/>
      <c r="C606" s="77"/>
      <c r="D606" s="40"/>
      <c r="E606" s="40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20.25" customHeight="1">
      <c r="A607" s="1"/>
      <c r="B607" s="2"/>
      <c r="C607" s="77"/>
      <c r="D607" s="40"/>
      <c r="E607" s="40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20.25" customHeight="1">
      <c r="A608" s="1"/>
      <c r="B608" s="2"/>
      <c r="C608" s="77"/>
      <c r="D608" s="40"/>
      <c r="E608" s="40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20.25" customHeight="1">
      <c r="A609" s="1"/>
      <c r="B609" s="2"/>
      <c r="C609" s="77"/>
      <c r="D609" s="40"/>
      <c r="E609" s="40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20.25" customHeight="1">
      <c r="A610" s="1"/>
      <c r="B610" s="2"/>
      <c r="C610" s="77"/>
      <c r="D610" s="40"/>
      <c r="E610" s="40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20.25" customHeight="1">
      <c r="A611" s="1"/>
      <c r="B611" s="2"/>
      <c r="C611" s="77"/>
      <c r="D611" s="40"/>
      <c r="E611" s="40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20.25" customHeight="1">
      <c r="A612" s="1"/>
      <c r="B612" s="2"/>
      <c r="C612" s="77"/>
      <c r="D612" s="40"/>
      <c r="E612" s="40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20.25" customHeight="1">
      <c r="A613" s="1"/>
      <c r="B613" s="2"/>
      <c r="C613" s="77"/>
      <c r="D613" s="40"/>
      <c r="E613" s="40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20.25" customHeight="1">
      <c r="A614" s="1"/>
      <c r="B614" s="2"/>
      <c r="C614" s="77"/>
      <c r="D614" s="40"/>
      <c r="E614" s="40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20.25" customHeight="1">
      <c r="A615" s="1"/>
      <c r="B615" s="2"/>
      <c r="C615" s="77"/>
      <c r="D615" s="40"/>
      <c r="E615" s="40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20.25" customHeight="1">
      <c r="A616" s="1"/>
      <c r="B616" s="2"/>
      <c r="C616" s="77"/>
      <c r="D616" s="40"/>
      <c r="E616" s="40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20.25" customHeight="1">
      <c r="A617" s="1"/>
      <c r="B617" s="2"/>
      <c r="C617" s="77"/>
      <c r="D617" s="40"/>
      <c r="E617" s="40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20.25" customHeight="1">
      <c r="A618" s="1"/>
      <c r="B618" s="2"/>
      <c r="C618" s="77"/>
      <c r="D618" s="40"/>
      <c r="E618" s="40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20.25" customHeight="1">
      <c r="A619" s="1"/>
      <c r="B619" s="2"/>
      <c r="C619" s="77"/>
      <c r="D619" s="40"/>
      <c r="E619" s="40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20.25" customHeight="1">
      <c r="A620" s="1"/>
      <c r="B620" s="2"/>
      <c r="C620" s="77"/>
      <c r="D620" s="40"/>
      <c r="E620" s="40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20.25" customHeight="1">
      <c r="A621" s="1"/>
      <c r="B621" s="2"/>
      <c r="C621" s="77"/>
      <c r="D621" s="40"/>
      <c r="E621" s="40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20.25" customHeight="1">
      <c r="A622" s="1"/>
      <c r="B622" s="2"/>
      <c r="C622" s="77"/>
      <c r="D622" s="40"/>
      <c r="E622" s="40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20.25" customHeight="1">
      <c r="A623" s="1"/>
      <c r="B623" s="2"/>
      <c r="C623" s="77"/>
      <c r="D623" s="40"/>
      <c r="E623" s="40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20.25" customHeight="1">
      <c r="A624" s="1"/>
      <c r="B624" s="2"/>
      <c r="C624" s="77"/>
      <c r="D624" s="40"/>
      <c r="E624" s="40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20.25" customHeight="1">
      <c r="A625" s="1"/>
      <c r="B625" s="2"/>
      <c r="C625" s="77"/>
      <c r="D625" s="40"/>
      <c r="E625" s="40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20.25" customHeight="1">
      <c r="A626" s="1"/>
      <c r="B626" s="2"/>
      <c r="C626" s="77"/>
      <c r="D626" s="40"/>
      <c r="E626" s="40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20.25" customHeight="1">
      <c r="A627" s="1"/>
      <c r="B627" s="2"/>
      <c r="C627" s="77"/>
      <c r="D627" s="40"/>
      <c r="E627" s="40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20.25" customHeight="1">
      <c r="A628" s="1"/>
      <c r="B628" s="2"/>
      <c r="C628" s="77"/>
      <c r="D628" s="40"/>
      <c r="E628" s="40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20.25" customHeight="1">
      <c r="A629" s="1"/>
      <c r="B629" s="2"/>
      <c r="C629" s="77"/>
      <c r="D629" s="40"/>
      <c r="E629" s="40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20.25" customHeight="1">
      <c r="A630" s="1"/>
      <c r="B630" s="2"/>
      <c r="C630" s="77"/>
      <c r="D630" s="40"/>
      <c r="E630" s="40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20.25" customHeight="1">
      <c r="A631" s="1"/>
      <c r="B631" s="2"/>
      <c r="C631" s="77"/>
      <c r="D631" s="40"/>
      <c r="E631" s="40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20.25" customHeight="1">
      <c r="A632" s="1"/>
      <c r="B632" s="2"/>
      <c r="C632" s="77"/>
      <c r="D632" s="40"/>
      <c r="E632" s="40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20.25" customHeight="1">
      <c r="A633" s="1"/>
      <c r="B633" s="2"/>
      <c r="C633" s="77"/>
      <c r="D633" s="40"/>
      <c r="E633" s="40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20.25" customHeight="1">
      <c r="A634" s="1"/>
      <c r="B634" s="2"/>
      <c r="C634" s="77"/>
      <c r="D634" s="40"/>
      <c r="E634" s="40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20.25" customHeight="1">
      <c r="A635" s="1"/>
      <c r="B635" s="2"/>
      <c r="C635" s="77"/>
      <c r="D635" s="40"/>
      <c r="E635" s="40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20.25" customHeight="1">
      <c r="A636" s="1"/>
      <c r="B636" s="2"/>
      <c r="C636" s="77"/>
      <c r="D636" s="40"/>
      <c r="E636" s="40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20.25" customHeight="1">
      <c r="A637" s="1"/>
      <c r="B637" s="2"/>
      <c r="C637" s="77"/>
      <c r="D637" s="40"/>
      <c r="E637" s="40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20.25" customHeight="1">
      <c r="A638" s="1"/>
      <c r="B638" s="2"/>
      <c r="C638" s="77"/>
      <c r="D638" s="40"/>
      <c r="E638" s="40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20.25" customHeight="1">
      <c r="A639" s="1"/>
      <c r="B639" s="2"/>
      <c r="C639" s="77"/>
      <c r="D639" s="40"/>
      <c r="E639" s="40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20.25" customHeight="1">
      <c r="A640" s="1"/>
      <c r="B640" s="2"/>
      <c r="C640" s="77"/>
      <c r="D640" s="40"/>
      <c r="E640" s="40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20.25" customHeight="1">
      <c r="A641" s="1"/>
      <c r="B641" s="2"/>
      <c r="C641" s="77"/>
      <c r="D641" s="40"/>
      <c r="E641" s="40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20.25" customHeight="1">
      <c r="A642" s="1"/>
      <c r="B642" s="2"/>
      <c r="C642" s="77"/>
      <c r="D642" s="40"/>
      <c r="E642" s="40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20.25" customHeight="1">
      <c r="A643" s="1"/>
      <c r="B643" s="2"/>
      <c r="C643" s="77"/>
      <c r="D643" s="40"/>
      <c r="E643" s="40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20.25" customHeight="1">
      <c r="A644" s="1"/>
      <c r="B644" s="2"/>
      <c r="C644" s="77"/>
      <c r="D644" s="40"/>
      <c r="E644" s="40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20.25" customHeight="1">
      <c r="A645" s="1"/>
      <c r="B645" s="2"/>
      <c r="C645" s="77"/>
      <c r="D645" s="40"/>
      <c r="E645" s="40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20.25" customHeight="1">
      <c r="A646" s="1"/>
      <c r="B646" s="2"/>
      <c r="C646" s="77"/>
      <c r="D646" s="40"/>
      <c r="E646" s="40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20.25" customHeight="1">
      <c r="A647" s="1"/>
      <c r="B647" s="2"/>
      <c r="C647" s="77"/>
      <c r="D647" s="40"/>
      <c r="E647" s="40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20.25" customHeight="1">
      <c r="A648" s="1"/>
      <c r="B648" s="2"/>
      <c r="C648" s="77"/>
      <c r="D648" s="40"/>
      <c r="E648" s="40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20.25" customHeight="1">
      <c r="A649" s="1"/>
      <c r="B649" s="2"/>
      <c r="C649" s="77"/>
      <c r="D649" s="40"/>
      <c r="E649" s="40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20.25" customHeight="1">
      <c r="A650" s="1"/>
      <c r="B650" s="2"/>
      <c r="C650" s="77"/>
      <c r="D650" s="40"/>
      <c r="E650" s="40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20.25" customHeight="1">
      <c r="A651" s="1"/>
      <c r="B651" s="2"/>
      <c r="C651" s="77"/>
      <c r="D651" s="40"/>
      <c r="E651" s="40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20.25" customHeight="1">
      <c r="A652" s="1"/>
      <c r="B652" s="2"/>
      <c r="C652" s="77"/>
      <c r="D652" s="40"/>
      <c r="E652" s="40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20.25" customHeight="1">
      <c r="A653" s="1"/>
      <c r="B653" s="2"/>
      <c r="C653" s="77"/>
      <c r="D653" s="40"/>
      <c r="E653" s="40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20.25" customHeight="1">
      <c r="A654" s="1"/>
      <c r="B654" s="2"/>
      <c r="C654" s="77"/>
      <c r="D654" s="40"/>
      <c r="E654" s="40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20.25" customHeight="1">
      <c r="A655" s="1"/>
      <c r="B655" s="2"/>
      <c r="C655" s="77"/>
      <c r="D655" s="40"/>
      <c r="E655" s="40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20.25" customHeight="1">
      <c r="A656" s="1"/>
      <c r="B656" s="2"/>
      <c r="C656" s="77"/>
      <c r="D656" s="40"/>
      <c r="E656" s="40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20.25" customHeight="1">
      <c r="A657" s="1"/>
      <c r="B657" s="2"/>
      <c r="C657" s="77"/>
      <c r="D657" s="40"/>
      <c r="E657" s="40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20.25" customHeight="1">
      <c r="A658" s="1"/>
      <c r="B658" s="2"/>
      <c r="C658" s="77"/>
      <c r="D658" s="40"/>
      <c r="E658" s="40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20.25" customHeight="1">
      <c r="A659" s="1"/>
      <c r="B659" s="2"/>
      <c r="C659" s="77"/>
      <c r="D659" s="40"/>
      <c r="E659" s="40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20.25" customHeight="1">
      <c r="A660" s="1"/>
      <c r="B660" s="2"/>
      <c r="C660" s="77"/>
      <c r="D660" s="40"/>
      <c r="E660" s="40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20.25" customHeight="1">
      <c r="A661" s="1"/>
      <c r="B661" s="2"/>
      <c r="C661" s="77"/>
      <c r="D661" s="40"/>
      <c r="E661" s="40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20.25" customHeight="1">
      <c r="A662" s="1"/>
      <c r="B662" s="2"/>
      <c r="C662" s="77"/>
      <c r="D662" s="40"/>
      <c r="E662" s="40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20.25" customHeight="1">
      <c r="A663" s="1"/>
      <c r="B663" s="2"/>
      <c r="C663" s="77"/>
      <c r="D663" s="40"/>
      <c r="E663" s="40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20.25" customHeight="1">
      <c r="A664" s="1"/>
      <c r="B664" s="2"/>
      <c r="C664" s="77"/>
      <c r="D664" s="40"/>
      <c r="E664" s="40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20.25" customHeight="1">
      <c r="A665" s="1"/>
      <c r="B665" s="2"/>
      <c r="C665" s="77"/>
      <c r="D665" s="40"/>
      <c r="E665" s="40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20.25" customHeight="1">
      <c r="A666" s="1"/>
      <c r="B666" s="2"/>
      <c r="C666" s="77"/>
      <c r="D666" s="40"/>
      <c r="E666" s="40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20.25" customHeight="1">
      <c r="A667" s="1"/>
      <c r="B667" s="2"/>
      <c r="C667" s="77"/>
      <c r="D667" s="40"/>
      <c r="E667" s="40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20.25" customHeight="1">
      <c r="A668" s="1"/>
      <c r="B668" s="2"/>
      <c r="C668" s="77"/>
      <c r="D668" s="40"/>
      <c r="E668" s="40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20.25" customHeight="1">
      <c r="A669" s="1"/>
      <c r="B669" s="2"/>
      <c r="C669" s="77"/>
      <c r="D669" s="40"/>
      <c r="E669" s="40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20.25" customHeight="1">
      <c r="A670" s="1"/>
      <c r="B670" s="2"/>
      <c r="C670" s="77"/>
      <c r="D670" s="40"/>
      <c r="E670" s="40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20.25" customHeight="1">
      <c r="A671" s="1"/>
      <c r="B671" s="2"/>
      <c r="C671" s="77"/>
      <c r="D671" s="40"/>
      <c r="E671" s="40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20.25" customHeight="1">
      <c r="A672" s="1"/>
      <c r="B672" s="2"/>
      <c r="C672" s="77"/>
      <c r="D672" s="40"/>
      <c r="E672" s="40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20.25" customHeight="1">
      <c r="A673" s="1"/>
      <c r="B673" s="2"/>
      <c r="C673" s="77"/>
      <c r="D673" s="40"/>
      <c r="E673" s="40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20.25" customHeight="1">
      <c r="A674" s="1"/>
      <c r="B674" s="2"/>
      <c r="C674" s="77"/>
      <c r="D674" s="40"/>
      <c r="E674" s="40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20.25" customHeight="1">
      <c r="A675" s="1"/>
      <c r="B675" s="2"/>
      <c r="C675" s="77"/>
      <c r="D675" s="40"/>
      <c r="E675" s="40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20.25" customHeight="1">
      <c r="A676" s="1"/>
      <c r="B676" s="2"/>
      <c r="C676" s="77"/>
      <c r="D676" s="40"/>
      <c r="E676" s="40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20.25" customHeight="1">
      <c r="A677" s="1"/>
      <c r="B677" s="2"/>
      <c r="C677" s="77"/>
      <c r="D677" s="40"/>
      <c r="E677" s="40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20.25" customHeight="1">
      <c r="A678" s="1"/>
      <c r="B678" s="2"/>
      <c r="C678" s="77"/>
      <c r="D678" s="40"/>
      <c r="E678" s="40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20.25" customHeight="1">
      <c r="A679" s="1"/>
      <c r="B679" s="2"/>
      <c r="C679" s="77"/>
      <c r="D679" s="40"/>
      <c r="E679" s="40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20.25" customHeight="1">
      <c r="A680" s="1"/>
      <c r="B680" s="2"/>
      <c r="C680" s="77"/>
      <c r="D680" s="40"/>
      <c r="E680" s="40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20.25" customHeight="1">
      <c r="A681" s="1"/>
      <c r="B681" s="2"/>
      <c r="C681" s="77"/>
      <c r="D681" s="40"/>
      <c r="E681" s="40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20.25" customHeight="1">
      <c r="A682" s="1"/>
      <c r="B682" s="2"/>
      <c r="C682" s="77"/>
      <c r="D682" s="40"/>
      <c r="E682" s="40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20.25" customHeight="1">
      <c r="A683" s="1"/>
      <c r="B683" s="2"/>
      <c r="C683" s="77"/>
      <c r="D683" s="40"/>
      <c r="E683" s="40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20.25" customHeight="1">
      <c r="A684" s="1"/>
      <c r="B684" s="2"/>
      <c r="C684" s="77"/>
      <c r="D684" s="40"/>
      <c r="E684" s="40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20.25" customHeight="1">
      <c r="A685" s="1"/>
      <c r="B685" s="2"/>
      <c r="C685" s="77"/>
      <c r="D685" s="40"/>
      <c r="E685" s="40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20.25" customHeight="1">
      <c r="A686" s="1"/>
      <c r="B686" s="2"/>
      <c r="C686" s="77"/>
      <c r="D686" s="40"/>
      <c r="E686" s="40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20.25" customHeight="1">
      <c r="A687" s="1"/>
      <c r="B687" s="2"/>
      <c r="C687" s="77"/>
      <c r="D687" s="40"/>
      <c r="E687" s="40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20.25" customHeight="1">
      <c r="A688" s="1"/>
      <c r="B688" s="2"/>
      <c r="C688" s="77"/>
      <c r="D688" s="40"/>
      <c r="E688" s="40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20.25" customHeight="1">
      <c r="A689" s="1"/>
      <c r="B689" s="2"/>
      <c r="C689" s="77"/>
      <c r="D689" s="40"/>
      <c r="E689" s="40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20.25" customHeight="1">
      <c r="A690" s="1"/>
      <c r="B690" s="2"/>
      <c r="C690" s="77"/>
      <c r="D690" s="40"/>
      <c r="E690" s="40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20.25" customHeight="1">
      <c r="A691" s="1"/>
      <c r="B691" s="2"/>
      <c r="C691" s="77"/>
      <c r="D691" s="40"/>
      <c r="E691" s="40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20.25" customHeight="1">
      <c r="A692" s="1"/>
      <c r="B692" s="2"/>
      <c r="C692" s="77"/>
      <c r="D692" s="40"/>
      <c r="E692" s="40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20.25" customHeight="1">
      <c r="A693" s="1"/>
      <c r="B693" s="2"/>
      <c r="C693" s="77"/>
      <c r="D693" s="40"/>
      <c r="E693" s="40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20.25" customHeight="1">
      <c r="A694" s="1"/>
      <c r="B694" s="2"/>
      <c r="C694" s="77"/>
      <c r="D694" s="40"/>
      <c r="E694" s="40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20.25" customHeight="1">
      <c r="A695" s="1"/>
      <c r="B695" s="2"/>
      <c r="C695" s="77"/>
      <c r="D695" s="40"/>
      <c r="E695" s="40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20.25" customHeight="1">
      <c r="A696" s="1"/>
      <c r="B696" s="2"/>
      <c r="C696" s="77"/>
      <c r="D696" s="40"/>
      <c r="E696" s="40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20.25" customHeight="1">
      <c r="A697" s="1"/>
      <c r="B697" s="2"/>
      <c r="C697" s="77"/>
      <c r="D697" s="40"/>
      <c r="E697" s="40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20.25" customHeight="1">
      <c r="A698" s="1"/>
      <c r="B698" s="2"/>
      <c r="C698" s="77"/>
      <c r="D698" s="40"/>
      <c r="E698" s="40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20.25" customHeight="1">
      <c r="A699" s="1"/>
      <c r="B699" s="2"/>
      <c r="C699" s="77"/>
      <c r="D699" s="40"/>
      <c r="E699" s="40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20.25" customHeight="1">
      <c r="A700" s="1"/>
      <c r="B700" s="2"/>
      <c r="C700" s="77"/>
      <c r="D700" s="40"/>
      <c r="E700" s="40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20.25" customHeight="1">
      <c r="A701" s="1"/>
      <c r="B701" s="2"/>
      <c r="C701" s="77"/>
      <c r="D701" s="40"/>
      <c r="E701" s="40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20.25" customHeight="1">
      <c r="A702" s="1"/>
      <c r="B702" s="2"/>
      <c r="C702" s="77"/>
      <c r="D702" s="40"/>
      <c r="E702" s="40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20.25" customHeight="1">
      <c r="A703" s="1"/>
      <c r="B703" s="2"/>
      <c r="C703" s="77"/>
      <c r="D703" s="40"/>
      <c r="E703" s="40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20.25" customHeight="1">
      <c r="A704" s="1"/>
      <c r="B704" s="2"/>
      <c r="C704" s="77"/>
      <c r="D704" s="40"/>
      <c r="E704" s="40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20.25" customHeight="1">
      <c r="A705" s="1"/>
      <c r="B705" s="2"/>
      <c r="C705" s="77"/>
      <c r="D705" s="40"/>
      <c r="E705" s="40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20.25" customHeight="1">
      <c r="A706" s="1"/>
      <c r="B706" s="2"/>
      <c r="C706" s="77"/>
      <c r="D706" s="40"/>
      <c r="E706" s="40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20.25" customHeight="1">
      <c r="A707" s="1"/>
      <c r="B707" s="2"/>
      <c r="C707" s="77"/>
      <c r="D707" s="40"/>
      <c r="E707" s="40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20.25" customHeight="1">
      <c r="A708" s="1"/>
      <c r="B708" s="2"/>
      <c r="C708" s="77"/>
      <c r="D708" s="40"/>
      <c r="E708" s="40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20.25" customHeight="1">
      <c r="A709" s="1"/>
      <c r="B709" s="2"/>
      <c r="C709" s="77"/>
      <c r="D709" s="40"/>
      <c r="E709" s="40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20.25" customHeight="1">
      <c r="A710" s="1"/>
      <c r="B710" s="2"/>
      <c r="C710" s="77"/>
      <c r="D710" s="40"/>
      <c r="E710" s="40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20.25" customHeight="1">
      <c r="A711" s="1"/>
      <c r="B711" s="2"/>
      <c r="C711" s="77"/>
      <c r="D711" s="40"/>
      <c r="E711" s="40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20.25" customHeight="1">
      <c r="A712" s="1"/>
      <c r="B712" s="2"/>
      <c r="C712" s="77"/>
      <c r="D712" s="40"/>
      <c r="E712" s="40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20.25" customHeight="1">
      <c r="A713" s="1"/>
      <c r="B713" s="2"/>
      <c r="C713" s="77"/>
      <c r="D713" s="40"/>
      <c r="E713" s="40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20.25" customHeight="1">
      <c r="A714" s="1"/>
      <c r="B714" s="2"/>
      <c r="C714" s="77"/>
      <c r="D714" s="40"/>
      <c r="E714" s="40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20.25" customHeight="1">
      <c r="A715" s="1"/>
      <c r="B715" s="2"/>
      <c r="C715" s="77"/>
      <c r="D715" s="40"/>
      <c r="E715" s="40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20.25" customHeight="1">
      <c r="A716" s="1"/>
      <c r="B716" s="2"/>
      <c r="C716" s="77"/>
      <c r="D716" s="40"/>
      <c r="E716" s="40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20.25" customHeight="1">
      <c r="A717" s="1"/>
      <c r="B717" s="2"/>
      <c r="C717" s="77"/>
      <c r="D717" s="40"/>
      <c r="E717" s="40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20.25" customHeight="1">
      <c r="A718" s="1"/>
      <c r="B718" s="2"/>
      <c r="C718" s="77"/>
      <c r="D718" s="40"/>
      <c r="E718" s="40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20.25" customHeight="1">
      <c r="A719" s="1"/>
      <c r="B719" s="2"/>
      <c r="C719" s="77"/>
      <c r="D719" s="40"/>
      <c r="E719" s="40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20.25" customHeight="1">
      <c r="A720" s="1"/>
      <c r="B720" s="2"/>
      <c r="C720" s="77"/>
      <c r="D720" s="40"/>
      <c r="E720" s="40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20.25" customHeight="1">
      <c r="A721" s="1"/>
      <c r="B721" s="2"/>
      <c r="C721" s="77"/>
      <c r="D721" s="40"/>
      <c r="E721" s="40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20.25" customHeight="1">
      <c r="A722" s="1"/>
      <c r="B722" s="2"/>
      <c r="C722" s="77"/>
      <c r="D722" s="40"/>
      <c r="E722" s="40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20.25" customHeight="1">
      <c r="A723" s="1"/>
      <c r="B723" s="2"/>
      <c r="C723" s="77"/>
      <c r="D723" s="40"/>
      <c r="E723" s="40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20.25" customHeight="1">
      <c r="A724" s="1"/>
      <c r="B724" s="2"/>
      <c r="C724" s="77"/>
      <c r="D724" s="40"/>
      <c r="E724" s="40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20.25" customHeight="1">
      <c r="A725" s="1"/>
      <c r="B725" s="2"/>
      <c r="C725" s="77"/>
      <c r="D725" s="40"/>
      <c r="E725" s="40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20.25" customHeight="1">
      <c r="A726" s="1"/>
      <c r="B726" s="2"/>
      <c r="C726" s="77"/>
      <c r="D726" s="40"/>
      <c r="E726" s="40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20.25" customHeight="1">
      <c r="A727" s="1"/>
      <c r="B727" s="2"/>
      <c r="C727" s="77"/>
      <c r="D727" s="40"/>
      <c r="E727" s="40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20.25" customHeight="1">
      <c r="A728" s="1"/>
      <c r="B728" s="2"/>
      <c r="C728" s="77"/>
      <c r="D728" s="40"/>
      <c r="E728" s="40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20.25" customHeight="1">
      <c r="A729" s="1"/>
      <c r="B729" s="2"/>
      <c r="C729" s="77"/>
      <c r="D729" s="40"/>
      <c r="E729" s="40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20.25" customHeight="1">
      <c r="A730" s="1"/>
      <c r="B730" s="2"/>
      <c r="C730" s="77"/>
      <c r="D730" s="40"/>
      <c r="E730" s="40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20.25" customHeight="1">
      <c r="A731" s="1"/>
      <c r="B731" s="2"/>
      <c r="C731" s="77"/>
      <c r="D731" s="40"/>
      <c r="E731" s="40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20.25" customHeight="1">
      <c r="A732" s="1"/>
      <c r="B732" s="2"/>
      <c r="C732" s="77"/>
      <c r="D732" s="40"/>
      <c r="E732" s="40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20.25" customHeight="1">
      <c r="A733" s="1"/>
      <c r="B733" s="2"/>
      <c r="C733" s="77"/>
      <c r="D733" s="40"/>
      <c r="E733" s="40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20.25" customHeight="1">
      <c r="A734" s="1"/>
      <c r="B734" s="2"/>
      <c r="C734" s="77"/>
      <c r="D734" s="40"/>
      <c r="E734" s="40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20.25" customHeight="1">
      <c r="A735" s="1"/>
      <c r="B735" s="2"/>
      <c r="C735" s="77"/>
      <c r="D735" s="40"/>
      <c r="E735" s="40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20.25" customHeight="1">
      <c r="A736" s="1"/>
      <c r="B736" s="2"/>
      <c r="C736" s="77"/>
      <c r="D736" s="40"/>
      <c r="E736" s="40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20.25" customHeight="1">
      <c r="A737" s="1"/>
      <c r="B737" s="2"/>
      <c r="C737" s="77"/>
      <c r="D737" s="40"/>
      <c r="E737" s="40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20.25" customHeight="1">
      <c r="A738" s="1"/>
      <c r="B738" s="2"/>
      <c r="C738" s="77"/>
      <c r="D738" s="40"/>
      <c r="E738" s="40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20.25" customHeight="1">
      <c r="A739" s="1"/>
      <c r="B739" s="2"/>
      <c r="C739" s="77"/>
      <c r="D739" s="40"/>
      <c r="E739" s="40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20.25" customHeight="1">
      <c r="A740" s="1"/>
      <c r="B740" s="2"/>
      <c r="C740" s="77"/>
      <c r="D740" s="40"/>
      <c r="E740" s="40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20.25" customHeight="1">
      <c r="A741" s="1"/>
      <c r="B741" s="2"/>
      <c r="C741" s="77"/>
      <c r="D741" s="40"/>
      <c r="E741" s="40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20.25" customHeight="1">
      <c r="A742" s="1"/>
      <c r="B742" s="2"/>
      <c r="C742" s="77"/>
      <c r="D742" s="40"/>
      <c r="E742" s="40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20.25" customHeight="1">
      <c r="A743" s="1"/>
      <c r="B743" s="2"/>
      <c r="C743" s="77"/>
      <c r="D743" s="40"/>
      <c r="E743" s="40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20.25" customHeight="1">
      <c r="A744" s="1"/>
      <c r="B744" s="2"/>
      <c r="C744" s="77"/>
      <c r="D744" s="40"/>
      <c r="E744" s="40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20.25" customHeight="1">
      <c r="A745" s="1"/>
      <c r="B745" s="2"/>
      <c r="C745" s="77"/>
      <c r="D745" s="40"/>
      <c r="E745" s="40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20.25" customHeight="1">
      <c r="A746" s="1"/>
      <c r="B746" s="2"/>
      <c r="C746" s="77"/>
      <c r="D746" s="40"/>
      <c r="E746" s="40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20.25" customHeight="1">
      <c r="A747" s="1"/>
      <c r="B747" s="2"/>
      <c r="C747" s="77"/>
      <c r="D747" s="40"/>
      <c r="E747" s="40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20.25" customHeight="1">
      <c r="A748" s="1"/>
      <c r="B748" s="2"/>
      <c r="C748" s="77"/>
      <c r="D748" s="40"/>
      <c r="E748" s="40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20.25" customHeight="1">
      <c r="A749" s="1"/>
      <c r="B749" s="2"/>
      <c r="C749" s="77"/>
      <c r="D749" s="40"/>
      <c r="E749" s="40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20.25" customHeight="1">
      <c r="A750" s="1"/>
      <c r="B750" s="2"/>
      <c r="C750" s="77"/>
      <c r="D750" s="40"/>
      <c r="E750" s="40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20.25" customHeight="1">
      <c r="A751" s="1"/>
      <c r="B751" s="2"/>
      <c r="C751" s="77"/>
      <c r="D751" s="40"/>
      <c r="E751" s="40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20.25" customHeight="1">
      <c r="A752" s="1"/>
      <c r="B752" s="2"/>
      <c r="C752" s="77"/>
      <c r="D752" s="40"/>
      <c r="E752" s="40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20.25" customHeight="1">
      <c r="A753" s="1"/>
      <c r="B753" s="2"/>
      <c r="C753" s="77"/>
      <c r="D753" s="40"/>
      <c r="E753" s="40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20.25" customHeight="1">
      <c r="A754" s="1"/>
      <c r="B754" s="2"/>
      <c r="C754" s="77"/>
      <c r="D754" s="40"/>
      <c r="E754" s="40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20.25" customHeight="1">
      <c r="A755" s="1"/>
      <c r="B755" s="2"/>
      <c r="C755" s="77"/>
      <c r="D755" s="40"/>
      <c r="E755" s="40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20.25" customHeight="1">
      <c r="A756" s="1"/>
      <c r="B756" s="2"/>
      <c r="C756" s="77"/>
      <c r="D756" s="40"/>
      <c r="E756" s="40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20.25" customHeight="1">
      <c r="A757" s="1"/>
      <c r="B757" s="2"/>
      <c r="C757" s="77"/>
      <c r="D757" s="40"/>
      <c r="E757" s="40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20.25" customHeight="1">
      <c r="A758" s="1"/>
      <c r="B758" s="2"/>
      <c r="C758" s="77"/>
      <c r="D758" s="40"/>
      <c r="E758" s="40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20.25" customHeight="1">
      <c r="A759" s="1"/>
      <c r="B759" s="2"/>
      <c r="C759" s="77"/>
      <c r="D759" s="40"/>
      <c r="E759" s="40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20.25" customHeight="1">
      <c r="A760" s="1"/>
      <c r="B760" s="2"/>
      <c r="C760" s="77"/>
      <c r="D760" s="40"/>
      <c r="E760" s="40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20.25" customHeight="1">
      <c r="A761" s="1"/>
      <c r="B761" s="2"/>
      <c r="C761" s="77"/>
      <c r="D761" s="40"/>
      <c r="E761" s="40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20.25" customHeight="1">
      <c r="A762" s="1"/>
      <c r="B762" s="2"/>
      <c r="C762" s="77"/>
      <c r="D762" s="40"/>
      <c r="E762" s="40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20.25" customHeight="1">
      <c r="A763" s="1"/>
      <c r="B763" s="2"/>
      <c r="C763" s="77"/>
      <c r="D763" s="40"/>
      <c r="E763" s="40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20.25" customHeight="1">
      <c r="A764" s="1"/>
      <c r="B764" s="2"/>
      <c r="C764" s="77"/>
      <c r="D764" s="40"/>
      <c r="E764" s="40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20.25" customHeight="1">
      <c r="A765" s="1"/>
      <c r="B765" s="2"/>
      <c r="C765" s="77"/>
      <c r="D765" s="40"/>
      <c r="E765" s="40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20.25" customHeight="1">
      <c r="A766" s="1"/>
      <c r="B766" s="2"/>
      <c r="C766" s="77"/>
      <c r="D766" s="40"/>
      <c r="E766" s="40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20.25" customHeight="1">
      <c r="A767" s="1"/>
      <c r="B767" s="2"/>
      <c r="C767" s="77"/>
      <c r="D767" s="40"/>
      <c r="E767" s="40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20.25" customHeight="1">
      <c r="A768" s="1"/>
      <c r="B768" s="2"/>
      <c r="C768" s="77"/>
      <c r="D768" s="40"/>
      <c r="E768" s="40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20.25" customHeight="1">
      <c r="A769" s="1"/>
      <c r="B769" s="2"/>
      <c r="C769" s="77"/>
      <c r="D769" s="40"/>
      <c r="E769" s="40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20.25" customHeight="1">
      <c r="A770" s="1"/>
      <c r="B770" s="2"/>
      <c r="C770" s="77"/>
      <c r="D770" s="40"/>
      <c r="E770" s="40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20.25" customHeight="1">
      <c r="A771" s="1"/>
      <c r="B771" s="2"/>
      <c r="C771" s="77"/>
      <c r="D771" s="40"/>
      <c r="E771" s="40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20.25" customHeight="1">
      <c r="A772" s="1"/>
      <c r="B772" s="2"/>
      <c r="C772" s="77"/>
      <c r="D772" s="40"/>
      <c r="E772" s="40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20.25" customHeight="1">
      <c r="A773" s="1"/>
      <c r="B773" s="2"/>
      <c r="C773" s="77"/>
      <c r="D773" s="40"/>
      <c r="E773" s="40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20.25" customHeight="1">
      <c r="A774" s="1"/>
      <c r="B774" s="2"/>
      <c r="C774" s="77"/>
      <c r="D774" s="40"/>
      <c r="E774" s="40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20.25" customHeight="1">
      <c r="A775" s="1"/>
      <c r="B775" s="2"/>
      <c r="C775" s="77"/>
      <c r="D775" s="40"/>
      <c r="E775" s="40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20.25" customHeight="1">
      <c r="A776" s="1"/>
      <c r="B776" s="2"/>
      <c r="C776" s="77"/>
      <c r="D776" s="40"/>
      <c r="E776" s="40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20.25" customHeight="1">
      <c r="A777" s="1"/>
      <c r="B777" s="2"/>
      <c r="C777" s="77"/>
      <c r="D777" s="40"/>
      <c r="E777" s="40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20.25" customHeight="1">
      <c r="A778" s="1"/>
      <c r="B778" s="2"/>
      <c r="C778" s="77"/>
      <c r="D778" s="40"/>
      <c r="E778" s="40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20.25" customHeight="1">
      <c r="A779" s="1"/>
      <c r="B779" s="2"/>
      <c r="C779" s="77"/>
      <c r="D779" s="40"/>
      <c r="E779" s="40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20.25" customHeight="1">
      <c r="A780" s="1"/>
      <c r="B780" s="2"/>
      <c r="C780" s="77"/>
      <c r="D780" s="40"/>
      <c r="E780" s="40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20.25" customHeight="1">
      <c r="A781" s="1"/>
      <c r="B781" s="2"/>
      <c r="C781" s="77"/>
      <c r="D781" s="40"/>
      <c r="E781" s="40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20.25" customHeight="1">
      <c r="A782" s="1"/>
      <c r="B782" s="2"/>
      <c r="C782" s="77"/>
      <c r="D782" s="40"/>
      <c r="E782" s="40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20.25" customHeight="1">
      <c r="A783" s="1"/>
      <c r="B783" s="2"/>
      <c r="C783" s="77"/>
      <c r="D783" s="40"/>
      <c r="E783" s="40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20.25" customHeight="1">
      <c r="A784" s="1"/>
      <c r="B784" s="2"/>
      <c r="C784" s="77"/>
      <c r="D784" s="40"/>
      <c r="E784" s="40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20.25" customHeight="1">
      <c r="A785" s="1"/>
      <c r="B785" s="2"/>
      <c r="C785" s="77"/>
      <c r="D785" s="40"/>
      <c r="E785" s="40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20.25" customHeight="1">
      <c r="A786" s="1"/>
      <c r="B786" s="2"/>
      <c r="C786" s="77"/>
      <c r="D786" s="40"/>
      <c r="E786" s="40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20.25" customHeight="1">
      <c r="A787" s="1"/>
      <c r="B787" s="2"/>
      <c r="C787" s="77"/>
      <c r="D787" s="40"/>
      <c r="E787" s="40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20.25" customHeight="1">
      <c r="A788" s="1"/>
      <c r="B788" s="2"/>
      <c r="C788" s="77"/>
      <c r="D788" s="40"/>
      <c r="E788" s="40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20.25" customHeight="1">
      <c r="A789" s="1"/>
      <c r="B789" s="2"/>
      <c r="C789" s="77"/>
      <c r="D789" s="40"/>
      <c r="E789" s="40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20.25" customHeight="1">
      <c r="A790" s="1"/>
      <c r="B790" s="2"/>
      <c r="C790" s="77"/>
      <c r="D790" s="40"/>
      <c r="E790" s="40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20.25" customHeight="1">
      <c r="A791" s="1"/>
      <c r="B791" s="2"/>
      <c r="C791" s="77"/>
      <c r="D791" s="40"/>
      <c r="E791" s="40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20.25" customHeight="1">
      <c r="A792" s="1"/>
      <c r="B792" s="2"/>
      <c r="C792" s="77"/>
      <c r="D792" s="40"/>
      <c r="E792" s="40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20.25" customHeight="1">
      <c r="A793" s="1"/>
      <c r="B793" s="2"/>
      <c r="C793" s="77"/>
      <c r="D793" s="40"/>
      <c r="E793" s="40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20.25" customHeight="1">
      <c r="A794" s="1"/>
      <c r="B794" s="2"/>
      <c r="C794" s="77"/>
      <c r="D794" s="40"/>
      <c r="E794" s="40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20.25" customHeight="1">
      <c r="A795" s="1"/>
      <c r="B795" s="2"/>
      <c r="C795" s="77"/>
      <c r="D795" s="40"/>
      <c r="E795" s="40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20.25" customHeight="1">
      <c r="A796" s="1"/>
      <c r="B796" s="2"/>
      <c r="C796" s="77"/>
      <c r="D796" s="40"/>
      <c r="E796" s="40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20.25" customHeight="1">
      <c r="A797" s="1"/>
      <c r="B797" s="2"/>
      <c r="C797" s="77"/>
      <c r="D797" s="40"/>
      <c r="E797" s="40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20.25" customHeight="1">
      <c r="A798" s="1"/>
      <c r="B798" s="2"/>
      <c r="C798" s="77"/>
      <c r="D798" s="40"/>
      <c r="E798" s="40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20.25" customHeight="1">
      <c r="A799" s="1"/>
      <c r="B799" s="2"/>
      <c r="C799" s="77"/>
      <c r="D799" s="40"/>
      <c r="E799" s="40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20.25" customHeight="1">
      <c r="A800" s="1"/>
      <c r="B800" s="2"/>
      <c r="C800" s="77"/>
      <c r="D800" s="40"/>
      <c r="E800" s="40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20.25" customHeight="1">
      <c r="A801" s="1"/>
      <c r="B801" s="2"/>
      <c r="C801" s="77"/>
      <c r="D801" s="40"/>
      <c r="E801" s="40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20.25" customHeight="1">
      <c r="A802" s="1"/>
      <c r="B802" s="2"/>
      <c r="C802" s="77"/>
      <c r="D802" s="40"/>
      <c r="E802" s="40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20.25" customHeight="1">
      <c r="A803" s="1"/>
      <c r="B803" s="2"/>
      <c r="C803" s="77"/>
      <c r="D803" s="40"/>
      <c r="E803" s="40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20.25" customHeight="1">
      <c r="A804" s="1"/>
      <c r="B804" s="2"/>
      <c r="C804" s="77"/>
      <c r="D804" s="40"/>
      <c r="E804" s="40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20.25" customHeight="1">
      <c r="A805" s="1"/>
      <c r="B805" s="2"/>
      <c r="C805" s="77"/>
      <c r="D805" s="40"/>
      <c r="E805" s="40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20.25" customHeight="1">
      <c r="A806" s="1"/>
      <c r="B806" s="2"/>
      <c r="C806" s="77"/>
      <c r="D806" s="40"/>
      <c r="E806" s="40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20.25" customHeight="1">
      <c r="A807" s="1"/>
      <c r="B807" s="2"/>
      <c r="C807" s="77"/>
      <c r="D807" s="40"/>
      <c r="E807" s="40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20.25" customHeight="1">
      <c r="A808" s="1"/>
      <c r="B808" s="2"/>
      <c r="C808" s="77"/>
      <c r="D808" s="40"/>
      <c r="E808" s="40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20.25" customHeight="1">
      <c r="A809" s="1"/>
      <c r="B809" s="2"/>
      <c r="C809" s="77"/>
      <c r="D809" s="40"/>
      <c r="E809" s="40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20.25" customHeight="1">
      <c r="A810" s="1"/>
      <c r="B810" s="2"/>
      <c r="C810" s="77"/>
      <c r="D810" s="40"/>
      <c r="E810" s="40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20.25" customHeight="1">
      <c r="A811" s="1"/>
      <c r="B811" s="2"/>
      <c r="C811" s="77"/>
      <c r="D811" s="40"/>
      <c r="E811" s="40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20.25" customHeight="1">
      <c r="A812" s="1"/>
      <c r="B812" s="2"/>
      <c r="C812" s="77"/>
      <c r="D812" s="40"/>
      <c r="E812" s="40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20.25" customHeight="1">
      <c r="A813" s="1"/>
      <c r="B813" s="2"/>
      <c r="C813" s="77"/>
      <c r="D813" s="40"/>
      <c r="E813" s="40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20.25" customHeight="1">
      <c r="A814" s="1"/>
      <c r="B814" s="2"/>
      <c r="C814" s="77"/>
      <c r="D814" s="40"/>
      <c r="E814" s="40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20.25" customHeight="1">
      <c r="A815" s="1"/>
      <c r="B815" s="2"/>
      <c r="C815" s="77"/>
      <c r="D815" s="40"/>
      <c r="E815" s="40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20.25" customHeight="1">
      <c r="A816" s="1"/>
      <c r="B816" s="2"/>
      <c r="C816" s="77"/>
      <c r="D816" s="40"/>
      <c r="E816" s="40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20.25" customHeight="1">
      <c r="A817" s="1"/>
      <c r="B817" s="2"/>
      <c r="C817" s="77"/>
      <c r="D817" s="40"/>
      <c r="E817" s="40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20.25" customHeight="1">
      <c r="A818" s="1"/>
      <c r="B818" s="2"/>
      <c r="C818" s="77"/>
      <c r="D818" s="40"/>
      <c r="E818" s="40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20.25" customHeight="1">
      <c r="A819" s="1"/>
      <c r="B819" s="2"/>
      <c r="C819" s="77"/>
      <c r="D819" s="40"/>
      <c r="E819" s="40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20.25" customHeight="1">
      <c r="A820" s="1"/>
      <c r="B820" s="2"/>
      <c r="C820" s="77"/>
      <c r="D820" s="40"/>
      <c r="E820" s="40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20.25" customHeight="1">
      <c r="A821" s="1"/>
      <c r="B821" s="2"/>
      <c r="C821" s="77"/>
      <c r="D821" s="40"/>
      <c r="E821" s="40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20.25" customHeight="1">
      <c r="A822" s="1"/>
      <c r="B822" s="2"/>
      <c r="C822" s="77"/>
      <c r="D822" s="40"/>
      <c r="E822" s="40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20.25" customHeight="1">
      <c r="A823" s="1"/>
      <c r="B823" s="2"/>
      <c r="C823" s="77"/>
      <c r="D823" s="40"/>
      <c r="E823" s="40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20.25" customHeight="1">
      <c r="A824" s="1"/>
      <c r="B824" s="2"/>
      <c r="C824" s="77"/>
      <c r="D824" s="40"/>
      <c r="E824" s="40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20.25" customHeight="1">
      <c r="A825" s="1"/>
      <c r="B825" s="2"/>
      <c r="C825" s="77"/>
      <c r="D825" s="40"/>
      <c r="E825" s="40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20.25" customHeight="1">
      <c r="A826" s="1"/>
      <c r="B826" s="2"/>
      <c r="C826" s="77"/>
      <c r="D826" s="40"/>
      <c r="E826" s="40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20.25" customHeight="1">
      <c r="A827" s="1"/>
      <c r="B827" s="2"/>
      <c r="C827" s="77"/>
      <c r="D827" s="40"/>
      <c r="E827" s="40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20.25" customHeight="1">
      <c r="A828" s="1"/>
      <c r="B828" s="2"/>
      <c r="C828" s="77"/>
      <c r="D828" s="40"/>
      <c r="E828" s="40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20.25" customHeight="1">
      <c r="A829" s="1"/>
      <c r="B829" s="2"/>
      <c r="C829" s="77"/>
      <c r="D829" s="40"/>
      <c r="E829" s="40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20.25" customHeight="1">
      <c r="A830" s="1"/>
      <c r="B830" s="2"/>
      <c r="C830" s="77"/>
      <c r="D830" s="40"/>
      <c r="E830" s="40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20.25" customHeight="1">
      <c r="A831" s="1"/>
      <c r="B831" s="2"/>
      <c r="C831" s="77"/>
      <c r="D831" s="40"/>
      <c r="E831" s="40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20.25" customHeight="1">
      <c r="A832" s="1"/>
      <c r="B832" s="2"/>
      <c r="C832" s="77"/>
      <c r="D832" s="40"/>
      <c r="E832" s="40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20.25" customHeight="1">
      <c r="A833" s="1"/>
      <c r="B833" s="2"/>
      <c r="C833" s="77"/>
      <c r="D833" s="40"/>
      <c r="E833" s="40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20.25" customHeight="1">
      <c r="A834" s="1"/>
      <c r="B834" s="2"/>
      <c r="C834" s="77"/>
      <c r="D834" s="40"/>
      <c r="E834" s="40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20.25" customHeight="1">
      <c r="A835" s="1"/>
      <c r="B835" s="2"/>
      <c r="C835" s="77"/>
      <c r="D835" s="40"/>
      <c r="E835" s="40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20.25" customHeight="1">
      <c r="A836" s="1"/>
      <c r="B836" s="2"/>
      <c r="C836" s="77"/>
      <c r="D836" s="40"/>
      <c r="E836" s="40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20.25" customHeight="1">
      <c r="A837" s="1"/>
      <c r="B837" s="2"/>
      <c r="C837" s="77"/>
      <c r="D837" s="40"/>
      <c r="E837" s="40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20.25" customHeight="1">
      <c r="A838" s="1"/>
      <c r="B838" s="2"/>
      <c r="C838" s="77"/>
      <c r="D838" s="40"/>
      <c r="E838" s="40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20.25" customHeight="1">
      <c r="A839" s="1"/>
      <c r="B839" s="2"/>
      <c r="C839" s="77"/>
      <c r="D839" s="40"/>
      <c r="E839" s="40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20.25" customHeight="1">
      <c r="A840" s="1"/>
      <c r="B840" s="2"/>
      <c r="C840" s="77"/>
      <c r="D840" s="40"/>
      <c r="E840" s="40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20.25" customHeight="1">
      <c r="A841" s="1"/>
      <c r="B841" s="2"/>
      <c r="C841" s="77"/>
      <c r="D841" s="40"/>
      <c r="E841" s="40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20.25" customHeight="1">
      <c r="A842" s="1"/>
      <c r="B842" s="2"/>
      <c r="C842" s="77"/>
      <c r="D842" s="40"/>
      <c r="E842" s="40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20.25" customHeight="1">
      <c r="A843" s="1"/>
      <c r="B843" s="2"/>
      <c r="C843" s="77"/>
      <c r="D843" s="40"/>
      <c r="E843" s="40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20.25" customHeight="1">
      <c r="A844" s="1"/>
      <c r="B844" s="2"/>
      <c r="C844" s="77"/>
      <c r="D844" s="40"/>
      <c r="E844" s="40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20.25" customHeight="1">
      <c r="A845" s="1"/>
      <c r="B845" s="2"/>
      <c r="C845" s="77"/>
      <c r="D845" s="40"/>
      <c r="E845" s="40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20.25" customHeight="1">
      <c r="A846" s="1"/>
      <c r="B846" s="2"/>
      <c r="C846" s="77"/>
      <c r="D846" s="40"/>
      <c r="E846" s="40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20.25" customHeight="1">
      <c r="A847" s="1"/>
      <c r="B847" s="2"/>
      <c r="C847" s="77"/>
      <c r="D847" s="40"/>
      <c r="E847" s="40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20.25" customHeight="1">
      <c r="A848" s="1"/>
      <c r="B848" s="2"/>
      <c r="C848" s="77"/>
      <c r="D848" s="40"/>
      <c r="E848" s="40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20.25" customHeight="1">
      <c r="A849" s="1"/>
      <c r="B849" s="2"/>
      <c r="C849" s="77"/>
      <c r="D849" s="40"/>
      <c r="E849" s="40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20.25" customHeight="1">
      <c r="A850" s="1"/>
      <c r="B850" s="2"/>
      <c r="C850" s="77"/>
      <c r="D850" s="40"/>
      <c r="E850" s="40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20.25" customHeight="1">
      <c r="A851" s="1"/>
      <c r="B851" s="2"/>
      <c r="C851" s="77"/>
      <c r="D851" s="40"/>
      <c r="E851" s="40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20.25" customHeight="1">
      <c r="A852" s="1"/>
      <c r="B852" s="2"/>
      <c r="C852" s="77"/>
      <c r="D852" s="40"/>
      <c r="E852" s="40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20.25" customHeight="1">
      <c r="A853" s="1"/>
      <c r="B853" s="2"/>
      <c r="C853" s="77"/>
      <c r="D853" s="40"/>
      <c r="E853" s="40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20.25" customHeight="1">
      <c r="A854" s="1"/>
      <c r="B854" s="2"/>
      <c r="C854" s="77"/>
      <c r="D854" s="40"/>
      <c r="E854" s="40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20.25" customHeight="1">
      <c r="A855" s="1"/>
      <c r="B855" s="2"/>
      <c r="C855" s="77"/>
      <c r="D855" s="40"/>
      <c r="E855" s="40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20.25" customHeight="1">
      <c r="A856" s="1"/>
      <c r="B856" s="2"/>
      <c r="C856" s="77"/>
      <c r="D856" s="40"/>
      <c r="E856" s="40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20.25" customHeight="1">
      <c r="A857" s="1"/>
      <c r="B857" s="2"/>
      <c r="C857" s="77"/>
      <c r="D857" s="40"/>
      <c r="E857" s="40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20.25" customHeight="1">
      <c r="A858" s="1"/>
      <c r="B858" s="2"/>
      <c r="C858" s="77"/>
      <c r="D858" s="40"/>
      <c r="E858" s="40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20.25" customHeight="1">
      <c r="A859" s="1"/>
      <c r="B859" s="2"/>
      <c r="C859" s="77"/>
      <c r="D859" s="40"/>
      <c r="E859" s="40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20.25" customHeight="1">
      <c r="A860" s="1"/>
      <c r="B860" s="2"/>
      <c r="C860" s="77"/>
      <c r="D860" s="40"/>
      <c r="E860" s="40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20.25" customHeight="1">
      <c r="A861" s="1"/>
      <c r="B861" s="2"/>
      <c r="C861" s="77"/>
      <c r="D861" s="40"/>
      <c r="E861" s="40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20.25" customHeight="1">
      <c r="A862" s="1"/>
      <c r="B862" s="2"/>
      <c r="C862" s="77"/>
      <c r="D862" s="40"/>
      <c r="E862" s="40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20.25" customHeight="1">
      <c r="A863" s="1"/>
      <c r="B863" s="2"/>
      <c r="C863" s="77"/>
      <c r="D863" s="40"/>
      <c r="E863" s="40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20.25" customHeight="1">
      <c r="A864" s="1"/>
      <c r="B864" s="2"/>
      <c r="C864" s="77"/>
      <c r="D864" s="40"/>
      <c r="E864" s="40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20.25" customHeight="1">
      <c r="A865" s="1"/>
      <c r="B865" s="2"/>
      <c r="C865" s="77"/>
      <c r="D865" s="40"/>
      <c r="E865" s="40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20.25" customHeight="1">
      <c r="A866" s="1"/>
      <c r="B866" s="2"/>
      <c r="C866" s="77"/>
      <c r="D866" s="40"/>
      <c r="E866" s="40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20.25" customHeight="1">
      <c r="A867" s="1"/>
      <c r="B867" s="2"/>
      <c r="C867" s="77"/>
      <c r="D867" s="40"/>
      <c r="E867" s="40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20.25" customHeight="1">
      <c r="A868" s="1"/>
      <c r="B868" s="2"/>
      <c r="C868" s="77"/>
      <c r="D868" s="40"/>
      <c r="E868" s="40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20.25" customHeight="1">
      <c r="A869" s="1"/>
      <c r="B869" s="2"/>
      <c r="C869" s="77"/>
      <c r="D869" s="40"/>
      <c r="E869" s="40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20.25" customHeight="1">
      <c r="A870" s="1"/>
      <c r="B870" s="2"/>
      <c r="C870" s="77"/>
      <c r="D870" s="40"/>
      <c r="E870" s="40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20.25" customHeight="1">
      <c r="A871" s="1"/>
      <c r="B871" s="2"/>
      <c r="C871" s="77"/>
      <c r="D871" s="40"/>
      <c r="E871" s="40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20.25" customHeight="1">
      <c r="A872" s="1"/>
      <c r="B872" s="2"/>
      <c r="C872" s="77"/>
      <c r="D872" s="40"/>
      <c r="E872" s="40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20.25" customHeight="1">
      <c r="A873" s="1"/>
      <c r="B873" s="2"/>
      <c r="C873" s="77"/>
      <c r="D873" s="40"/>
      <c r="E873" s="40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20.25" customHeight="1">
      <c r="A874" s="1"/>
      <c r="B874" s="2"/>
      <c r="C874" s="77"/>
      <c r="D874" s="40"/>
      <c r="E874" s="40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20.25" customHeight="1">
      <c r="A875" s="1"/>
      <c r="B875" s="2"/>
      <c r="C875" s="77"/>
      <c r="D875" s="40"/>
      <c r="E875" s="40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20.25" customHeight="1">
      <c r="A876" s="1"/>
      <c r="B876" s="2"/>
      <c r="C876" s="77"/>
      <c r="D876" s="40"/>
      <c r="E876" s="40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20.25" customHeight="1">
      <c r="A877" s="1"/>
      <c r="B877" s="2"/>
      <c r="C877" s="77"/>
      <c r="D877" s="40"/>
      <c r="E877" s="40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20.25" customHeight="1">
      <c r="A878" s="1"/>
      <c r="B878" s="2"/>
      <c r="C878" s="77"/>
      <c r="D878" s="40"/>
      <c r="E878" s="40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20.25" customHeight="1">
      <c r="A879" s="1"/>
      <c r="B879" s="2"/>
      <c r="C879" s="77"/>
      <c r="D879" s="40"/>
      <c r="E879" s="40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20.25" customHeight="1">
      <c r="A880" s="1"/>
      <c r="B880" s="2"/>
      <c r="C880" s="77"/>
      <c r="D880" s="40"/>
      <c r="E880" s="40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20.25" customHeight="1">
      <c r="A881" s="1"/>
      <c r="B881" s="2"/>
      <c r="C881" s="77"/>
      <c r="D881" s="40"/>
      <c r="E881" s="40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20.25" customHeight="1">
      <c r="A882" s="1"/>
      <c r="B882" s="2"/>
      <c r="C882" s="77"/>
      <c r="D882" s="40"/>
      <c r="E882" s="40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20.25" customHeight="1">
      <c r="A883" s="1"/>
      <c r="B883" s="2"/>
      <c r="C883" s="77"/>
      <c r="D883" s="40"/>
      <c r="E883" s="40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20.25" customHeight="1">
      <c r="A884" s="1"/>
      <c r="B884" s="2"/>
      <c r="C884" s="77"/>
      <c r="D884" s="40"/>
      <c r="E884" s="40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20.25" customHeight="1">
      <c r="A885" s="1"/>
      <c r="B885" s="2"/>
      <c r="C885" s="77"/>
      <c r="D885" s="40"/>
      <c r="E885" s="40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20.25" customHeight="1">
      <c r="A886" s="1"/>
      <c r="B886" s="2"/>
      <c r="C886" s="77"/>
      <c r="D886" s="40"/>
      <c r="E886" s="40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20.25" customHeight="1">
      <c r="A887" s="1"/>
      <c r="B887" s="2"/>
      <c r="C887" s="77"/>
      <c r="D887" s="40"/>
      <c r="E887" s="40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20.25" customHeight="1">
      <c r="A888" s="1"/>
      <c r="B888" s="2"/>
      <c r="C888" s="77"/>
      <c r="D888" s="40"/>
      <c r="E888" s="40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20.25" customHeight="1">
      <c r="A889" s="1"/>
      <c r="B889" s="2"/>
      <c r="C889" s="77"/>
      <c r="D889" s="40"/>
      <c r="E889" s="40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20.25" customHeight="1">
      <c r="A890" s="1"/>
      <c r="B890" s="2"/>
      <c r="C890" s="77"/>
      <c r="D890" s="40"/>
      <c r="E890" s="40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20.25" customHeight="1">
      <c r="A891" s="1"/>
      <c r="B891" s="2"/>
      <c r="C891" s="77"/>
      <c r="D891" s="40"/>
      <c r="E891" s="40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20.25" customHeight="1">
      <c r="A892" s="1"/>
      <c r="B892" s="2"/>
      <c r="C892" s="77"/>
      <c r="D892" s="40"/>
      <c r="E892" s="40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20.25" customHeight="1">
      <c r="A893" s="1"/>
      <c r="B893" s="2"/>
      <c r="C893" s="77"/>
      <c r="D893" s="40"/>
      <c r="E893" s="40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20.25" customHeight="1">
      <c r="A894" s="1"/>
      <c r="B894" s="2"/>
      <c r="C894" s="77"/>
      <c r="D894" s="40"/>
      <c r="E894" s="40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20.25" customHeight="1">
      <c r="A895" s="1"/>
      <c r="B895" s="2"/>
      <c r="C895" s="77"/>
      <c r="D895" s="40"/>
      <c r="E895" s="40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20.25" customHeight="1">
      <c r="A896" s="1"/>
      <c r="B896" s="2"/>
      <c r="C896" s="77"/>
      <c r="D896" s="40"/>
      <c r="E896" s="40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20.25" customHeight="1">
      <c r="A897" s="1"/>
      <c r="B897" s="2"/>
      <c r="C897" s="77"/>
      <c r="D897" s="40"/>
      <c r="E897" s="40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20.25" customHeight="1">
      <c r="A898" s="1"/>
      <c r="B898" s="2"/>
      <c r="C898" s="77"/>
      <c r="D898" s="40"/>
      <c r="E898" s="40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20.25" customHeight="1">
      <c r="A899" s="1"/>
      <c r="B899" s="2"/>
      <c r="C899" s="77"/>
      <c r="D899" s="40"/>
      <c r="E899" s="40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20.25" customHeight="1">
      <c r="A900" s="1"/>
      <c r="B900" s="2"/>
      <c r="C900" s="77"/>
      <c r="D900" s="40"/>
      <c r="E900" s="40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20.25" customHeight="1">
      <c r="A901" s="1"/>
      <c r="B901" s="2"/>
      <c r="C901" s="77"/>
      <c r="D901" s="40"/>
      <c r="E901" s="40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20.25" customHeight="1">
      <c r="A902" s="1"/>
      <c r="B902" s="2"/>
      <c r="C902" s="77"/>
      <c r="D902" s="40"/>
      <c r="E902" s="40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20.25" customHeight="1">
      <c r="A903" s="1"/>
      <c r="B903" s="2"/>
      <c r="C903" s="77"/>
      <c r="D903" s="40"/>
      <c r="E903" s="40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20.25" customHeight="1">
      <c r="A904" s="1"/>
      <c r="B904" s="2"/>
      <c r="C904" s="77"/>
      <c r="D904" s="40"/>
      <c r="E904" s="40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20.25" customHeight="1">
      <c r="A905" s="1"/>
      <c r="B905" s="2"/>
      <c r="C905" s="77"/>
      <c r="D905" s="40"/>
      <c r="E905" s="40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20.25" customHeight="1">
      <c r="A906" s="1"/>
      <c r="B906" s="2"/>
      <c r="C906" s="77"/>
      <c r="D906" s="40"/>
      <c r="E906" s="40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20.25" customHeight="1">
      <c r="A907" s="1"/>
      <c r="B907" s="2"/>
      <c r="C907" s="77"/>
      <c r="D907" s="40"/>
      <c r="E907" s="40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20.25" customHeight="1">
      <c r="A908" s="1"/>
      <c r="B908" s="2"/>
      <c r="C908" s="77"/>
      <c r="D908" s="40"/>
      <c r="E908" s="40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20.25" customHeight="1">
      <c r="A909" s="1"/>
      <c r="B909" s="2"/>
      <c r="C909" s="77"/>
      <c r="D909" s="40"/>
      <c r="E909" s="40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20.25" customHeight="1">
      <c r="A910" s="1"/>
      <c r="B910" s="2"/>
      <c r="C910" s="77"/>
      <c r="D910" s="40"/>
      <c r="E910" s="40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20.25" customHeight="1">
      <c r="A911" s="1"/>
      <c r="B911" s="2"/>
      <c r="C911" s="77"/>
      <c r="D911" s="40"/>
      <c r="E911" s="40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20.25" customHeight="1">
      <c r="A912" s="1"/>
      <c r="B912" s="2"/>
      <c r="C912" s="77"/>
      <c r="D912" s="40"/>
      <c r="E912" s="40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20.25" customHeight="1">
      <c r="A913" s="1"/>
      <c r="B913" s="2"/>
      <c r="C913" s="77"/>
      <c r="D913" s="40"/>
      <c r="E913" s="40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20.25" customHeight="1">
      <c r="A914" s="1"/>
      <c r="B914" s="2"/>
      <c r="C914" s="77"/>
      <c r="D914" s="40"/>
      <c r="E914" s="40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20.25" customHeight="1">
      <c r="A915" s="1"/>
      <c r="B915" s="2"/>
      <c r="C915" s="77"/>
      <c r="D915" s="40"/>
      <c r="E915" s="40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20.25" customHeight="1">
      <c r="A916" s="1"/>
      <c r="B916" s="2"/>
      <c r="C916" s="77"/>
      <c r="D916" s="40"/>
      <c r="E916" s="40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20.25" customHeight="1">
      <c r="A917" s="1"/>
      <c r="B917" s="2"/>
      <c r="C917" s="77"/>
      <c r="D917" s="40"/>
      <c r="E917" s="40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20.25" customHeight="1">
      <c r="A918" s="1"/>
      <c r="B918" s="2"/>
      <c r="C918" s="77"/>
      <c r="D918" s="40"/>
      <c r="E918" s="40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20.25" customHeight="1">
      <c r="A919" s="1"/>
      <c r="B919" s="2"/>
      <c r="C919" s="77"/>
      <c r="D919" s="40"/>
      <c r="E919" s="40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20.25" customHeight="1">
      <c r="A920" s="1"/>
      <c r="B920" s="2"/>
      <c r="C920" s="77"/>
      <c r="D920" s="40"/>
      <c r="E920" s="40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20.25" customHeight="1">
      <c r="A921" s="1"/>
      <c r="B921" s="2"/>
      <c r="C921" s="77"/>
      <c r="D921" s="40"/>
      <c r="E921" s="40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20.25" customHeight="1">
      <c r="A922" s="1"/>
      <c r="B922" s="2"/>
      <c r="C922" s="77"/>
      <c r="D922" s="40"/>
      <c r="E922" s="40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20.25" customHeight="1">
      <c r="A923" s="1"/>
      <c r="B923" s="2"/>
      <c r="C923" s="77"/>
      <c r="D923" s="40"/>
      <c r="E923" s="40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20.25" customHeight="1">
      <c r="A924" s="1"/>
      <c r="B924" s="2"/>
      <c r="C924" s="77"/>
      <c r="D924" s="40"/>
      <c r="E924" s="40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20.25" customHeight="1">
      <c r="A925" s="1"/>
      <c r="B925" s="2"/>
      <c r="C925" s="77"/>
      <c r="D925" s="40"/>
      <c r="E925" s="40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20.25" customHeight="1">
      <c r="A926" s="1"/>
      <c r="B926" s="2"/>
      <c r="C926" s="77"/>
      <c r="D926" s="40"/>
      <c r="E926" s="40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20.25" customHeight="1">
      <c r="A927" s="1"/>
      <c r="B927" s="2"/>
      <c r="C927" s="77"/>
      <c r="D927" s="40"/>
      <c r="E927" s="40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20.25" customHeight="1">
      <c r="A928" s="1"/>
      <c r="B928" s="2"/>
      <c r="C928" s="77"/>
      <c r="D928" s="40"/>
      <c r="E928" s="40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20.25" customHeight="1">
      <c r="A929" s="1"/>
      <c r="B929" s="2"/>
      <c r="C929" s="77"/>
      <c r="D929" s="40"/>
      <c r="E929" s="40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20.25" customHeight="1">
      <c r="A930" s="1"/>
      <c r="B930" s="2"/>
      <c r="C930" s="77"/>
      <c r="D930" s="40"/>
      <c r="E930" s="40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20.25" customHeight="1">
      <c r="A931" s="1"/>
      <c r="B931" s="2"/>
      <c r="C931" s="77"/>
      <c r="D931" s="40"/>
      <c r="E931" s="40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20.25" customHeight="1">
      <c r="A932" s="1"/>
      <c r="B932" s="2"/>
      <c r="C932" s="77"/>
      <c r="D932" s="40"/>
      <c r="E932" s="40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20.25" customHeight="1">
      <c r="A933" s="1"/>
      <c r="B933" s="2"/>
      <c r="C933" s="77"/>
      <c r="D933" s="40"/>
      <c r="E933" s="40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20.25" customHeight="1">
      <c r="A934" s="1"/>
      <c r="B934" s="2"/>
      <c r="C934" s="77"/>
      <c r="D934" s="40"/>
      <c r="E934" s="40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20.25" customHeight="1">
      <c r="A935" s="1"/>
      <c r="B935" s="2"/>
      <c r="C935" s="77"/>
      <c r="D935" s="40"/>
      <c r="E935" s="40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20.25" customHeight="1">
      <c r="A936" s="1"/>
      <c r="B936" s="2"/>
      <c r="C936" s="77"/>
      <c r="D936" s="40"/>
      <c r="E936" s="40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20.25" customHeight="1">
      <c r="A937" s="1"/>
      <c r="B937" s="2"/>
      <c r="C937" s="77"/>
      <c r="D937" s="40"/>
      <c r="E937" s="40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20.25" customHeight="1">
      <c r="A938" s="1"/>
      <c r="B938" s="2"/>
      <c r="C938" s="77"/>
      <c r="D938" s="40"/>
      <c r="E938" s="40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20.25" customHeight="1">
      <c r="A939" s="1"/>
      <c r="B939" s="2"/>
      <c r="C939" s="77"/>
      <c r="D939" s="40"/>
      <c r="E939" s="40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20.25" customHeight="1">
      <c r="A940" s="1"/>
      <c r="B940" s="2"/>
      <c r="C940" s="77"/>
      <c r="D940" s="40"/>
      <c r="E940" s="40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20.25" customHeight="1">
      <c r="A941" s="1"/>
      <c r="B941" s="2"/>
      <c r="C941" s="77"/>
      <c r="D941" s="40"/>
      <c r="E941" s="40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20.25" customHeight="1">
      <c r="A942" s="1"/>
      <c r="B942" s="2"/>
      <c r="C942" s="77"/>
      <c r="D942" s="40"/>
      <c r="E942" s="40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20.25" customHeight="1">
      <c r="A943" s="1"/>
      <c r="B943" s="2"/>
      <c r="C943" s="77"/>
      <c r="D943" s="40"/>
      <c r="E943" s="40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20.25" customHeight="1">
      <c r="A944" s="1"/>
      <c r="B944" s="2"/>
      <c r="C944" s="77"/>
      <c r="D944" s="40"/>
      <c r="E944" s="40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20.25" customHeight="1">
      <c r="A945" s="1"/>
      <c r="B945" s="2"/>
      <c r="C945" s="77"/>
      <c r="D945" s="40"/>
      <c r="E945" s="40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20.25" customHeight="1">
      <c r="A946" s="1"/>
      <c r="B946" s="2"/>
      <c r="C946" s="77"/>
      <c r="D946" s="40"/>
      <c r="E946" s="40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20.25" customHeight="1">
      <c r="A947" s="1"/>
      <c r="B947" s="2"/>
      <c r="C947" s="77"/>
      <c r="D947" s="40"/>
      <c r="E947" s="40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20.25" customHeight="1">
      <c r="A948" s="1"/>
      <c r="B948" s="2"/>
      <c r="C948" s="77"/>
      <c r="D948" s="40"/>
      <c r="E948" s="40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20.25" customHeight="1">
      <c r="A949" s="1"/>
      <c r="B949" s="2"/>
      <c r="C949" s="77"/>
      <c r="D949" s="40"/>
      <c r="E949" s="40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20.25" customHeight="1">
      <c r="A950" s="1"/>
      <c r="B950" s="2"/>
      <c r="C950" s="77"/>
      <c r="D950" s="40"/>
      <c r="E950" s="40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20.25" customHeight="1">
      <c r="A951" s="1"/>
      <c r="B951" s="2"/>
      <c r="C951" s="77"/>
      <c r="D951" s="40"/>
      <c r="E951" s="40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20.25" customHeight="1">
      <c r="A952" s="1"/>
      <c r="B952" s="2"/>
      <c r="C952" s="77"/>
      <c r="D952" s="40"/>
      <c r="E952" s="40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20.25" customHeight="1">
      <c r="A953" s="1"/>
      <c r="B953" s="2"/>
      <c r="C953" s="77"/>
      <c r="D953" s="40"/>
      <c r="E953" s="40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20.25" customHeight="1">
      <c r="A954" s="1"/>
      <c r="B954" s="2"/>
      <c r="C954" s="77"/>
      <c r="D954" s="40"/>
      <c r="E954" s="40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20.25" customHeight="1">
      <c r="A955" s="1"/>
      <c r="B955" s="2"/>
      <c r="C955" s="77"/>
      <c r="D955" s="40"/>
      <c r="E955" s="40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20.25" customHeight="1">
      <c r="A956" s="1"/>
      <c r="B956" s="2"/>
      <c r="C956" s="77"/>
      <c r="D956" s="40"/>
      <c r="E956" s="40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20.25" customHeight="1">
      <c r="A957" s="1"/>
      <c r="B957" s="2"/>
      <c r="C957" s="77"/>
      <c r="D957" s="40"/>
      <c r="E957" s="40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20.25" customHeight="1">
      <c r="A958" s="1"/>
      <c r="B958" s="2"/>
      <c r="C958" s="77"/>
      <c r="D958" s="40"/>
      <c r="E958" s="40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20.25" customHeight="1">
      <c r="A959" s="1"/>
      <c r="B959" s="2"/>
      <c r="C959" s="77"/>
      <c r="D959" s="40"/>
      <c r="E959" s="40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20.25" customHeight="1">
      <c r="A960" s="1"/>
      <c r="B960" s="2"/>
      <c r="C960" s="77"/>
      <c r="D960" s="40"/>
      <c r="E960" s="40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20.25" customHeight="1">
      <c r="A961" s="1"/>
      <c r="B961" s="2"/>
      <c r="C961" s="77"/>
      <c r="D961" s="40"/>
      <c r="E961" s="40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20.25" customHeight="1">
      <c r="A962" s="1"/>
      <c r="B962" s="2"/>
      <c r="C962" s="77"/>
      <c r="D962" s="40"/>
      <c r="E962" s="40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20.25" customHeight="1">
      <c r="A963" s="1"/>
      <c r="B963" s="2"/>
      <c r="C963" s="77"/>
      <c r="D963" s="40"/>
      <c r="E963" s="40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20.25" customHeight="1">
      <c r="A964" s="1"/>
      <c r="B964" s="2"/>
      <c r="C964" s="77"/>
      <c r="D964" s="40"/>
      <c r="E964" s="40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20.25" customHeight="1">
      <c r="A965" s="1"/>
      <c r="B965" s="2"/>
      <c r="C965" s="77"/>
      <c r="D965" s="40"/>
      <c r="E965" s="40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20.25" customHeight="1">
      <c r="A966" s="1"/>
      <c r="B966" s="2"/>
      <c r="C966" s="77"/>
      <c r="D966" s="40"/>
      <c r="E966" s="40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20.25" customHeight="1">
      <c r="A967" s="1"/>
      <c r="B967" s="2"/>
      <c r="C967" s="77"/>
      <c r="D967" s="40"/>
      <c r="E967" s="40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20.25" customHeight="1">
      <c r="A968" s="1"/>
      <c r="B968" s="4"/>
      <c r="C968" s="4"/>
      <c r="D968" s="40"/>
      <c r="E968" s="40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</row>
    <row r="969" ht="20.25" customHeight="1">
      <c r="A969" s="1"/>
      <c r="B969" s="4"/>
      <c r="C969" s="4"/>
      <c r="D969" s="40"/>
      <c r="E969" s="40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</row>
    <row r="970" ht="20.25" customHeight="1">
      <c r="A970" s="1"/>
      <c r="B970" s="4"/>
      <c r="C970" s="4"/>
      <c r="D970" s="40"/>
      <c r="E970" s="40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</row>
    <row r="971" ht="20.25" customHeight="1">
      <c r="A971" s="1"/>
      <c r="B971" s="4"/>
      <c r="C971" s="4"/>
      <c r="D971" s="40"/>
      <c r="E971" s="40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</row>
    <row r="972" ht="20.25" customHeight="1">
      <c r="A972" s="1"/>
      <c r="B972" s="4"/>
      <c r="C972" s="4"/>
      <c r="D972" s="40"/>
      <c r="E972" s="40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</row>
    <row r="973" ht="20.25" customHeight="1">
      <c r="A973" s="1"/>
      <c r="B973" s="4"/>
      <c r="C973" s="4"/>
      <c r="D973" s="40"/>
      <c r="E973" s="40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</row>
    <row r="974" ht="20.25" customHeight="1">
      <c r="A974" s="1"/>
      <c r="B974" s="4"/>
      <c r="C974" s="4"/>
      <c r="D974" s="40"/>
      <c r="E974" s="40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</row>
    <row r="975" ht="20.25" customHeight="1">
      <c r="A975" s="1"/>
      <c r="B975" s="4"/>
      <c r="C975" s="4"/>
      <c r="D975" s="40"/>
      <c r="E975" s="40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</row>
    <row r="976" ht="20.25" customHeight="1">
      <c r="A976" s="1"/>
      <c r="B976" s="4"/>
      <c r="C976" s="4"/>
      <c r="D976" s="40"/>
      <c r="E976" s="40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</row>
    <row r="977" ht="20.25" customHeight="1">
      <c r="A977" s="1"/>
      <c r="B977" s="4"/>
      <c r="C977" s="4"/>
      <c r="D977" s="40"/>
      <c r="E977" s="40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</row>
    <row r="978" ht="20.25" customHeight="1">
      <c r="A978" s="1"/>
      <c r="B978" s="4"/>
      <c r="C978" s="4"/>
      <c r="D978" s="40"/>
      <c r="E978" s="40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</row>
  </sheetData>
  <mergeCells count="275"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33:AH33"/>
    <mergeCell ref="AI33:AJ33"/>
    <mergeCell ref="AG27:AH27"/>
    <mergeCell ref="AG28:AH28"/>
    <mergeCell ref="O30:X30"/>
    <mergeCell ref="AA30:AJ30"/>
    <mergeCell ref="AM30:AV30"/>
    <mergeCell ref="U33:V33"/>
    <mergeCell ref="W33:X33"/>
    <mergeCell ref="U34:V34"/>
    <mergeCell ref="W34:X34"/>
    <mergeCell ref="AG34:AH34"/>
    <mergeCell ref="AI34:AJ34"/>
    <mergeCell ref="W35:X35"/>
    <mergeCell ref="AG35:AH35"/>
    <mergeCell ref="AI35:AJ35"/>
    <mergeCell ref="AS33:AT33"/>
    <mergeCell ref="AU33:AV33"/>
    <mergeCell ref="AS34:AT34"/>
    <mergeCell ref="AU34:AV34"/>
    <mergeCell ref="AS35:AT35"/>
    <mergeCell ref="AU35:AV35"/>
    <mergeCell ref="AU36:AV36"/>
    <mergeCell ref="U35:V35"/>
    <mergeCell ref="U36:V36"/>
    <mergeCell ref="W36:X36"/>
    <mergeCell ref="U37:V37"/>
    <mergeCell ref="W37:X37"/>
    <mergeCell ref="U38:V38"/>
    <mergeCell ref="W38:X38"/>
    <mergeCell ref="AS45:AT45"/>
    <mergeCell ref="AS46:AT46"/>
    <mergeCell ref="AS47:AT47"/>
    <mergeCell ref="AS48:AT48"/>
    <mergeCell ref="AU48:AV48"/>
    <mergeCell ref="AS49:AT49"/>
    <mergeCell ref="AU49:AV49"/>
    <mergeCell ref="AS36:AT36"/>
    <mergeCell ref="AS37:AT37"/>
    <mergeCell ref="AS38:AT38"/>
    <mergeCell ref="AS39:AT39"/>
    <mergeCell ref="AS40:AT40"/>
    <mergeCell ref="AS43:AT43"/>
    <mergeCell ref="AS44:AT44"/>
    <mergeCell ref="I48:J48"/>
    <mergeCell ref="I49:J49"/>
    <mergeCell ref="K49:L49"/>
    <mergeCell ref="U49:V49"/>
    <mergeCell ref="W49:X49"/>
    <mergeCell ref="AG49:AH49"/>
    <mergeCell ref="AI49:AJ49"/>
    <mergeCell ref="AG44:AH44"/>
    <mergeCell ref="AI44:AJ44"/>
    <mergeCell ref="K48:L48"/>
    <mergeCell ref="U48:V48"/>
    <mergeCell ref="W48:X48"/>
    <mergeCell ref="AG48:AH48"/>
    <mergeCell ref="AI48:AJ48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S27:AT27"/>
    <mergeCell ref="AS28:AT28"/>
    <mergeCell ref="U27:V27"/>
    <mergeCell ref="W27:X27"/>
    <mergeCell ref="AI27:AJ27"/>
    <mergeCell ref="AU27:AV27"/>
    <mergeCell ref="U28:V28"/>
    <mergeCell ref="W28:X28"/>
    <mergeCell ref="AI28:AJ28"/>
    <mergeCell ref="AU28:AV28"/>
    <mergeCell ref="AG39:AH39"/>
    <mergeCell ref="AG40:AH40"/>
    <mergeCell ref="AG36:AH36"/>
    <mergeCell ref="AI36:AJ36"/>
    <mergeCell ref="AG37:AH37"/>
    <mergeCell ref="AI37:AJ37"/>
    <mergeCell ref="AG38:AH38"/>
    <mergeCell ref="AI38:AJ38"/>
    <mergeCell ref="AI39:AJ39"/>
    <mergeCell ref="AI40:AJ40"/>
    <mergeCell ref="U39:V39"/>
    <mergeCell ref="W39:X39"/>
    <mergeCell ref="U40:V40"/>
    <mergeCell ref="W40:X40"/>
    <mergeCell ref="W43:X43"/>
    <mergeCell ref="AG43:AH43"/>
    <mergeCell ref="AI43:AJ43"/>
    <mergeCell ref="U43:V43"/>
    <mergeCell ref="U44:V44"/>
    <mergeCell ref="W44:X44"/>
    <mergeCell ref="U45:V45"/>
    <mergeCell ref="W45:X45"/>
    <mergeCell ref="AG45:AH45"/>
    <mergeCell ref="AI45:AJ45"/>
    <mergeCell ref="W47:X47"/>
    <mergeCell ref="O51:X51"/>
    <mergeCell ref="AA51:AJ51"/>
    <mergeCell ref="U46:V46"/>
    <mergeCell ref="W46:X46"/>
    <mergeCell ref="AG46:AH46"/>
    <mergeCell ref="AI46:AJ46"/>
    <mergeCell ref="U47:V47"/>
    <mergeCell ref="AG47:AH47"/>
    <mergeCell ref="AI47:AJ47"/>
    <mergeCell ref="AU46:AV46"/>
    <mergeCell ref="AU47:AV47"/>
    <mergeCell ref="AM51:AV51"/>
    <mergeCell ref="AU37:AV37"/>
    <mergeCell ref="AU38:AV38"/>
    <mergeCell ref="AU39:AV39"/>
    <mergeCell ref="AU40:AV40"/>
    <mergeCell ref="AU43:AV43"/>
    <mergeCell ref="AU44:AV44"/>
    <mergeCell ref="AU45:AV45"/>
    <mergeCell ref="B64:D65"/>
    <mergeCell ref="E64:E65"/>
    <mergeCell ref="F64:F65"/>
    <mergeCell ref="B58:F59"/>
    <mergeCell ref="B60:D61"/>
    <mergeCell ref="E60:E61"/>
    <mergeCell ref="F60:F61"/>
    <mergeCell ref="B62:D63"/>
    <mergeCell ref="E62:E63"/>
    <mergeCell ref="F62:F63"/>
    <mergeCell ref="I13:J13"/>
    <mergeCell ref="I14:J14"/>
    <mergeCell ref="K14:L14"/>
    <mergeCell ref="I15:J15"/>
    <mergeCell ref="K15:L15"/>
    <mergeCell ref="I16:J16"/>
    <mergeCell ref="K16:L16"/>
    <mergeCell ref="I26:J26"/>
    <mergeCell ref="K26:L26"/>
    <mergeCell ref="I27:J27"/>
    <mergeCell ref="K27:L27"/>
    <mergeCell ref="I28:J28"/>
    <mergeCell ref="K28:L28"/>
    <mergeCell ref="C30:L30"/>
    <mergeCell ref="I33:J33"/>
    <mergeCell ref="K33:L33"/>
    <mergeCell ref="I34:J34"/>
    <mergeCell ref="K34:L34"/>
    <mergeCell ref="I35:J35"/>
    <mergeCell ref="K35:L35"/>
    <mergeCell ref="K36:L36"/>
    <mergeCell ref="I45:J45"/>
    <mergeCell ref="I46:J46"/>
    <mergeCell ref="I47:J47"/>
    <mergeCell ref="I36:J36"/>
    <mergeCell ref="I37:J37"/>
    <mergeCell ref="I38:J38"/>
    <mergeCell ref="I39:J39"/>
    <mergeCell ref="I40:J40"/>
    <mergeCell ref="I43:J43"/>
    <mergeCell ref="I44:J44"/>
    <mergeCell ref="K37:L37"/>
    <mergeCell ref="K38:L38"/>
    <mergeCell ref="K39:L39"/>
    <mergeCell ref="K40:L40"/>
    <mergeCell ref="K43:L43"/>
    <mergeCell ref="K44:L44"/>
    <mergeCell ref="K45:L45"/>
    <mergeCell ref="K46:L46"/>
    <mergeCell ref="K47:L47"/>
    <mergeCell ref="C51:L51"/>
    <mergeCell ref="B54:F55"/>
    <mergeCell ref="B56:D57"/>
    <mergeCell ref="E56:E57"/>
    <mergeCell ref="F56:F57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27"/>
    <hyperlink r:id="rId50" ref="O27"/>
    <hyperlink r:id="rId51" ref="AA27"/>
    <hyperlink r:id="rId52" ref="AM27"/>
    <hyperlink r:id="rId53" ref="C34"/>
    <hyperlink r:id="rId54" ref="O34"/>
    <hyperlink r:id="rId55" ref="AA34"/>
    <hyperlink r:id="rId56" ref="AM34"/>
    <hyperlink r:id="rId57" ref="C35"/>
    <hyperlink r:id="rId58" ref="O35"/>
    <hyperlink r:id="rId59" ref="AA35"/>
    <hyperlink r:id="rId60" ref="AM35"/>
    <hyperlink r:id="rId61" ref="C36"/>
    <hyperlink r:id="rId62" ref="O36"/>
    <hyperlink r:id="rId63" ref="AA36"/>
    <hyperlink r:id="rId64" ref="AM36"/>
    <hyperlink r:id="rId65" ref="C37"/>
    <hyperlink r:id="rId66" ref="O37"/>
    <hyperlink r:id="rId67" ref="AA37"/>
    <hyperlink r:id="rId68" ref="AM37"/>
    <hyperlink r:id="rId69" ref="C38"/>
    <hyperlink r:id="rId70" ref="O38"/>
    <hyperlink r:id="rId71" ref="AA38"/>
    <hyperlink r:id="rId72" ref="AM38"/>
    <hyperlink r:id="rId73" ref="C39"/>
    <hyperlink r:id="rId74" ref="O39"/>
    <hyperlink r:id="rId75" ref="AA39"/>
    <hyperlink r:id="rId76" ref="AM39"/>
    <hyperlink r:id="rId77" ref="C44"/>
    <hyperlink r:id="rId78" ref="O44"/>
    <hyperlink r:id="rId79" ref="AA44"/>
    <hyperlink r:id="rId80" ref="AM44"/>
    <hyperlink r:id="rId81" ref="C45"/>
    <hyperlink r:id="rId82" ref="O45"/>
    <hyperlink r:id="rId83" ref="AA45"/>
    <hyperlink r:id="rId84" ref="AM45"/>
    <hyperlink r:id="rId85" ref="C46"/>
    <hyperlink r:id="rId86" ref="O46"/>
    <hyperlink r:id="rId87" ref="AA46"/>
    <hyperlink r:id="rId88" ref="AM46"/>
    <hyperlink r:id="rId89" ref="C47"/>
    <hyperlink r:id="rId90" ref="O47"/>
    <hyperlink r:id="rId91" ref="AA47"/>
    <hyperlink r:id="rId92" ref="AM47"/>
    <hyperlink r:id="rId93" ref="C48"/>
    <hyperlink r:id="rId94" ref="O48"/>
    <hyperlink r:id="rId95" ref="AA48"/>
    <hyperlink r:id="rId96" ref="AM48"/>
    <hyperlink r:id="rId97" ref="C49"/>
    <hyperlink r:id="rId98" ref="O49"/>
    <hyperlink r:id="rId99" ref="AA49"/>
    <hyperlink r:id="rId100" ref="AM49"/>
    <hyperlink r:id="rId101" ref="B60"/>
    <hyperlink r:id="rId102" ref="B62"/>
    <hyperlink r:id="rId103" ref="B64"/>
  </hyperlinks>
  <printOptions/>
  <pageMargins bottom="0.75" footer="0.0" header="0.0" left="0.7" right="0.7" top="0.75"/>
  <pageSetup orientation="portrait"/>
  <drawing r:id="rId10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29"/>
      <c r="B1" s="129"/>
      <c r="C1" s="129"/>
      <c r="D1" s="129"/>
      <c r="E1" s="129"/>
      <c r="F1" s="130"/>
      <c r="G1" s="130"/>
      <c r="H1" s="130"/>
      <c r="I1" s="130"/>
      <c r="J1" s="130"/>
      <c r="K1" s="130"/>
      <c r="L1" s="17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</row>
    <row r="2">
      <c r="A2" s="129"/>
      <c r="B2" s="129"/>
      <c r="C2" s="129"/>
      <c r="D2" s="129"/>
      <c r="E2" s="129"/>
      <c r="F2" s="130"/>
      <c r="G2" s="130"/>
      <c r="H2" s="130"/>
      <c r="I2" s="130"/>
      <c r="J2" s="130"/>
      <c r="K2" s="130"/>
      <c r="L2" s="17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</row>
    <row r="3" ht="217.5" customHeight="1">
      <c r="A3" s="36"/>
      <c r="B3" s="36"/>
      <c r="C3" s="17"/>
      <c r="D3" s="17"/>
      <c r="E3" s="17"/>
      <c r="F3" s="17"/>
      <c r="G3" s="17"/>
      <c r="H3" s="36"/>
      <c r="I3" s="17"/>
      <c r="J3" s="17"/>
      <c r="K3" s="17"/>
      <c r="L3" s="17"/>
      <c r="M3" s="130"/>
      <c r="N3" s="131"/>
      <c r="O3" s="130"/>
      <c r="P3" s="36"/>
      <c r="Q3" s="36"/>
      <c r="R3" s="36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</row>
    <row r="4" ht="75.0" customHeight="1">
      <c r="A4" s="36"/>
      <c r="B4" s="36"/>
      <c r="C4" s="17"/>
      <c r="D4" s="17"/>
      <c r="E4" s="17"/>
      <c r="F4" s="17"/>
      <c r="G4" s="17"/>
      <c r="H4" s="36"/>
      <c r="I4" s="17"/>
      <c r="J4" s="17"/>
      <c r="K4" s="17"/>
      <c r="L4" s="17"/>
      <c r="M4" s="130"/>
      <c r="N4" s="130"/>
      <c r="O4" s="130"/>
      <c r="P4" s="36"/>
      <c r="Q4" s="17"/>
      <c r="R4" s="17"/>
      <c r="S4" s="17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</row>
    <row r="5">
      <c r="A5" s="75"/>
      <c r="B5" s="75"/>
      <c r="C5" s="132" t="s">
        <v>99</v>
      </c>
      <c r="D5" s="38"/>
      <c r="E5" s="24"/>
      <c r="F5" s="17"/>
      <c r="G5" s="75"/>
      <c r="H5" s="75"/>
      <c r="I5" s="75"/>
      <c r="J5" s="75"/>
      <c r="K5" s="75"/>
      <c r="L5" s="17"/>
      <c r="M5" s="133"/>
      <c r="N5" s="133"/>
      <c r="O5" s="133"/>
      <c r="P5" s="76"/>
      <c r="Q5" s="134"/>
      <c r="R5" s="134"/>
      <c r="S5" s="134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</row>
    <row r="6">
      <c r="A6" s="75"/>
      <c r="B6" s="75"/>
      <c r="C6" s="132" t="s">
        <v>100</v>
      </c>
      <c r="D6" s="38"/>
      <c r="E6" s="24"/>
      <c r="F6" s="17"/>
      <c r="G6" s="75"/>
      <c r="H6" s="75"/>
      <c r="I6" s="75"/>
      <c r="J6" s="75"/>
      <c r="K6" s="17"/>
      <c r="L6" s="17"/>
      <c r="M6" s="133"/>
      <c r="N6" s="133"/>
      <c r="O6" s="133"/>
      <c r="P6" s="76"/>
      <c r="Q6" s="134"/>
      <c r="R6" s="134"/>
      <c r="S6" s="134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</row>
    <row r="7">
      <c r="A7" s="75"/>
      <c r="B7" s="75"/>
      <c r="C7" s="132" t="s">
        <v>101</v>
      </c>
      <c r="D7" s="38"/>
      <c r="E7" s="24"/>
      <c r="F7" s="17"/>
      <c r="G7" s="75"/>
      <c r="H7" s="75"/>
      <c r="I7" s="75"/>
      <c r="J7" s="75"/>
      <c r="K7" s="17"/>
      <c r="L7" s="17"/>
      <c r="M7" s="17"/>
      <c r="N7" s="17"/>
      <c r="O7" s="17"/>
      <c r="P7" s="17"/>
      <c r="Q7" s="17"/>
      <c r="R7" s="17"/>
      <c r="S7" s="17"/>
      <c r="T7" s="135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</row>
    <row r="8">
      <c r="A8" s="75"/>
      <c r="B8" s="75"/>
      <c r="F8" s="17"/>
      <c r="G8" s="75"/>
      <c r="H8" s="75"/>
      <c r="I8" s="75"/>
      <c r="J8" s="75"/>
      <c r="K8" s="17"/>
      <c r="L8" s="17"/>
      <c r="M8" s="17"/>
      <c r="N8" s="17"/>
      <c r="O8" s="17"/>
      <c r="P8" s="17"/>
      <c r="Q8" s="17"/>
      <c r="R8" s="17"/>
      <c r="S8" s="17"/>
      <c r="T8" s="135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</row>
    <row r="9">
      <c r="A9" s="36"/>
      <c r="B9" s="36"/>
      <c r="C9" s="17"/>
      <c r="D9" s="17"/>
      <c r="E9" s="17"/>
      <c r="F9" s="17"/>
      <c r="G9" s="75"/>
      <c r="H9" s="75"/>
      <c r="I9" s="75"/>
      <c r="J9" s="75"/>
      <c r="K9" s="17"/>
      <c r="L9" s="17"/>
      <c r="M9" s="17"/>
      <c r="N9" s="17"/>
      <c r="O9" s="17"/>
      <c r="P9" s="17"/>
      <c r="Q9" s="17"/>
      <c r="R9" s="17"/>
      <c r="S9" s="17"/>
      <c r="T9" s="135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</row>
    <row r="10">
      <c r="A10" s="36"/>
      <c r="B10" s="36"/>
      <c r="C10" s="17"/>
      <c r="D10" s="17"/>
      <c r="E10" s="17"/>
      <c r="F10" s="17"/>
      <c r="G10" s="136"/>
      <c r="H10" s="136"/>
      <c r="I10" s="136"/>
      <c r="J10" s="136"/>
      <c r="K10" s="136"/>
      <c r="L10" s="17"/>
      <c r="M10" s="17"/>
      <c r="N10" s="17"/>
      <c r="O10" s="17"/>
      <c r="P10" s="17"/>
      <c r="Q10" s="17"/>
      <c r="R10" s="17"/>
      <c r="S10" s="17"/>
      <c r="T10" s="135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</row>
    <row r="11" ht="18.0" customHeight="1">
      <c r="A11" s="36"/>
      <c r="B11" s="36"/>
      <c r="C11" s="17"/>
      <c r="D11" s="17"/>
      <c r="E11" s="17"/>
      <c r="F11" s="17"/>
      <c r="G11" s="136"/>
      <c r="H11" s="136"/>
      <c r="I11" s="136"/>
      <c r="J11" s="136"/>
      <c r="K11" s="136"/>
      <c r="L11" s="17"/>
      <c r="M11" s="17"/>
      <c r="N11" s="17"/>
      <c r="O11" s="17"/>
      <c r="P11" s="17"/>
      <c r="Q11" s="17"/>
      <c r="R11" s="17"/>
      <c r="S11" s="17"/>
      <c r="T11" s="137"/>
      <c r="U11" s="17"/>
      <c r="V11" s="17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</row>
    <row r="12" ht="25.5" customHeight="1">
      <c r="A12" s="36"/>
      <c r="B12" s="36"/>
      <c r="C12" s="138" t="s">
        <v>102</v>
      </c>
      <c r="D12" s="38"/>
      <c r="E12" s="24"/>
      <c r="F12" s="17"/>
      <c r="G12" s="136"/>
      <c r="H12" s="36"/>
      <c r="I12" s="17"/>
      <c r="J12" s="17"/>
      <c r="K12" s="136"/>
      <c r="L12" s="17"/>
      <c r="M12" s="17"/>
      <c r="N12" s="17"/>
      <c r="O12" s="17"/>
      <c r="P12" s="17"/>
      <c r="Q12" s="17"/>
      <c r="R12" s="17"/>
      <c r="S12" s="17"/>
      <c r="T12" s="137"/>
      <c r="U12" s="17"/>
      <c r="V12" s="17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</row>
    <row r="13">
      <c r="A13" s="36"/>
      <c r="B13" s="36"/>
      <c r="C13" s="139" t="s">
        <v>103</v>
      </c>
      <c r="D13" s="140"/>
      <c r="E13" s="24"/>
      <c r="F13" s="17"/>
      <c r="G13" s="136"/>
      <c r="H13" s="36"/>
      <c r="I13" s="17"/>
      <c r="J13" s="17"/>
      <c r="K13" s="136"/>
      <c r="L13" s="17"/>
      <c r="M13" s="17"/>
      <c r="N13" s="17"/>
      <c r="O13" s="17"/>
      <c r="P13" s="17"/>
      <c r="Q13" s="17"/>
      <c r="R13" s="17"/>
      <c r="S13" s="17"/>
      <c r="T13" s="137"/>
      <c r="U13" s="17"/>
      <c r="V13" s="17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</row>
    <row r="14">
      <c r="A14" s="36"/>
      <c r="B14" s="36"/>
      <c r="C14" s="139" t="s">
        <v>54</v>
      </c>
      <c r="D14" s="140"/>
      <c r="E14" s="24"/>
      <c r="F14" s="17"/>
      <c r="G14" s="136"/>
      <c r="H14" s="36"/>
      <c r="I14" s="17"/>
      <c r="J14" s="17"/>
      <c r="K14" s="136"/>
      <c r="L14" s="17"/>
      <c r="M14" s="17"/>
      <c r="N14" s="17"/>
      <c r="O14" s="17"/>
      <c r="P14" s="17"/>
      <c r="Q14" s="17"/>
      <c r="R14" s="17"/>
      <c r="S14" s="17"/>
      <c r="T14" s="137"/>
      <c r="U14" s="17"/>
      <c r="V14" s="17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</row>
    <row r="15">
      <c r="A15" s="141"/>
      <c r="B15" s="141"/>
      <c r="C15" s="139" t="s">
        <v>55</v>
      </c>
      <c r="D15" s="140"/>
      <c r="E15" s="24"/>
      <c r="F15" s="134"/>
      <c r="G15" s="136"/>
      <c r="H15" s="36"/>
      <c r="I15" s="17"/>
      <c r="J15" s="17"/>
      <c r="K15" s="136"/>
      <c r="L15" s="17"/>
      <c r="M15" s="17"/>
      <c r="N15" s="17"/>
      <c r="O15" s="17"/>
      <c r="P15" s="17"/>
      <c r="Q15" s="17"/>
      <c r="R15" s="17"/>
      <c r="S15" s="17"/>
      <c r="T15" s="137"/>
      <c r="U15" s="17"/>
      <c r="V15" s="17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</row>
    <row r="16">
      <c r="A16" s="142"/>
      <c r="B16" s="142"/>
      <c r="C16" s="139" t="s">
        <v>104</v>
      </c>
      <c r="D16" s="143"/>
      <c r="E16" s="24"/>
      <c r="F16" s="134"/>
      <c r="G16" s="136"/>
      <c r="H16" s="36"/>
      <c r="I16" s="17"/>
      <c r="J16" s="17"/>
      <c r="K16" s="136"/>
      <c r="L16" s="17"/>
      <c r="M16" s="17"/>
      <c r="N16" s="17"/>
      <c r="O16" s="17"/>
      <c r="P16" s="17"/>
      <c r="Q16" s="17"/>
      <c r="R16" s="17"/>
      <c r="S16" s="17"/>
      <c r="T16" s="137"/>
      <c r="U16" s="17"/>
      <c r="V16" s="17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</row>
    <row r="17">
      <c r="A17" s="142"/>
      <c r="B17" s="142"/>
      <c r="C17" s="17"/>
      <c r="D17" s="17"/>
      <c r="E17" s="17"/>
      <c r="F17" s="134"/>
      <c r="G17" s="133"/>
      <c r="H17" s="133"/>
      <c r="I17" s="133"/>
      <c r="J17" s="133"/>
      <c r="K17" s="133"/>
      <c r="L17" s="17"/>
      <c r="M17" s="17"/>
      <c r="N17" s="17"/>
      <c r="O17" s="17"/>
      <c r="P17" s="17"/>
      <c r="Q17" s="17"/>
      <c r="R17" s="17"/>
      <c r="S17" s="17"/>
      <c r="T17" s="137"/>
      <c r="U17" s="17"/>
      <c r="V17" s="17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</row>
    <row r="18" ht="22.5" customHeight="1">
      <c r="A18" s="142"/>
      <c r="B18" s="142"/>
      <c r="C18" s="17"/>
      <c r="D18" s="17"/>
      <c r="E18" s="17"/>
      <c r="F18" s="133"/>
      <c r="G18" s="133"/>
      <c r="H18" s="133"/>
      <c r="I18" s="133"/>
      <c r="J18" s="133"/>
      <c r="K18" s="133"/>
      <c r="L18" s="17"/>
      <c r="M18" s="17"/>
      <c r="N18" s="17"/>
      <c r="O18" s="17"/>
      <c r="P18" s="17"/>
      <c r="Q18" s="17"/>
      <c r="R18" s="17"/>
      <c r="S18" s="17"/>
      <c r="T18" s="137"/>
      <c r="U18" s="17"/>
      <c r="V18" s="17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</row>
    <row r="19" ht="30.0" customHeight="1">
      <c r="A19" s="142"/>
      <c r="B19" s="142"/>
      <c r="C19" s="134"/>
      <c r="D19" s="144" t="s">
        <v>0</v>
      </c>
      <c r="E19" s="24"/>
      <c r="F19" s="134"/>
      <c r="G19" s="133"/>
      <c r="H19" s="133"/>
      <c r="I19" s="133"/>
      <c r="J19" s="133"/>
      <c r="K19" s="133"/>
      <c r="L19" s="145" t="s">
        <v>105</v>
      </c>
      <c r="M19" s="145" t="s">
        <v>106</v>
      </c>
      <c r="N19" s="145" t="s">
        <v>56</v>
      </c>
      <c r="O19" s="145" t="s">
        <v>107</v>
      </c>
      <c r="P19" s="145" t="s">
        <v>108</v>
      </c>
      <c r="Q19" s="145" t="s">
        <v>109</v>
      </c>
      <c r="R19" s="145" t="s">
        <v>110</v>
      </c>
      <c r="S19" s="145" t="s">
        <v>111</v>
      </c>
      <c r="T19" s="137"/>
      <c r="U19" s="17"/>
      <c r="V19" s="17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</row>
    <row r="20">
      <c r="A20" s="146"/>
      <c r="B20" s="146"/>
      <c r="C20" s="145" t="s">
        <v>112</v>
      </c>
      <c r="D20" s="145" t="s">
        <v>113</v>
      </c>
      <c r="E20" s="145" t="s">
        <v>114</v>
      </c>
      <c r="F20" s="145" t="s">
        <v>115</v>
      </c>
      <c r="G20" s="133"/>
      <c r="H20" s="147"/>
      <c r="I20" s="148" t="s">
        <v>116</v>
      </c>
      <c r="J20" s="24"/>
      <c r="K20" s="133"/>
      <c r="L20" s="149" t="s">
        <v>117</v>
      </c>
      <c r="M20" s="150">
        <v>45479.0</v>
      </c>
      <c r="N20" s="151"/>
      <c r="O20" s="151"/>
      <c r="P20" s="151"/>
      <c r="Q20" s="151"/>
      <c r="R20" s="151"/>
      <c r="S20" s="151"/>
      <c r="T20" s="137"/>
      <c r="U20" s="17"/>
      <c r="V20" s="17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</row>
    <row r="21">
      <c r="A21" s="76"/>
      <c r="B21" s="76"/>
      <c r="C21" s="152">
        <v>45703.0</v>
      </c>
      <c r="D21" s="153"/>
      <c r="E21" s="153"/>
      <c r="F21" s="153"/>
      <c r="G21" s="133"/>
      <c r="H21" s="154"/>
      <c r="I21" s="152" t="s">
        <v>118</v>
      </c>
      <c r="J21" s="155">
        <v>1910.0</v>
      </c>
      <c r="K21" s="133"/>
      <c r="L21" s="149">
        <v>1.0</v>
      </c>
      <c r="M21" s="156">
        <f t="shared" ref="M21:M32" si="2">M20+7</f>
        <v>45486</v>
      </c>
      <c r="N21" s="157" t="str">
        <f>D28</f>
        <v>#DIV/0!</v>
      </c>
      <c r="O21" s="158" t="str">
        <f t="shared" ref="O21:S21" si="1">C32</f>
        <v/>
      </c>
      <c r="P21" s="158" t="str">
        <f t="shared" si="1"/>
        <v/>
      </c>
      <c r="Q21" s="158" t="str">
        <f t="shared" si="1"/>
        <v/>
      </c>
      <c r="R21" s="158" t="str">
        <f t="shared" si="1"/>
        <v/>
      </c>
      <c r="S21" s="158" t="str">
        <f t="shared" si="1"/>
        <v/>
      </c>
      <c r="T21" s="137"/>
      <c r="U21" s="17"/>
      <c r="V21" s="17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</row>
    <row r="22">
      <c r="A22" s="147"/>
      <c r="B22" s="147"/>
      <c r="C22" s="152">
        <v>45704.0</v>
      </c>
      <c r="D22" s="153"/>
      <c r="E22" s="153"/>
      <c r="F22" s="153"/>
      <c r="G22" s="133"/>
      <c r="H22" s="154"/>
      <c r="I22" s="152" t="s">
        <v>119</v>
      </c>
      <c r="J22" s="155">
        <v>170.0</v>
      </c>
      <c r="K22" s="133"/>
      <c r="L22" s="149">
        <v>2.0</v>
      </c>
      <c r="M22" s="156">
        <f t="shared" si="2"/>
        <v>45493</v>
      </c>
      <c r="N22" s="159" t="str">
        <f>AVERAGE(D55:D61)</f>
        <v>#DIV/0!</v>
      </c>
      <c r="O22" s="160" t="str">
        <f t="shared" ref="O22:S22" si="3">C49</f>
        <v/>
      </c>
      <c r="P22" s="160" t="str">
        <f t="shared" si="3"/>
        <v/>
      </c>
      <c r="Q22" s="160" t="str">
        <f t="shared" si="3"/>
        <v/>
      </c>
      <c r="R22" s="160" t="str">
        <f t="shared" si="3"/>
        <v/>
      </c>
      <c r="S22" s="160" t="str">
        <f t="shared" si="3"/>
        <v/>
      </c>
      <c r="T22" s="137"/>
      <c r="U22" s="17"/>
      <c r="V22" s="17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</row>
    <row r="23">
      <c r="A23" s="161"/>
      <c r="B23" s="161"/>
      <c r="C23" s="152">
        <v>45705.0</v>
      </c>
      <c r="D23" s="153"/>
      <c r="E23" s="153"/>
      <c r="F23" s="153"/>
      <c r="G23" s="133"/>
      <c r="H23" s="154"/>
      <c r="I23" s="152" t="s">
        <v>120</v>
      </c>
      <c r="J23" s="155">
        <v>195.0</v>
      </c>
      <c r="K23" s="133"/>
      <c r="L23" s="149">
        <v>3.0</v>
      </c>
      <c r="M23" s="156">
        <f t="shared" si="2"/>
        <v>45500</v>
      </c>
      <c r="N23" s="153" t="str">
        <f>AVERAGE(D55:D61)</f>
        <v>#DIV/0!</v>
      </c>
      <c r="O23" s="162" t="str">
        <f t="shared" ref="O23:S23" si="4">C66</f>
        <v/>
      </c>
      <c r="P23" s="162" t="str">
        <f t="shared" si="4"/>
        <v/>
      </c>
      <c r="Q23" s="162" t="str">
        <f t="shared" si="4"/>
        <v/>
      </c>
      <c r="R23" s="162" t="str">
        <f t="shared" si="4"/>
        <v/>
      </c>
      <c r="S23" s="162" t="str">
        <f t="shared" si="4"/>
        <v/>
      </c>
      <c r="T23" s="137"/>
      <c r="U23" s="17"/>
      <c r="V23" s="17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</row>
    <row r="24">
      <c r="A24" s="133"/>
      <c r="B24" s="133"/>
      <c r="C24" s="152">
        <v>45706.0</v>
      </c>
      <c r="D24" s="153"/>
      <c r="E24" s="153"/>
      <c r="F24" s="153"/>
      <c r="G24" s="133"/>
      <c r="H24" s="154"/>
      <c r="I24" s="152" t="s">
        <v>121</v>
      </c>
      <c r="J24" s="155">
        <v>50.0</v>
      </c>
      <c r="K24" s="133"/>
      <c r="L24" s="149">
        <v>4.0</v>
      </c>
      <c r="M24" s="156">
        <f t="shared" si="2"/>
        <v>45507</v>
      </c>
      <c r="N24" s="159" t="str">
        <f>AVERAGE(D71:D77)</f>
        <v>#DIV/0!</v>
      </c>
      <c r="O24" s="160" t="str">
        <f t="shared" ref="O24:S24" si="5">C82</f>
        <v/>
      </c>
      <c r="P24" s="160" t="str">
        <f t="shared" si="5"/>
        <v/>
      </c>
      <c r="Q24" s="160" t="str">
        <f t="shared" si="5"/>
        <v/>
      </c>
      <c r="R24" s="160" t="str">
        <f t="shared" si="5"/>
        <v/>
      </c>
      <c r="S24" s="160" t="str">
        <f t="shared" si="5"/>
        <v/>
      </c>
      <c r="T24" s="137"/>
      <c r="U24" s="17"/>
      <c r="V24" s="17"/>
      <c r="W24" s="17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</row>
    <row r="25">
      <c r="A25" s="161"/>
      <c r="B25" s="161"/>
      <c r="C25" s="152">
        <v>45707.0</v>
      </c>
      <c r="D25" s="153"/>
      <c r="E25" s="153"/>
      <c r="F25" s="153"/>
      <c r="G25" s="133"/>
      <c r="H25" s="133"/>
      <c r="I25" s="133"/>
      <c r="J25" s="133"/>
      <c r="K25" s="133"/>
      <c r="L25" s="149">
        <v>5.0</v>
      </c>
      <c r="M25" s="156">
        <f t="shared" si="2"/>
        <v>45514</v>
      </c>
      <c r="N25" s="153" t="str">
        <f>AVERAGE(D87:D93)</f>
        <v>#DIV/0!</v>
      </c>
      <c r="O25" s="162" t="str">
        <f t="shared" ref="O25:S25" si="6">C98</f>
        <v/>
      </c>
      <c r="P25" s="162" t="str">
        <f t="shared" si="6"/>
        <v/>
      </c>
      <c r="Q25" s="162" t="str">
        <f t="shared" si="6"/>
        <v/>
      </c>
      <c r="R25" s="162" t="str">
        <f t="shared" si="6"/>
        <v/>
      </c>
      <c r="S25" s="162" t="str">
        <f t="shared" si="6"/>
        <v/>
      </c>
      <c r="T25" s="137"/>
      <c r="U25" s="17"/>
      <c r="V25" s="17"/>
      <c r="W25" s="17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</row>
    <row r="26">
      <c r="A26" s="161"/>
      <c r="B26" s="161"/>
      <c r="C26" s="152">
        <v>45708.0</v>
      </c>
      <c r="D26" s="163"/>
      <c r="E26" s="153"/>
      <c r="F26" s="153"/>
      <c r="G26" s="133"/>
      <c r="H26" s="133"/>
      <c r="I26" s="133"/>
      <c r="J26" s="133"/>
      <c r="K26" s="133"/>
      <c r="L26" s="149">
        <v>6.0</v>
      </c>
      <c r="M26" s="156">
        <f t="shared" si="2"/>
        <v>45521</v>
      </c>
      <c r="N26" s="159" t="str">
        <f>AVERAGE(D103:D109)</f>
        <v>#DIV/0!</v>
      </c>
      <c r="O26" s="160" t="str">
        <f t="shared" ref="O26:S26" si="7">C114</f>
        <v/>
      </c>
      <c r="P26" s="160" t="str">
        <f t="shared" si="7"/>
        <v/>
      </c>
      <c r="Q26" s="160" t="str">
        <f t="shared" si="7"/>
        <v/>
      </c>
      <c r="R26" s="160" t="str">
        <f t="shared" si="7"/>
        <v/>
      </c>
      <c r="S26" s="160" t="str">
        <f t="shared" si="7"/>
        <v/>
      </c>
      <c r="T26" s="137"/>
      <c r="U26" s="17"/>
      <c r="V26" s="17"/>
      <c r="W26" s="17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</row>
    <row r="27">
      <c r="A27" s="133"/>
      <c r="B27" s="133"/>
      <c r="C27" s="152">
        <v>45709.0</v>
      </c>
      <c r="D27" s="163"/>
      <c r="E27" s="153"/>
      <c r="F27" s="163"/>
      <c r="G27" s="133"/>
      <c r="H27" s="133"/>
      <c r="I27" s="133"/>
      <c r="J27" s="133"/>
      <c r="K27" s="133"/>
      <c r="L27" s="149">
        <v>7.0</v>
      </c>
      <c r="M27" s="156">
        <f t="shared" si="2"/>
        <v>45528</v>
      </c>
      <c r="N27" s="153" t="str">
        <f>AVERAGE(D120:D126)</f>
        <v>#DIV/0!</v>
      </c>
      <c r="O27" s="162" t="str">
        <f t="shared" ref="O27:S27" si="8">C131</f>
        <v/>
      </c>
      <c r="P27" s="162" t="str">
        <f t="shared" si="8"/>
        <v/>
      </c>
      <c r="Q27" s="162" t="str">
        <f t="shared" si="8"/>
        <v/>
      </c>
      <c r="R27" s="162" t="str">
        <f t="shared" si="8"/>
        <v/>
      </c>
      <c r="S27" s="162" t="str">
        <f t="shared" si="8"/>
        <v/>
      </c>
      <c r="T27" s="137"/>
      <c r="U27" s="17"/>
      <c r="V27" s="17"/>
      <c r="W27" s="17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</row>
    <row r="28">
      <c r="A28" s="161"/>
      <c r="B28" s="161"/>
      <c r="C28" s="164" t="s">
        <v>122</v>
      </c>
      <c r="D28" s="165" t="str">
        <f t="shared" ref="D28:F28" si="9">AVERAGE(D21:D27)</f>
        <v>#DIV/0!</v>
      </c>
      <c r="E28" s="165" t="str">
        <f t="shared" si="9"/>
        <v>#DIV/0!</v>
      </c>
      <c r="F28" s="165" t="str">
        <f t="shared" si="9"/>
        <v>#DIV/0!</v>
      </c>
      <c r="G28" s="133"/>
      <c r="H28" s="133"/>
      <c r="I28" s="133"/>
      <c r="J28" s="133"/>
      <c r="K28" s="133"/>
      <c r="L28" s="149">
        <v>8.0</v>
      </c>
      <c r="M28" s="156">
        <f t="shared" si="2"/>
        <v>45535</v>
      </c>
      <c r="N28" s="159" t="str">
        <f>AVERAGE(D137:D143)</f>
        <v>#DIV/0!</v>
      </c>
      <c r="O28" s="160" t="str">
        <f t="shared" ref="O28:S28" si="10">C148</f>
        <v/>
      </c>
      <c r="P28" s="160" t="str">
        <f t="shared" si="10"/>
        <v/>
      </c>
      <c r="Q28" s="160" t="str">
        <f t="shared" si="10"/>
        <v/>
      </c>
      <c r="R28" s="160" t="str">
        <f t="shared" si="10"/>
        <v/>
      </c>
      <c r="S28" s="160" t="str">
        <f t="shared" si="10"/>
        <v/>
      </c>
      <c r="T28" s="137"/>
      <c r="U28" s="17"/>
      <c r="V28" s="17"/>
      <c r="W28" s="17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</row>
    <row r="29">
      <c r="A29" s="161"/>
      <c r="B29" s="161"/>
      <c r="C29" s="134"/>
      <c r="D29" s="134"/>
      <c r="E29" s="134"/>
      <c r="F29" s="134"/>
      <c r="G29" s="133"/>
      <c r="H29" s="133"/>
      <c r="I29" s="133"/>
      <c r="J29" s="133"/>
      <c r="K29" s="133"/>
      <c r="L29" s="149">
        <v>9.0</v>
      </c>
      <c r="M29" s="156">
        <f t="shared" si="2"/>
        <v>45542</v>
      </c>
      <c r="N29" s="153" t="str">
        <f>AVERAGE(D153:D159)</f>
        <v>#DIV/0!</v>
      </c>
      <c r="O29" s="162" t="str">
        <f t="shared" ref="O29:S29" si="11">C164</f>
        <v/>
      </c>
      <c r="P29" s="162" t="str">
        <f t="shared" si="11"/>
        <v/>
      </c>
      <c r="Q29" s="162" t="str">
        <f t="shared" si="11"/>
        <v/>
      </c>
      <c r="R29" s="162" t="str">
        <f t="shared" si="11"/>
        <v/>
      </c>
      <c r="S29" s="162" t="str">
        <f t="shared" si="11"/>
        <v/>
      </c>
      <c r="T29" s="137"/>
      <c r="U29" s="17"/>
      <c r="V29" s="17"/>
      <c r="W29" s="17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</row>
    <row r="30">
      <c r="A30" s="166"/>
      <c r="B30" s="166"/>
      <c r="C30" s="148" t="s">
        <v>123</v>
      </c>
      <c r="D30" s="38"/>
      <c r="E30" s="38"/>
      <c r="F30" s="38"/>
      <c r="G30" s="24"/>
      <c r="H30" s="167"/>
      <c r="I30" s="167"/>
      <c r="J30" s="167"/>
      <c r="K30" s="167"/>
      <c r="L30" s="149">
        <v>10.0</v>
      </c>
      <c r="M30" s="156">
        <f t="shared" si="2"/>
        <v>45549</v>
      </c>
      <c r="N30" s="159" t="str">
        <f>AVERAGE(D169:D175)</f>
        <v>#DIV/0!</v>
      </c>
      <c r="O30" s="160" t="str">
        <f>C164</f>
        <v/>
      </c>
      <c r="P30" s="160" t="str">
        <f t="shared" ref="P30:S30" si="12">D180</f>
        <v/>
      </c>
      <c r="Q30" s="160" t="str">
        <f t="shared" si="12"/>
        <v/>
      </c>
      <c r="R30" s="160" t="str">
        <f t="shared" si="12"/>
        <v/>
      </c>
      <c r="S30" s="160" t="str">
        <f t="shared" si="12"/>
        <v/>
      </c>
      <c r="T30" s="13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</row>
    <row r="31">
      <c r="A31" s="76"/>
      <c r="B31" s="76"/>
      <c r="C31" s="152" t="s">
        <v>107</v>
      </c>
      <c r="D31" s="152" t="s">
        <v>124</v>
      </c>
      <c r="E31" s="152" t="s">
        <v>109</v>
      </c>
      <c r="F31" s="152" t="s">
        <v>110</v>
      </c>
      <c r="G31" s="152" t="s">
        <v>111</v>
      </c>
      <c r="H31" s="167"/>
      <c r="I31" s="167"/>
      <c r="J31" s="167"/>
      <c r="K31" s="167"/>
      <c r="L31" s="149">
        <v>11.0</v>
      </c>
      <c r="M31" s="156">
        <f t="shared" si="2"/>
        <v>45556</v>
      </c>
      <c r="N31" s="153" t="str">
        <f>AVERAGE(D185:D191)</f>
        <v>#DIV/0!</v>
      </c>
      <c r="O31" s="162" t="str">
        <f t="shared" ref="O31:S31" si="13">C196</f>
        <v/>
      </c>
      <c r="P31" s="162" t="str">
        <f t="shared" si="13"/>
        <v/>
      </c>
      <c r="Q31" s="162" t="str">
        <f t="shared" si="13"/>
        <v/>
      </c>
      <c r="R31" s="162" t="str">
        <f t="shared" si="13"/>
        <v/>
      </c>
      <c r="S31" s="162" t="str">
        <f t="shared" si="13"/>
        <v/>
      </c>
      <c r="T31" s="13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</row>
    <row r="32">
      <c r="A32" s="147"/>
      <c r="B32" s="147"/>
      <c r="C32" s="168"/>
      <c r="D32" s="168"/>
      <c r="E32" s="168"/>
      <c r="F32" s="168"/>
      <c r="G32" s="168"/>
      <c r="H32" s="167"/>
      <c r="I32" s="167"/>
      <c r="J32" s="167"/>
      <c r="K32" s="167"/>
      <c r="L32" s="149">
        <v>12.0</v>
      </c>
      <c r="M32" s="156">
        <f t="shared" si="2"/>
        <v>45563</v>
      </c>
      <c r="N32" s="159" t="str">
        <f>AVERAGE(D201:D207)</f>
        <v>#DIV/0!</v>
      </c>
      <c r="O32" s="160" t="str">
        <f t="shared" ref="O32:S32" si="14">C212</f>
        <v/>
      </c>
      <c r="P32" s="160" t="str">
        <f t="shared" si="14"/>
        <v/>
      </c>
      <c r="Q32" s="160" t="str">
        <f t="shared" si="14"/>
        <v/>
      </c>
      <c r="R32" s="160" t="str">
        <f t="shared" si="14"/>
        <v/>
      </c>
      <c r="S32" s="160" t="str">
        <f t="shared" si="14"/>
        <v/>
      </c>
      <c r="T32" s="13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</row>
    <row r="33">
      <c r="A33" s="154"/>
      <c r="B33" s="154"/>
      <c r="C33" s="133"/>
      <c r="D33" s="133"/>
      <c r="E33" s="133"/>
      <c r="F33" s="133"/>
      <c r="G33" s="167"/>
      <c r="H33" s="167"/>
      <c r="I33" s="167"/>
      <c r="J33" s="167"/>
      <c r="K33" s="167"/>
      <c r="L33" s="133"/>
      <c r="M33" s="133"/>
      <c r="N33" s="133"/>
      <c r="O33" s="133"/>
      <c r="P33" s="133"/>
      <c r="Q33" s="133"/>
      <c r="R33" s="133"/>
      <c r="S33" s="133"/>
      <c r="T33" s="13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</row>
    <row r="34">
      <c r="A34" s="133"/>
      <c r="B34" s="133"/>
      <c r="C34" s="17"/>
      <c r="D34" s="17"/>
      <c r="E34" s="17"/>
      <c r="F34" s="17"/>
      <c r="G34" s="167"/>
      <c r="H34" s="167"/>
      <c r="I34" s="167"/>
      <c r="J34" s="167"/>
      <c r="K34" s="167"/>
      <c r="L34" s="17"/>
      <c r="M34" s="133"/>
      <c r="N34" s="75" t="s">
        <v>125</v>
      </c>
      <c r="O34" s="133"/>
      <c r="P34" s="133"/>
      <c r="Q34" s="133"/>
      <c r="R34" s="133"/>
      <c r="S34" s="133"/>
      <c r="T34" s="137"/>
      <c r="U34" s="169" t="s">
        <v>126</v>
      </c>
      <c r="V34" s="24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</row>
    <row r="35">
      <c r="A35" s="133"/>
      <c r="B35" s="133"/>
      <c r="C35" s="17"/>
      <c r="D35" s="17"/>
      <c r="E35" s="17"/>
      <c r="F35" s="17"/>
      <c r="G35" s="167"/>
      <c r="H35" s="167"/>
      <c r="I35" s="167"/>
      <c r="J35" s="167"/>
      <c r="K35" s="167"/>
      <c r="L35" s="133"/>
      <c r="M35" s="133"/>
      <c r="N35" s="133"/>
      <c r="O35" s="133"/>
      <c r="P35" s="133"/>
      <c r="Q35" s="133"/>
      <c r="R35" s="133"/>
      <c r="S35" s="133"/>
      <c r="T35" s="137"/>
      <c r="U35" s="170" t="s">
        <v>127</v>
      </c>
      <c r="V35" s="171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</row>
    <row r="36" ht="31.5" customHeight="1">
      <c r="A36" s="133"/>
      <c r="B36" s="133"/>
      <c r="C36" s="134"/>
      <c r="D36" s="172" t="s">
        <v>1</v>
      </c>
      <c r="E36" s="24"/>
      <c r="F36" s="134"/>
      <c r="G36" s="133"/>
      <c r="H36" s="133"/>
      <c r="I36" s="133"/>
      <c r="J36" s="133"/>
      <c r="K36" s="167"/>
      <c r="L36" s="133"/>
      <c r="M36" s="133"/>
      <c r="N36" s="133"/>
      <c r="O36" s="133"/>
      <c r="P36" s="133"/>
      <c r="Q36" s="133"/>
      <c r="R36" s="133"/>
      <c r="S36" s="133"/>
      <c r="T36" s="137"/>
      <c r="U36" s="170" t="s">
        <v>128</v>
      </c>
      <c r="V36" s="173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</row>
    <row r="37">
      <c r="A37" s="161"/>
      <c r="B37" s="161"/>
      <c r="C37" s="145" t="s">
        <v>112</v>
      </c>
      <c r="D37" s="145" t="s">
        <v>113</v>
      </c>
      <c r="E37" s="145" t="s">
        <v>114</v>
      </c>
      <c r="F37" s="145" t="s">
        <v>115</v>
      </c>
      <c r="G37" s="133"/>
      <c r="H37" s="147"/>
      <c r="I37" s="148" t="s">
        <v>116</v>
      </c>
      <c r="J37" s="24"/>
      <c r="K37" s="167"/>
      <c r="L37" s="133"/>
      <c r="M37" s="133"/>
      <c r="N37" s="133"/>
      <c r="O37" s="133"/>
      <c r="P37" s="133"/>
      <c r="Q37" s="133"/>
      <c r="R37" s="133"/>
      <c r="S37" s="133"/>
      <c r="T37" s="13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</row>
    <row r="38">
      <c r="A38" s="36"/>
      <c r="B38" s="36"/>
      <c r="C38" s="152">
        <v>45710.0</v>
      </c>
      <c r="D38" s="153"/>
      <c r="E38" s="153"/>
      <c r="F38" s="153"/>
      <c r="G38" s="133"/>
      <c r="H38" s="154"/>
      <c r="I38" s="152" t="s">
        <v>118</v>
      </c>
      <c r="J38" s="155">
        <v>1910.0</v>
      </c>
      <c r="K38" s="167"/>
      <c r="L38" s="133"/>
      <c r="M38" s="133"/>
      <c r="N38" s="133"/>
      <c r="O38" s="133"/>
      <c r="P38" s="133"/>
      <c r="Q38" s="133"/>
      <c r="R38" s="133"/>
      <c r="S38" s="133"/>
      <c r="T38" s="13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</row>
    <row r="39">
      <c r="A39" s="167"/>
      <c r="B39" s="167"/>
      <c r="C39" s="152">
        <v>45711.0</v>
      </c>
      <c r="D39" s="153"/>
      <c r="E39" s="153"/>
      <c r="F39" s="153"/>
      <c r="G39" s="133"/>
      <c r="H39" s="154"/>
      <c r="I39" s="152" t="s">
        <v>119</v>
      </c>
      <c r="J39" s="155">
        <v>170.0</v>
      </c>
      <c r="K39" s="167"/>
      <c r="L39" s="133"/>
      <c r="M39" s="133"/>
      <c r="N39" s="133"/>
      <c r="O39" s="133"/>
      <c r="P39" s="133"/>
      <c r="Q39" s="133"/>
      <c r="R39" s="133"/>
      <c r="S39" s="133"/>
      <c r="T39" s="13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</row>
    <row r="40">
      <c r="A40" s="167"/>
      <c r="B40" s="167"/>
      <c r="C40" s="152">
        <v>45712.0</v>
      </c>
      <c r="D40" s="153"/>
      <c r="E40" s="153"/>
      <c r="F40" s="153"/>
      <c r="G40" s="133"/>
      <c r="H40" s="154"/>
      <c r="I40" s="152" t="s">
        <v>120</v>
      </c>
      <c r="J40" s="155">
        <v>195.0</v>
      </c>
      <c r="K40" s="167"/>
      <c r="L40" s="133"/>
      <c r="M40" s="133"/>
      <c r="N40" s="133"/>
      <c r="O40" s="133"/>
      <c r="P40" s="133"/>
      <c r="Q40" s="133"/>
      <c r="R40" s="133"/>
      <c r="S40" s="133"/>
      <c r="T40" s="13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</row>
    <row r="41">
      <c r="A41" s="167"/>
      <c r="B41" s="167"/>
      <c r="C41" s="152">
        <v>45713.0</v>
      </c>
      <c r="D41" s="153"/>
      <c r="E41" s="153"/>
      <c r="F41" s="153"/>
      <c r="G41" s="133"/>
      <c r="H41" s="154"/>
      <c r="I41" s="152" t="s">
        <v>121</v>
      </c>
      <c r="J41" s="155">
        <v>50.0</v>
      </c>
      <c r="K41" s="167"/>
      <c r="L41" s="133"/>
      <c r="M41" s="133"/>
      <c r="N41" s="133"/>
      <c r="O41" s="133"/>
      <c r="P41" s="133"/>
      <c r="Q41" s="133"/>
      <c r="R41" s="133"/>
      <c r="S41" s="133"/>
      <c r="T41" s="13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</row>
    <row r="42">
      <c r="A42" s="167"/>
      <c r="B42" s="167"/>
      <c r="C42" s="152">
        <v>45714.0</v>
      </c>
      <c r="D42" s="153"/>
      <c r="E42" s="153"/>
      <c r="F42" s="153"/>
      <c r="G42" s="133"/>
      <c r="H42" s="133"/>
      <c r="I42" s="133"/>
      <c r="J42" s="133"/>
      <c r="K42" s="167"/>
      <c r="L42" s="133"/>
      <c r="M42" s="133"/>
      <c r="N42" s="133"/>
      <c r="O42" s="133"/>
      <c r="P42" s="133"/>
      <c r="Q42" s="133"/>
      <c r="R42" s="133"/>
      <c r="S42" s="133"/>
      <c r="T42" s="13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</row>
    <row r="43">
      <c r="A43" s="129"/>
      <c r="B43" s="129"/>
      <c r="C43" s="152">
        <v>45715.0</v>
      </c>
      <c r="D43" s="163"/>
      <c r="E43" s="153"/>
      <c r="F43" s="153"/>
      <c r="G43" s="133"/>
      <c r="H43" s="133"/>
      <c r="I43" s="133"/>
      <c r="J43" s="133"/>
      <c r="K43" s="129"/>
      <c r="L43" s="133"/>
      <c r="M43" s="133"/>
      <c r="N43" s="133"/>
      <c r="O43" s="133"/>
      <c r="P43" s="133"/>
      <c r="Q43" s="133"/>
      <c r="R43" s="133"/>
      <c r="S43" s="133"/>
      <c r="T43" s="137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</row>
    <row r="44">
      <c r="A44" s="129"/>
      <c r="B44" s="129"/>
      <c r="C44" s="152">
        <v>45716.0</v>
      </c>
      <c r="D44" s="163"/>
      <c r="E44" s="153"/>
      <c r="F44" s="163"/>
      <c r="G44" s="133"/>
      <c r="H44" s="133"/>
      <c r="I44" s="133"/>
      <c r="J44" s="133"/>
      <c r="K44" s="129"/>
      <c r="L44" s="133"/>
      <c r="M44" s="133"/>
      <c r="N44" s="133"/>
      <c r="O44" s="133"/>
      <c r="P44" s="133"/>
      <c r="Q44" s="133"/>
      <c r="R44" s="133"/>
      <c r="S44" s="133"/>
      <c r="T44" s="137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</row>
    <row r="45">
      <c r="A45" s="129"/>
      <c r="B45" s="129"/>
      <c r="C45" s="164" t="s">
        <v>122</v>
      </c>
      <c r="D45" s="165" t="str">
        <f t="shared" ref="D45:F45" si="15">AVERAGE(D38:D44)</f>
        <v>#DIV/0!</v>
      </c>
      <c r="E45" s="165" t="str">
        <f t="shared" si="15"/>
        <v>#DIV/0!</v>
      </c>
      <c r="F45" s="165" t="str">
        <f t="shared" si="15"/>
        <v>#DIV/0!</v>
      </c>
      <c r="G45" s="133"/>
      <c r="H45" s="133"/>
      <c r="I45" s="133"/>
      <c r="J45" s="133"/>
      <c r="K45" s="129"/>
      <c r="L45" s="133"/>
      <c r="M45" s="133"/>
      <c r="N45" s="133"/>
      <c r="O45" s="133"/>
      <c r="P45" s="133"/>
      <c r="Q45" s="133"/>
      <c r="R45" s="133"/>
      <c r="S45" s="133"/>
      <c r="T45" s="137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</row>
    <row r="46">
      <c r="A46" s="129"/>
      <c r="B46" s="129"/>
      <c r="C46" s="134"/>
      <c r="D46" s="134"/>
      <c r="E46" s="134"/>
      <c r="F46" s="134"/>
      <c r="G46" s="133"/>
      <c r="H46" s="133"/>
      <c r="I46" s="133"/>
      <c r="J46" s="133"/>
      <c r="K46" s="129"/>
      <c r="L46" s="133"/>
      <c r="M46" s="133"/>
      <c r="N46" s="133"/>
      <c r="O46" s="133"/>
      <c r="P46" s="133"/>
      <c r="Q46" s="133"/>
      <c r="R46" s="133"/>
      <c r="S46" s="133"/>
      <c r="T46" s="137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</row>
    <row r="47">
      <c r="A47" s="129"/>
      <c r="B47" s="129"/>
      <c r="C47" s="148" t="s">
        <v>123</v>
      </c>
      <c r="D47" s="38"/>
      <c r="E47" s="38"/>
      <c r="F47" s="38"/>
      <c r="G47" s="24"/>
      <c r="H47" s="167"/>
      <c r="I47" s="167"/>
      <c r="J47" s="167"/>
      <c r="K47" s="129"/>
      <c r="L47" s="133"/>
      <c r="M47" s="133"/>
      <c r="N47" s="133"/>
      <c r="O47" s="133"/>
      <c r="P47" s="133"/>
      <c r="Q47" s="133"/>
      <c r="R47" s="133"/>
      <c r="S47" s="133"/>
      <c r="T47" s="137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</row>
    <row r="48">
      <c r="A48" s="129"/>
      <c r="B48" s="129"/>
      <c r="C48" s="152" t="s">
        <v>107</v>
      </c>
      <c r="D48" s="152" t="s">
        <v>124</v>
      </c>
      <c r="E48" s="152" t="s">
        <v>109</v>
      </c>
      <c r="F48" s="152" t="s">
        <v>110</v>
      </c>
      <c r="G48" s="152" t="s">
        <v>111</v>
      </c>
      <c r="H48" s="167"/>
      <c r="I48" s="167"/>
      <c r="J48" s="167"/>
      <c r="K48" s="129"/>
      <c r="L48" s="137"/>
      <c r="M48" s="137"/>
      <c r="N48" s="137"/>
      <c r="O48" s="137"/>
      <c r="P48" s="137"/>
      <c r="Q48" s="137"/>
      <c r="R48" s="137"/>
      <c r="S48" s="137"/>
      <c r="T48" s="137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</row>
    <row r="49">
      <c r="A49" s="129"/>
      <c r="B49" s="129"/>
      <c r="C49" s="168"/>
      <c r="D49" s="168"/>
      <c r="E49" s="168"/>
      <c r="F49" s="168"/>
      <c r="G49" s="168"/>
      <c r="H49" s="167"/>
      <c r="I49" s="167"/>
      <c r="J49" s="167"/>
      <c r="K49" s="129"/>
      <c r="L49" s="137"/>
      <c r="M49" s="137"/>
      <c r="N49" s="137"/>
      <c r="O49" s="137"/>
      <c r="P49" s="137"/>
      <c r="Q49" s="137"/>
      <c r="R49" s="137"/>
      <c r="S49" s="137"/>
      <c r="T49" s="137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</row>
    <row r="50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7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</row>
    <row r="5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7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</row>
    <row r="52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7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</row>
    <row r="53" ht="30.0" customHeight="1">
      <c r="A53" s="129"/>
      <c r="B53" s="129"/>
      <c r="C53" s="134"/>
      <c r="D53" s="172" t="s">
        <v>2</v>
      </c>
      <c r="E53" s="24"/>
      <c r="F53" s="134"/>
      <c r="G53" s="133"/>
      <c r="H53" s="133"/>
      <c r="I53" s="133"/>
      <c r="J53" s="133"/>
      <c r="K53" s="129"/>
      <c r="L53" s="17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</row>
    <row r="54">
      <c r="A54" s="129"/>
      <c r="B54" s="129"/>
      <c r="C54" s="145" t="s">
        <v>112</v>
      </c>
      <c r="D54" s="145" t="s">
        <v>113</v>
      </c>
      <c r="E54" s="145" t="s">
        <v>114</v>
      </c>
      <c r="F54" s="145" t="s">
        <v>115</v>
      </c>
      <c r="G54" s="133"/>
      <c r="H54" s="147"/>
      <c r="I54" s="148" t="s">
        <v>116</v>
      </c>
      <c r="J54" s="24"/>
      <c r="K54" s="129"/>
      <c r="L54" s="17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</row>
    <row r="55">
      <c r="A55" s="129"/>
      <c r="B55" s="129"/>
      <c r="C55" s="152">
        <v>45717.0</v>
      </c>
      <c r="D55" s="153"/>
      <c r="E55" s="153"/>
      <c r="F55" s="153"/>
      <c r="G55" s="133"/>
      <c r="H55" s="154"/>
      <c r="I55" s="152" t="s">
        <v>118</v>
      </c>
      <c r="J55" s="155">
        <v>1910.0</v>
      </c>
      <c r="K55" s="129"/>
      <c r="L55" s="17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</row>
    <row r="56">
      <c r="A56" s="129"/>
      <c r="B56" s="129"/>
      <c r="C56" s="152">
        <v>45718.0</v>
      </c>
      <c r="D56" s="153"/>
      <c r="E56" s="153"/>
      <c r="F56" s="153"/>
      <c r="G56" s="133"/>
      <c r="H56" s="154"/>
      <c r="I56" s="152" t="s">
        <v>119</v>
      </c>
      <c r="J56" s="155">
        <v>170.0</v>
      </c>
      <c r="K56" s="129"/>
      <c r="L56" s="17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</row>
    <row r="57">
      <c r="A57" s="129"/>
      <c r="B57" s="129"/>
      <c r="C57" s="152">
        <v>45719.0</v>
      </c>
      <c r="D57" s="153"/>
      <c r="E57" s="153"/>
      <c r="F57" s="153"/>
      <c r="G57" s="133"/>
      <c r="H57" s="154"/>
      <c r="I57" s="152" t="s">
        <v>120</v>
      </c>
      <c r="J57" s="155">
        <v>195.0</v>
      </c>
      <c r="K57" s="129"/>
      <c r="L57" s="17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</row>
    <row r="58">
      <c r="A58" s="129"/>
      <c r="B58" s="129"/>
      <c r="C58" s="152">
        <v>45720.0</v>
      </c>
      <c r="D58" s="153"/>
      <c r="E58" s="153"/>
      <c r="F58" s="153"/>
      <c r="G58" s="133"/>
      <c r="H58" s="154"/>
      <c r="I58" s="152" t="s">
        <v>121</v>
      </c>
      <c r="J58" s="155">
        <v>50.0</v>
      </c>
      <c r="K58" s="129"/>
      <c r="L58" s="17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</row>
    <row r="59">
      <c r="A59" s="129"/>
      <c r="B59" s="129"/>
      <c r="C59" s="152">
        <v>45721.0</v>
      </c>
      <c r="D59" s="153"/>
      <c r="E59" s="153"/>
      <c r="F59" s="153"/>
      <c r="G59" s="133"/>
      <c r="H59" s="133"/>
      <c r="I59" s="133"/>
      <c r="J59" s="133"/>
      <c r="K59" s="129"/>
      <c r="L59" s="17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</row>
    <row r="60">
      <c r="A60" s="129"/>
      <c r="B60" s="129"/>
      <c r="C60" s="152">
        <v>45722.0</v>
      </c>
      <c r="D60" s="163"/>
      <c r="E60" s="153"/>
      <c r="F60" s="153"/>
      <c r="G60" s="133"/>
      <c r="H60" s="133"/>
      <c r="I60" s="133"/>
      <c r="J60" s="133"/>
      <c r="K60" s="129"/>
      <c r="L60" s="17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</row>
    <row r="61">
      <c r="A61" s="129"/>
      <c r="B61" s="129"/>
      <c r="C61" s="152">
        <v>45723.0</v>
      </c>
      <c r="D61" s="163"/>
      <c r="E61" s="153"/>
      <c r="F61" s="163"/>
      <c r="G61" s="133"/>
      <c r="H61" s="133"/>
      <c r="I61" s="133"/>
      <c r="J61" s="133"/>
      <c r="K61" s="129"/>
      <c r="L61" s="17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</row>
    <row r="62">
      <c r="A62" s="129"/>
      <c r="B62" s="129"/>
      <c r="C62" s="164" t="s">
        <v>122</v>
      </c>
      <c r="D62" s="165" t="str">
        <f t="shared" ref="D62:F62" si="16">AVERAGE(D55:D61)</f>
        <v>#DIV/0!</v>
      </c>
      <c r="E62" s="165" t="str">
        <f t="shared" si="16"/>
        <v>#DIV/0!</v>
      </c>
      <c r="F62" s="165" t="str">
        <f t="shared" si="16"/>
        <v>#DIV/0!</v>
      </c>
      <c r="G62" s="133"/>
      <c r="H62" s="133"/>
      <c r="I62" s="133"/>
      <c r="J62" s="133"/>
      <c r="K62" s="129"/>
      <c r="L62" s="17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</row>
    <row r="63">
      <c r="A63" s="129"/>
      <c r="B63" s="129"/>
      <c r="C63" s="134"/>
      <c r="D63" s="134"/>
      <c r="E63" s="134"/>
      <c r="F63" s="134"/>
      <c r="G63" s="133"/>
      <c r="H63" s="133"/>
      <c r="I63" s="133"/>
      <c r="J63" s="133"/>
      <c r="K63" s="129"/>
      <c r="L63" s="17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</row>
    <row r="64">
      <c r="A64" s="129"/>
      <c r="B64" s="129"/>
      <c r="C64" s="148" t="s">
        <v>123</v>
      </c>
      <c r="D64" s="38"/>
      <c r="E64" s="38"/>
      <c r="F64" s="38"/>
      <c r="G64" s="24"/>
      <c r="H64" s="167"/>
      <c r="I64" s="167"/>
      <c r="J64" s="167"/>
      <c r="K64" s="129"/>
      <c r="L64" s="17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</row>
    <row r="65">
      <c r="A65" s="129"/>
      <c r="B65" s="129"/>
      <c r="C65" s="152" t="s">
        <v>107</v>
      </c>
      <c r="D65" s="152" t="s">
        <v>124</v>
      </c>
      <c r="E65" s="152" t="s">
        <v>109</v>
      </c>
      <c r="F65" s="152" t="s">
        <v>110</v>
      </c>
      <c r="G65" s="152" t="s">
        <v>111</v>
      </c>
      <c r="H65" s="167"/>
      <c r="I65" s="167"/>
      <c r="J65" s="167"/>
      <c r="K65" s="129"/>
      <c r="L65" s="17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</row>
    <row r="66">
      <c r="A66" s="129"/>
      <c r="B66" s="129"/>
      <c r="C66" s="168"/>
      <c r="D66" s="168"/>
      <c r="E66" s="168"/>
      <c r="F66" s="168"/>
      <c r="G66" s="168"/>
      <c r="H66" s="167"/>
      <c r="I66" s="167"/>
      <c r="J66" s="167"/>
      <c r="K66" s="129"/>
      <c r="L66" s="17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</row>
    <row r="67" ht="21.0" customHeight="1">
      <c r="A67" s="129"/>
      <c r="B67" s="129"/>
      <c r="C67" s="129"/>
      <c r="D67" s="129"/>
      <c r="E67" s="129"/>
      <c r="F67" s="129"/>
      <c r="G67" s="129"/>
      <c r="H67" s="167"/>
      <c r="I67" s="167"/>
      <c r="J67" s="167"/>
      <c r="K67" s="129"/>
      <c r="L67" s="17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</row>
    <row r="68" ht="31.5" customHeight="1">
      <c r="A68" s="129"/>
      <c r="B68" s="129"/>
      <c r="C68" s="129"/>
      <c r="D68" s="129"/>
      <c r="E68" s="129"/>
      <c r="F68" s="129"/>
      <c r="G68" s="129"/>
      <c r="H68" s="167"/>
      <c r="I68" s="167"/>
      <c r="J68" s="167"/>
      <c r="K68" s="129"/>
      <c r="L68" s="17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</row>
    <row r="69" ht="30.0" customHeight="1">
      <c r="A69" s="129"/>
      <c r="B69" s="129"/>
      <c r="C69" s="134"/>
      <c r="D69" s="172" t="s">
        <v>3</v>
      </c>
      <c r="E69" s="24"/>
      <c r="F69" s="134"/>
      <c r="G69" s="133"/>
      <c r="H69" s="133"/>
      <c r="I69" s="133"/>
      <c r="J69" s="133"/>
      <c r="K69" s="129"/>
      <c r="L69" s="17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</row>
    <row r="70">
      <c r="A70" s="129"/>
      <c r="B70" s="129"/>
      <c r="C70" s="145" t="s">
        <v>112</v>
      </c>
      <c r="D70" s="145" t="s">
        <v>113</v>
      </c>
      <c r="E70" s="145" t="s">
        <v>114</v>
      </c>
      <c r="F70" s="145" t="s">
        <v>115</v>
      </c>
      <c r="G70" s="133"/>
      <c r="H70" s="147"/>
      <c r="I70" s="148" t="s">
        <v>116</v>
      </c>
      <c r="J70" s="24"/>
      <c r="K70" s="129"/>
      <c r="L70" s="17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</row>
    <row r="71">
      <c r="A71" s="129"/>
      <c r="B71" s="129"/>
      <c r="C71" s="152">
        <v>45724.0</v>
      </c>
      <c r="D71" s="153"/>
      <c r="E71" s="153"/>
      <c r="F71" s="153"/>
      <c r="G71" s="133"/>
      <c r="H71" s="154"/>
      <c r="I71" s="152" t="s">
        <v>118</v>
      </c>
      <c r="J71" s="155">
        <v>1910.0</v>
      </c>
      <c r="K71" s="129"/>
      <c r="L71" s="17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</row>
    <row r="72">
      <c r="A72" s="129"/>
      <c r="B72" s="129"/>
      <c r="C72" s="152">
        <v>45725.0</v>
      </c>
      <c r="D72" s="153"/>
      <c r="E72" s="153"/>
      <c r="F72" s="153"/>
      <c r="G72" s="133"/>
      <c r="H72" s="154"/>
      <c r="I72" s="152" t="s">
        <v>119</v>
      </c>
      <c r="J72" s="155">
        <v>170.0</v>
      </c>
      <c r="K72" s="129"/>
      <c r="L72" s="17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</row>
    <row r="73">
      <c r="A73" s="129"/>
      <c r="B73" s="129"/>
      <c r="C73" s="152">
        <v>45726.0</v>
      </c>
      <c r="D73" s="153"/>
      <c r="E73" s="153"/>
      <c r="F73" s="153"/>
      <c r="G73" s="133"/>
      <c r="H73" s="154"/>
      <c r="I73" s="152" t="s">
        <v>120</v>
      </c>
      <c r="J73" s="155">
        <v>195.0</v>
      </c>
      <c r="K73" s="129"/>
      <c r="L73" s="17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</row>
    <row r="74">
      <c r="A74" s="129"/>
      <c r="B74" s="129"/>
      <c r="C74" s="152">
        <v>45727.0</v>
      </c>
      <c r="D74" s="153"/>
      <c r="E74" s="153"/>
      <c r="F74" s="153"/>
      <c r="G74" s="133"/>
      <c r="H74" s="154"/>
      <c r="I74" s="152" t="s">
        <v>121</v>
      </c>
      <c r="J74" s="155">
        <v>50.0</v>
      </c>
      <c r="K74" s="129"/>
      <c r="L74" s="17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</row>
    <row r="75">
      <c r="A75" s="129"/>
      <c r="B75" s="129"/>
      <c r="C75" s="152">
        <v>45728.0</v>
      </c>
      <c r="D75" s="153"/>
      <c r="E75" s="153"/>
      <c r="F75" s="153"/>
      <c r="G75" s="133"/>
      <c r="H75" s="133"/>
      <c r="I75" s="133"/>
      <c r="J75" s="133"/>
      <c r="K75" s="129"/>
      <c r="L75" s="17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</row>
    <row r="76">
      <c r="A76" s="129"/>
      <c r="B76" s="129"/>
      <c r="C76" s="152">
        <v>45729.0</v>
      </c>
      <c r="D76" s="163"/>
      <c r="E76" s="153"/>
      <c r="F76" s="153"/>
      <c r="G76" s="133"/>
      <c r="H76" s="133"/>
      <c r="I76" s="133"/>
      <c r="J76" s="133"/>
      <c r="K76" s="129"/>
      <c r="L76" s="17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</row>
    <row r="77">
      <c r="A77" s="129"/>
      <c r="B77" s="129"/>
      <c r="C77" s="152">
        <v>45730.0</v>
      </c>
      <c r="D77" s="163"/>
      <c r="E77" s="153"/>
      <c r="F77" s="163"/>
      <c r="G77" s="133"/>
      <c r="H77" s="133"/>
      <c r="I77" s="133"/>
      <c r="J77" s="133"/>
      <c r="K77" s="129"/>
      <c r="L77" s="17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</row>
    <row r="78">
      <c r="A78" s="129"/>
      <c r="B78" s="129"/>
      <c r="C78" s="164" t="s">
        <v>122</v>
      </c>
      <c r="D78" s="165" t="str">
        <f t="shared" ref="D78:F78" si="17">AVERAGE(D71:D77)</f>
        <v>#DIV/0!</v>
      </c>
      <c r="E78" s="165" t="str">
        <f t="shared" si="17"/>
        <v>#DIV/0!</v>
      </c>
      <c r="F78" s="165" t="str">
        <f t="shared" si="17"/>
        <v>#DIV/0!</v>
      </c>
      <c r="G78" s="133"/>
      <c r="H78" s="133"/>
      <c r="I78" s="133"/>
      <c r="J78" s="133"/>
      <c r="K78" s="129"/>
      <c r="L78" s="17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</row>
    <row r="79">
      <c r="A79" s="129"/>
      <c r="B79" s="129"/>
      <c r="C79" s="134"/>
      <c r="D79" s="134"/>
      <c r="E79" s="134"/>
      <c r="F79" s="134"/>
      <c r="G79" s="133"/>
      <c r="H79" s="133"/>
      <c r="I79" s="133"/>
      <c r="J79" s="133"/>
      <c r="K79" s="129"/>
      <c r="L79" s="17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</row>
    <row r="80">
      <c r="A80" s="129"/>
      <c r="B80" s="129"/>
      <c r="C80" s="148" t="s">
        <v>123</v>
      </c>
      <c r="D80" s="38"/>
      <c r="E80" s="38"/>
      <c r="F80" s="38"/>
      <c r="G80" s="24"/>
      <c r="H80" s="167"/>
      <c r="I80" s="167"/>
      <c r="J80" s="167"/>
      <c r="K80" s="129"/>
      <c r="L80" s="17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</row>
    <row r="81">
      <c r="A81" s="129"/>
      <c r="B81" s="129"/>
      <c r="C81" s="152" t="s">
        <v>107</v>
      </c>
      <c r="D81" s="152" t="s">
        <v>124</v>
      </c>
      <c r="E81" s="152" t="s">
        <v>109</v>
      </c>
      <c r="F81" s="152" t="s">
        <v>110</v>
      </c>
      <c r="G81" s="152" t="s">
        <v>111</v>
      </c>
      <c r="H81" s="167"/>
      <c r="I81" s="167"/>
      <c r="J81" s="167"/>
      <c r="K81" s="129"/>
      <c r="L81" s="17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  <c r="AD81" s="129"/>
      <c r="AE81" s="129"/>
      <c r="AF81" s="129"/>
      <c r="AG81" s="129"/>
    </row>
    <row r="82">
      <c r="A82" s="129"/>
      <c r="B82" s="129"/>
      <c r="C82" s="168"/>
      <c r="D82" s="168"/>
      <c r="E82" s="168"/>
      <c r="F82" s="168"/>
      <c r="G82" s="168"/>
      <c r="H82" s="167"/>
      <c r="I82" s="167"/>
      <c r="J82" s="167"/>
      <c r="K82" s="129"/>
      <c r="L82" s="17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</row>
    <row r="83">
      <c r="A83" s="129"/>
      <c r="B83" s="129"/>
      <c r="C83" s="129"/>
      <c r="D83" s="129"/>
      <c r="E83" s="129"/>
      <c r="F83" s="129"/>
      <c r="G83" s="129"/>
      <c r="H83" s="167"/>
      <c r="I83" s="167"/>
      <c r="J83" s="167"/>
      <c r="K83" s="129"/>
      <c r="L83" s="17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</row>
    <row r="84">
      <c r="A84" s="129"/>
      <c r="B84" s="129"/>
      <c r="C84" s="129"/>
      <c r="D84" s="129"/>
      <c r="E84" s="129"/>
      <c r="F84" s="129"/>
      <c r="G84" s="129"/>
      <c r="H84" s="167"/>
      <c r="I84" s="167"/>
      <c r="J84" s="167"/>
      <c r="K84" s="129"/>
      <c r="L84" s="17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</row>
    <row r="85" ht="30.0" customHeight="1">
      <c r="A85" s="129"/>
      <c r="B85" s="129"/>
      <c r="C85" s="134"/>
      <c r="D85" s="172" t="s">
        <v>129</v>
      </c>
      <c r="E85" s="24"/>
      <c r="F85" s="134"/>
      <c r="G85" s="133"/>
      <c r="H85" s="133"/>
      <c r="I85" s="133"/>
      <c r="J85" s="133"/>
      <c r="K85" s="129"/>
      <c r="L85" s="17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</row>
    <row r="86">
      <c r="A86" s="129"/>
      <c r="B86" s="129"/>
      <c r="C86" s="145" t="s">
        <v>112</v>
      </c>
      <c r="D86" s="145" t="s">
        <v>113</v>
      </c>
      <c r="E86" s="145" t="s">
        <v>114</v>
      </c>
      <c r="F86" s="145" t="s">
        <v>115</v>
      </c>
      <c r="G86" s="133"/>
      <c r="H86" s="147"/>
      <c r="I86" s="148" t="s">
        <v>116</v>
      </c>
      <c r="J86" s="24"/>
      <c r="K86" s="129"/>
      <c r="L86" s="17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</row>
    <row r="87">
      <c r="A87" s="129"/>
      <c r="B87" s="129"/>
      <c r="C87" s="152">
        <v>45483.0</v>
      </c>
      <c r="D87" s="153"/>
      <c r="E87" s="153"/>
      <c r="F87" s="153"/>
      <c r="G87" s="133"/>
      <c r="H87" s="154"/>
      <c r="I87" s="152" t="s">
        <v>118</v>
      </c>
      <c r="J87" s="155">
        <v>1910.0</v>
      </c>
      <c r="K87" s="129"/>
      <c r="L87" s="17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</row>
    <row r="88">
      <c r="A88" s="129"/>
      <c r="B88" s="129"/>
      <c r="C88" s="152">
        <v>45484.0</v>
      </c>
      <c r="D88" s="153"/>
      <c r="E88" s="153"/>
      <c r="F88" s="153"/>
      <c r="G88" s="133"/>
      <c r="H88" s="154"/>
      <c r="I88" s="152" t="s">
        <v>119</v>
      </c>
      <c r="J88" s="155">
        <v>170.0</v>
      </c>
      <c r="K88" s="129"/>
      <c r="L88" s="17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</row>
    <row r="89">
      <c r="A89" s="129"/>
      <c r="B89" s="129"/>
      <c r="C89" s="152">
        <v>45485.0</v>
      </c>
      <c r="D89" s="153"/>
      <c r="E89" s="153"/>
      <c r="F89" s="153"/>
      <c r="G89" s="133"/>
      <c r="H89" s="154"/>
      <c r="I89" s="152" t="s">
        <v>120</v>
      </c>
      <c r="J89" s="155">
        <v>195.0</v>
      </c>
      <c r="K89" s="129"/>
      <c r="L89" s="17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</row>
    <row r="90">
      <c r="A90" s="129"/>
      <c r="B90" s="129"/>
      <c r="C90" s="152">
        <v>45486.0</v>
      </c>
      <c r="D90" s="153"/>
      <c r="E90" s="153"/>
      <c r="F90" s="153"/>
      <c r="G90" s="133"/>
      <c r="H90" s="154"/>
      <c r="I90" s="152" t="s">
        <v>121</v>
      </c>
      <c r="J90" s="155">
        <v>50.0</v>
      </c>
      <c r="K90" s="129"/>
      <c r="L90" s="17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</row>
    <row r="91">
      <c r="A91" s="129"/>
      <c r="B91" s="129"/>
      <c r="C91" s="152">
        <v>45487.0</v>
      </c>
      <c r="D91" s="153"/>
      <c r="E91" s="153"/>
      <c r="F91" s="153"/>
      <c r="G91" s="133"/>
      <c r="H91" s="133"/>
      <c r="I91" s="133"/>
      <c r="J91" s="133"/>
      <c r="K91" s="129"/>
      <c r="L91" s="17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</row>
    <row r="92">
      <c r="A92" s="129"/>
      <c r="B92" s="129"/>
      <c r="C92" s="152">
        <v>45488.0</v>
      </c>
      <c r="D92" s="163"/>
      <c r="E92" s="153"/>
      <c r="F92" s="153"/>
      <c r="G92" s="133"/>
      <c r="H92" s="133"/>
      <c r="I92" s="133"/>
      <c r="J92" s="133"/>
      <c r="K92" s="129"/>
      <c r="L92" s="17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</row>
    <row r="93">
      <c r="A93" s="129"/>
      <c r="B93" s="129"/>
      <c r="C93" s="152">
        <v>45489.0</v>
      </c>
      <c r="D93" s="163"/>
      <c r="E93" s="153"/>
      <c r="F93" s="163"/>
      <c r="G93" s="133"/>
      <c r="H93" s="133"/>
      <c r="I93" s="133"/>
      <c r="J93" s="133"/>
      <c r="K93" s="129"/>
      <c r="L93" s="17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</row>
    <row r="94">
      <c r="A94" s="129"/>
      <c r="B94" s="129"/>
      <c r="C94" s="164" t="s">
        <v>122</v>
      </c>
      <c r="D94" s="165" t="str">
        <f t="shared" ref="D94:F94" si="18">AVERAGE(D87:D93)</f>
        <v>#DIV/0!</v>
      </c>
      <c r="E94" s="165" t="str">
        <f t="shared" si="18"/>
        <v>#DIV/0!</v>
      </c>
      <c r="F94" s="165" t="str">
        <f t="shared" si="18"/>
        <v>#DIV/0!</v>
      </c>
      <c r="G94" s="133"/>
      <c r="H94" s="133"/>
      <c r="I94" s="133"/>
      <c r="J94" s="133"/>
      <c r="K94" s="129"/>
      <c r="L94" s="17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</row>
    <row r="95">
      <c r="A95" s="129"/>
      <c r="B95" s="129"/>
      <c r="C95" s="134"/>
      <c r="D95" s="134"/>
      <c r="E95" s="134"/>
      <c r="F95" s="134"/>
      <c r="G95" s="133"/>
      <c r="H95" s="133"/>
      <c r="I95" s="133"/>
      <c r="J95" s="133"/>
      <c r="K95" s="129"/>
      <c r="L95" s="17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</row>
    <row r="96">
      <c r="A96" s="129"/>
      <c r="B96" s="129"/>
      <c r="C96" s="148" t="s">
        <v>123</v>
      </c>
      <c r="D96" s="38"/>
      <c r="E96" s="38"/>
      <c r="F96" s="38"/>
      <c r="G96" s="24"/>
      <c r="H96" s="167"/>
      <c r="I96" s="167"/>
      <c r="J96" s="167"/>
      <c r="K96" s="129"/>
      <c r="L96" s="17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</row>
    <row r="97">
      <c r="A97" s="129"/>
      <c r="B97" s="129"/>
      <c r="C97" s="152" t="s">
        <v>107</v>
      </c>
      <c r="D97" s="152" t="s">
        <v>124</v>
      </c>
      <c r="E97" s="152" t="s">
        <v>109</v>
      </c>
      <c r="F97" s="152" t="s">
        <v>110</v>
      </c>
      <c r="G97" s="152" t="s">
        <v>111</v>
      </c>
      <c r="H97" s="167"/>
      <c r="I97" s="167"/>
      <c r="J97" s="167"/>
      <c r="K97" s="129"/>
      <c r="L97" s="17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</row>
    <row r="98">
      <c r="A98" s="129"/>
      <c r="B98" s="129"/>
      <c r="C98" s="168"/>
      <c r="D98" s="168"/>
      <c r="E98" s="168"/>
      <c r="F98" s="168"/>
      <c r="G98" s="168"/>
      <c r="H98" s="167"/>
      <c r="I98" s="167"/>
      <c r="J98" s="167"/>
      <c r="K98" s="129"/>
      <c r="L98" s="17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</row>
    <row r="99">
      <c r="A99" s="129"/>
      <c r="B99" s="129"/>
      <c r="C99" s="129"/>
      <c r="D99" s="129"/>
      <c r="E99" s="129"/>
      <c r="F99" s="129"/>
      <c r="G99" s="129"/>
      <c r="H99" s="167"/>
      <c r="I99" s="167"/>
      <c r="J99" s="167"/>
      <c r="K99" s="129"/>
      <c r="L99" s="17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</row>
    <row r="100">
      <c r="A100" s="129"/>
      <c r="B100" s="129"/>
      <c r="C100" s="129"/>
      <c r="D100" s="129"/>
      <c r="E100" s="129"/>
      <c r="F100" s="129"/>
      <c r="G100" s="129"/>
      <c r="H100" s="167"/>
      <c r="I100" s="167"/>
      <c r="J100" s="167"/>
      <c r="K100" s="129"/>
      <c r="L100" s="17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</row>
    <row r="101" ht="27.0" customHeight="1">
      <c r="A101" s="129"/>
      <c r="B101" s="129"/>
      <c r="C101" s="134"/>
      <c r="D101" s="172" t="s">
        <v>130</v>
      </c>
      <c r="E101" s="24"/>
      <c r="F101" s="134"/>
      <c r="G101" s="133"/>
      <c r="H101" s="133"/>
      <c r="I101" s="133"/>
      <c r="J101" s="133"/>
      <c r="K101" s="129"/>
      <c r="L101" s="17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</row>
    <row r="102">
      <c r="A102" s="129"/>
      <c r="B102" s="129"/>
      <c r="C102" s="145" t="s">
        <v>112</v>
      </c>
      <c r="D102" s="145" t="s">
        <v>113</v>
      </c>
      <c r="E102" s="145" t="s">
        <v>114</v>
      </c>
      <c r="F102" s="145" t="s">
        <v>115</v>
      </c>
      <c r="G102" s="133"/>
      <c r="H102" s="147"/>
      <c r="I102" s="148" t="s">
        <v>116</v>
      </c>
      <c r="J102" s="24"/>
      <c r="K102" s="129"/>
      <c r="L102" s="17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</row>
    <row r="103">
      <c r="A103" s="129"/>
      <c r="B103" s="129"/>
      <c r="C103" s="152">
        <v>45483.0</v>
      </c>
      <c r="D103" s="153"/>
      <c r="E103" s="153"/>
      <c r="F103" s="153"/>
      <c r="G103" s="133"/>
      <c r="H103" s="154"/>
      <c r="I103" s="152" t="s">
        <v>118</v>
      </c>
      <c r="J103" s="155">
        <v>1910.0</v>
      </c>
      <c r="K103" s="129"/>
      <c r="L103" s="17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29"/>
    </row>
    <row r="104">
      <c r="A104" s="129"/>
      <c r="B104" s="129"/>
      <c r="C104" s="152">
        <v>45484.0</v>
      </c>
      <c r="D104" s="153"/>
      <c r="E104" s="153"/>
      <c r="F104" s="153"/>
      <c r="G104" s="133"/>
      <c r="H104" s="154"/>
      <c r="I104" s="152" t="s">
        <v>119</v>
      </c>
      <c r="J104" s="155">
        <v>170.0</v>
      </c>
      <c r="K104" s="129"/>
      <c r="L104" s="17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</row>
    <row r="105">
      <c r="A105" s="129"/>
      <c r="B105" s="129"/>
      <c r="C105" s="152">
        <v>45485.0</v>
      </c>
      <c r="D105" s="153"/>
      <c r="E105" s="153"/>
      <c r="F105" s="153"/>
      <c r="G105" s="133"/>
      <c r="H105" s="154"/>
      <c r="I105" s="152" t="s">
        <v>120</v>
      </c>
      <c r="J105" s="155">
        <v>195.0</v>
      </c>
      <c r="K105" s="129"/>
      <c r="L105" s="17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</row>
    <row r="106">
      <c r="A106" s="129"/>
      <c r="B106" s="129"/>
      <c r="C106" s="152">
        <v>45486.0</v>
      </c>
      <c r="D106" s="153"/>
      <c r="E106" s="153"/>
      <c r="F106" s="153"/>
      <c r="G106" s="133"/>
      <c r="H106" s="154"/>
      <c r="I106" s="152" t="s">
        <v>121</v>
      </c>
      <c r="J106" s="155">
        <v>50.0</v>
      </c>
      <c r="K106" s="129"/>
      <c r="L106" s="17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</row>
    <row r="107">
      <c r="A107" s="129"/>
      <c r="B107" s="129"/>
      <c r="C107" s="152">
        <v>45487.0</v>
      </c>
      <c r="D107" s="153"/>
      <c r="E107" s="153"/>
      <c r="F107" s="153"/>
      <c r="G107" s="133"/>
      <c r="H107" s="133"/>
      <c r="I107" s="133"/>
      <c r="J107" s="133"/>
      <c r="K107" s="129"/>
      <c r="L107" s="17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29"/>
    </row>
    <row r="108">
      <c r="A108" s="129"/>
      <c r="B108" s="129"/>
      <c r="C108" s="152">
        <v>45488.0</v>
      </c>
      <c r="D108" s="163"/>
      <c r="E108" s="153"/>
      <c r="F108" s="153"/>
      <c r="G108" s="133"/>
      <c r="H108" s="133"/>
      <c r="I108" s="133"/>
      <c r="J108" s="133"/>
      <c r="K108" s="129"/>
      <c r="L108" s="17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  <c r="AG108" s="129"/>
    </row>
    <row r="109">
      <c r="A109" s="129"/>
      <c r="B109" s="129"/>
      <c r="C109" s="152">
        <v>45489.0</v>
      </c>
      <c r="D109" s="163"/>
      <c r="E109" s="153"/>
      <c r="F109" s="163"/>
      <c r="G109" s="133"/>
      <c r="H109" s="133"/>
      <c r="I109" s="133"/>
      <c r="J109" s="133"/>
      <c r="K109" s="129"/>
      <c r="L109" s="17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</row>
    <row r="110">
      <c r="A110" s="129"/>
      <c r="B110" s="129"/>
      <c r="C110" s="164" t="s">
        <v>122</v>
      </c>
      <c r="D110" s="165" t="str">
        <f t="shared" ref="D110:F110" si="19">AVERAGE(D103:D109)</f>
        <v>#DIV/0!</v>
      </c>
      <c r="E110" s="165" t="str">
        <f t="shared" si="19"/>
        <v>#DIV/0!</v>
      </c>
      <c r="F110" s="165" t="str">
        <f t="shared" si="19"/>
        <v>#DIV/0!</v>
      </c>
      <c r="G110" s="133"/>
      <c r="H110" s="133"/>
      <c r="I110" s="133"/>
      <c r="J110" s="133"/>
      <c r="K110" s="129"/>
      <c r="L110" s="17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29"/>
    </row>
    <row r="111">
      <c r="A111" s="129"/>
      <c r="B111" s="129"/>
      <c r="C111" s="134"/>
      <c r="D111" s="134"/>
      <c r="E111" s="134"/>
      <c r="F111" s="134"/>
      <c r="G111" s="133"/>
      <c r="H111" s="133"/>
      <c r="I111" s="133"/>
      <c r="J111" s="133"/>
      <c r="K111" s="129"/>
      <c r="L111" s="17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</row>
    <row r="112">
      <c r="A112" s="129"/>
      <c r="B112" s="129"/>
      <c r="C112" s="148" t="s">
        <v>123</v>
      </c>
      <c r="D112" s="38"/>
      <c r="E112" s="38"/>
      <c r="F112" s="38"/>
      <c r="G112" s="24"/>
      <c r="H112" s="167"/>
      <c r="I112" s="167"/>
      <c r="J112" s="167"/>
      <c r="K112" s="129"/>
      <c r="L112" s="17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129"/>
    </row>
    <row r="113">
      <c r="A113" s="129"/>
      <c r="B113" s="129"/>
      <c r="C113" s="152" t="s">
        <v>107</v>
      </c>
      <c r="D113" s="152" t="s">
        <v>124</v>
      </c>
      <c r="E113" s="152" t="s">
        <v>109</v>
      </c>
      <c r="F113" s="152" t="s">
        <v>110</v>
      </c>
      <c r="G113" s="152" t="s">
        <v>111</v>
      </c>
      <c r="H113" s="167"/>
      <c r="I113" s="167"/>
      <c r="J113" s="167"/>
      <c r="K113" s="129"/>
      <c r="L113" s="17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</row>
    <row r="114">
      <c r="A114" s="129"/>
      <c r="B114" s="129"/>
      <c r="C114" s="168"/>
      <c r="D114" s="168"/>
      <c r="E114" s="168"/>
      <c r="F114" s="168"/>
      <c r="G114" s="168"/>
      <c r="H114" s="167"/>
      <c r="I114" s="167"/>
      <c r="J114" s="167"/>
      <c r="K114" s="129"/>
      <c r="L114" s="17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  <c r="AE114" s="129"/>
      <c r="AF114" s="129"/>
      <c r="AG114" s="129"/>
    </row>
    <row r="115">
      <c r="A115" s="129"/>
      <c r="B115" s="129"/>
      <c r="C115" s="133"/>
      <c r="D115" s="133"/>
      <c r="E115" s="133"/>
      <c r="F115" s="133"/>
      <c r="G115" s="129"/>
      <c r="H115" s="129"/>
      <c r="I115" s="129"/>
      <c r="J115" s="129"/>
      <c r="K115" s="129"/>
      <c r="L115" s="17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</row>
    <row r="116">
      <c r="A116" s="129"/>
      <c r="B116" s="129"/>
      <c r="C116" s="17"/>
      <c r="D116" s="17"/>
      <c r="E116" s="17"/>
      <c r="F116" s="17"/>
      <c r="G116" s="129"/>
      <c r="H116" s="129"/>
      <c r="I116" s="129"/>
      <c r="J116" s="129"/>
      <c r="K116" s="129"/>
      <c r="L116" s="17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  <c r="AE116" s="129"/>
      <c r="AF116" s="129"/>
      <c r="AG116" s="129"/>
    </row>
    <row r="117">
      <c r="A117" s="129"/>
      <c r="B117" s="129"/>
      <c r="C117" s="17"/>
      <c r="D117" s="17"/>
      <c r="E117" s="17"/>
      <c r="F117" s="17"/>
      <c r="G117" s="129"/>
      <c r="H117" s="129"/>
      <c r="I117" s="129"/>
      <c r="J117" s="129"/>
      <c r="K117" s="129"/>
      <c r="L117" s="17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</row>
    <row r="118" ht="30.0" customHeight="1">
      <c r="A118" s="129"/>
      <c r="B118" s="129"/>
      <c r="C118" s="134"/>
      <c r="D118" s="172" t="s">
        <v>131</v>
      </c>
      <c r="E118" s="24"/>
      <c r="F118" s="134"/>
      <c r="G118" s="133"/>
      <c r="H118" s="133"/>
      <c r="I118" s="133"/>
      <c r="J118" s="133"/>
      <c r="K118" s="129"/>
      <c r="L118" s="17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29"/>
    </row>
    <row r="119">
      <c r="A119" s="129"/>
      <c r="B119" s="129"/>
      <c r="C119" s="145" t="s">
        <v>112</v>
      </c>
      <c r="D119" s="145" t="s">
        <v>113</v>
      </c>
      <c r="E119" s="145" t="s">
        <v>114</v>
      </c>
      <c r="F119" s="145" t="s">
        <v>115</v>
      </c>
      <c r="G119" s="133"/>
      <c r="H119" s="147"/>
      <c r="I119" s="148" t="s">
        <v>116</v>
      </c>
      <c r="J119" s="24"/>
      <c r="K119" s="129"/>
      <c r="L119" s="17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</row>
    <row r="120">
      <c r="A120" s="129"/>
      <c r="B120" s="129"/>
      <c r="C120" s="152">
        <v>45483.0</v>
      </c>
      <c r="D120" s="153"/>
      <c r="E120" s="153"/>
      <c r="F120" s="153"/>
      <c r="G120" s="133"/>
      <c r="H120" s="154"/>
      <c r="I120" s="152" t="s">
        <v>118</v>
      </c>
      <c r="J120" s="155">
        <v>1910.0</v>
      </c>
      <c r="K120" s="129"/>
      <c r="L120" s="17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</row>
    <row r="121">
      <c r="A121" s="129"/>
      <c r="B121" s="129"/>
      <c r="C121" s="152">
        <v>45484.0</v>
      </c>
      <c r="D121" s="153"/>
      <c r="E121" s="153"/>
      <c r="F121" s="153"/>
      <c r="G121" s="133"/>
      <c r="H121" s="154"/>
      <c r="I121" s="152" t="s">
        <v>119</v>
      </c>
      <c r="J121" s="155">
        <v>170.0</v>
      </c>
      <c r="K121" s="129"/>
      <c r="L121" s="17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</row>
    <row r="122">
      <c r="A122" s="129"/>
      <c r="B122" s="129"/>
      <c r="C122" s="152">
        <v>45485.0</v>
      </c>
      <c r="D122" s="153"/>
      <c r="E122" s="153"/>
      <c r="F122" s="153"/>
      <c r="G122" s="133"/>
      <c r="H122" s="154"/>
      <c r="I122" s="152" t="s">
        <v>120</v>
      </c>
      <c r="J122" s="155">
        <v>195.0</v>
      </c>
      <c r="K122" s="129"/>
      <c r="L122" s="17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</row>
    <row r="123">
      <c r="A123" s="129"/>
      <c r="B123" s="129"/>
      <c r="C123" s="152">
        <v>45486.0</v>
      </c>
      <c r="D123" s="153"/>
      <c r="E123" s="153"/>
      <c r="F123" s="153"/>
      <c r="G123" s="133"/>
      <c r="H123" s="154"/>
      <c r="I123" s="152" t="s">
        <v>121</v>
      </c>
      <c r="J123" s="155">
        <v>50.0</v>
      </c>
      <c r="K123" s="129"/>
      <c r="L123" s="17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</row>
    <row r="124">
      <c r="A124" s="129"/>
      <c r="B124" s="129"/>
      <c r="C124" s="152">
        <v>45487.0</v>
      </c>
      <c r="D124" s="153"/>
      <c r="E124" s="153"/>
      <c r="F124" s="153"/>
      <c r="G124" s="133"/>
      <c r="H124" s="133"/>
      <c r="I124" s="133"/>
      <c r="J124" s="133"/>
      <c r="K124" s="129"/>
      <c r="L124" s="17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</row>
    <row r="125">
      <c r="A125" s="129"/>
      <c r="B125" s="129"/>
      <c r="C125" s="152">
        <v>45488.0</v>
      </c>
      <c r="D125" s="163"/>
      <c r="E125" s="153"/>
      <c r="F125" s="153"/>
      <c r="G125" s="133"/>
      <c r="H125" s="133"/>
      <c r="I125" s="133"/>
      <c r="J125" s="133"/>
      <c r="K125" s="129"/>
      <c r="L125" s="17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</row>
    <row r="126">
      <c r="A126" s="129"/>
      <c r="B126" s="129"/>
      <c r="C126" s="152">
        <v>45489.0</v>
      </c>
      <c r="D126" s="163"/>
      <c r="E126" s="153"/>
      <c r="F126" s="163"/>
      <c r="G126" s="133"/>
      <c r="H126" s="133"/>
      <c r="I126" s="133"/>
      <c r="J126" s="133"/>
      <c r="K126" s="129"/>
      <c r="L126" s="17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</row>
    <row r="127">
      <c r="A127" s="129"/>
      <c r="B127" s="129"/>
      <c r="C127" s="164" t="s">
        <v>122</v>
      </c>
      <c r="D127" s="165" t="str">
        <f t="shared" ref="D127:F127" si="20">AVERAGE(D120:D126)</f>
        <v>#DIV/0!</v>
      </c>
      <c r="E127" s="165" t="str">
        <f t="shared" si="20"/>
        <v>#DIV/0!</v>
      </c>
      <c r="F127" s="165" t="str">
        <f t="shared" si="20"/>
        <v>#DIV/0!</v>
      </c>
      <c r="G127" s="133"/>
      <c r="H127" s="133"/>
      <c r="I127" s="133"/>
      <c r="J127" s="133"/>
      <c r="K127" s="129"/>
      <c r="L127" s="17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</row>
    <row r="128">
      <c r="A128" s="129"/>
      <c r="B128" s="129"/>
      <c r="C128" s="134"/>
      <c r="D128" s="134"/>
      <c r="E128" s="134"/>
      <c r="F128" s="134"/>
      <c r="G128" s="133"/>
      <c r="H128" s="133"/>
      <c r="I128" s="133"/>
      <c r="J128" s="133"/>
      <c r="K128" s="129"/>
      <c r="L128" s="17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</row>
    <row r="129">
      <c r="A129" s="129"/>
      <c r="B129" s="129"/>
      <c r="C129" s="148" t="s">
        <v>123</v>
      </c>
      <c r="D129" s="38"/>
      <c r="E129" s="38"/>
      <c r="F129" s="38"/>
      <c r="G129" s="24"/>
      <c r="H129" s="167"/>
      <c r="I129" s="167"/>
      <c r="J129" s="167"/>
      <c r="K129" s="129"/>
      <c r="L129" s="17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</row>
    <row r="130">
      <c r="A130" s="129"/>
      <c r="B130" s="129"/>
      <c r="C130" s="152" t="s">
        <v>107</v>
      </c>
      <c r="D130" s="152" t="s">
        <v>124</v>
      </c>
      <c r="E130" s="152" t="s">
        <v>109</v>
      </c>
      <c r="F130" s="152" t="s">
        <v>110</v>
      </c>
      <c r="G130" s="152" t="s">
        <v>111</v>
      </c>
      <c r="H130" s="167"/>
      <c r="I130" s="167"/>
      <c r="J130" s="167"/>
      <c r="K130" s="129"/>
      <c r="L130" s="17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</row>
    <row r="131">
      <c r="A131" s="129"/>
      <c r="B131" s="129"/>
      <c r="C131" s="168"/>
      <c r="D131" s="168"/>
      <c r="E131" s="168"/>
      <c r="F131" s="168"/>
      <c r="G131" s="168"/>
      <c r="H131" s="167"/>
      <c r="I131" s="167"/>
      <c r="J131" s="167"/>
      <c r="K131" s="129"/>
      <c r="L131" s="17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</row>
    <row r="132">
      <c r="A132" s="129"/>
      <c r="B132" s="129"/>
      <c r="C132" s="129"/>
      <c r="D132" s="129"/>
      <c r="E132" s="129"/>
      <c r="F132" s="129"/>
      <c r="G132" s="129"/>
      <c r="H132" s="167"/>
      <c r="I132" s="167"/>
      <c r="J132" s="167"/>
      <c r="K132" s="129"/>
      <c r="L132" s="17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</row>
    <row r="133">
      <c r="A133" s="129"/>
      <c r="B133" s="129"/>
      <c r="C133" s="129"/>
      <c r="D133" s="129"/>
      <c r="E133" s="129"/>
      <c r="F133" s="129"/>
      <c r="G133" s="129"/>
      <c r="H133" s="167"/>
      <c r="I133" s="167"/>
      <c r="J133" s="167"/>
      <c r="K133" s="129"/>
      <c r="L133" s="17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</row>
    <row r="134">
      <c r="A134" s="129"/>
      <c r="B134" s="129"/>
      <c r="C134" s="129"/>
      <c r="D134" s="129"/>
      <c r="E134" s="129"/>
      <c r="F134" s="129"/>
      <c r="G134" s="129"/>
      <c r="H134" s="167"/>
      <c r="I134" s="167"/>
      <c r="J134" s="167"/>
      <c r="K134" s="129"/>
      <c r="L134" s="17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</row>
    <row r="135" ht="31.5" customHeight="1">
      <c r="A135" s="129"/>
      <c r="B135" s="129"/>
      <c r="C135" s="134"/>
      <c r="D135" s="172" t="s">
        <v>132</v>
      </c>
      <c r="E135" s="24"/>
      <c r="F135" s="134"/>
      <c r="G135" s="133"/>
      <c r="H135" s="133"/>
      <c r="I135" s="133"/>
      <c r="J135" s="133"/>
      <c r="K135" s="129"/>
      <c r="L135" s="17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</row>
    <row r="136">
      <c r="A136" s="129"/>
      <c r="B136" s="129"/>
      <c r="C136" s="145" t="s">
        <v>112</v>
      </c>
      <c r="D136" s="145" t="s">
        <v>113</v>
      </c>
      <c r="E136" s="145" t="s">
        <v>114</v>
      </c>
      <c r="F136" s="145" t="s">
        <v>115</v>
      </c>
      <c r="G136" s="133"/>
      <c r="H136" s="147"/>
      <c r="I136" s="148" t="s">
        <v>116</v>
      </c>
      <c r="J136" s="24"/>
      <c r="K136" s="129"/>
      <c r="L136" s="17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</row>
    <row r="137">
      <c r="A137" s="129"/>
      <c r="B137" s="129"/>
      <c r="C137" s="152">
        <v>45483.0</v>
      </c>
      <c r="D137" s="153"/>
      <c r="E137" s="153"/>
      <c r="F137" s="153"/>
      <c r="G137" s="133"/>
      <c r="H137" s="154"/>
      <c r="I137" s="152" t="s">
        <v>118</v>
      </c>
      <c r="J137" s="155">
        <v>1910.0</v>
      </c>
      <c r="K137" s="129"/>
      <c r="L137" s="17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</row>
    <row r="138">
      <c r="A138" s="129"/>
      <c r="B138" s="129"/>
      <c r="C138" s="152">
        <v>45484.0</v>
      </c>
      <c r="D138" s="153"/>
      <c r="E138" s="153"/>
      <c r="F138" s="153"/>
      <c r="G138" s="133"/>
      <c r="H138" s="154"/>
      <c r="I138" s="152" t="s">
        <v>119</v>
      </c>
      <c r="J138" s="155">
        <v>170.0</v>
      </c>
      <c r="K138" s="129"/>
      <c r="L138" s="17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</row>
    <row r="139">
      <c r="A139" s="129"/>
      <c r="B139" s="129"/>
      <c r="C139" s="152">
        <v>45485.0</v>
      </c>
      <c r="D139" s="153"/>
      <c r="E139" s="153"/>
      <c r="F139" s="153"/>
      <c r="G139" s="133"/>
      <c r="H139" s="154"/>
      <c r="I139" s="152" t="s">
        <v>120</v>
      </c>
      <c r="J139" s="155">
        <v>195.0</v>
      </c>
      <c r="K139" s="129"/>
      <c r="L139" s="17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</row>
    <row r="140">
      <c r="A140" s="129"/>
      <c r="B140" s="129"/>
      <c r="C140" s="152">
        <v>45486.0</v>
      </c>
      <c r="D140" s="153"/>
      <c r="E140" s="153"/>
      <c r="F140" s="153"/>
      <c r="G140" s="133"/>
      <c r="H140" s="154"/>
      <c r="I140" s="152" t="s">
        <v>121</v>
      </c>
      <c r="J140" s="155">
        <v>50.0</v>
      </c>
      <c r="K140" s="129"/>
      <c r="L140" s="17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</row>
    <row r="141">
      <c r="A141" s="129"/>
      <c r="B141" s="129"/>
      <c r="C141" s="152">
        <v>45487.0</v>
      </c>
      <c r="D141" s="153"/>
      <c r="E141" s="153"/>
      <c r="F141" s="153"/>
      <c r="G141" s="133"/>
      <c r="H141" s="133"/>
      <c r="I141" s="133"/>
      <c r="J141" s="133"/>
      <c r="K141" s="129"/>
      <c r="L141" s="17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29"/>
    </row>
    <row r="142">
      <c r="A142" s="129"/>
      <c r="B142" s="129"/>
      <c r="C142" s="152">
        <v>45488.0</v>
      </c>
      <c r="D142" s="163"/>
      <c r="E142" s="153"/>
      <c r="F142" s="153"/>
      <c r="G142" s="133"/>
      <c r="H142" s="133"/>
      <c r="I142" s="133"/>
      <c r="J142" s="133"/>
      <c r="K142" s="129"/>
      <c r="L142" s="17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29"/>
    </row>
    <row r="143">
      <c r="A143" s="129"/>
      <c r="B143" s="129"/>
      <c r="C143" s="152">
        <v>45489.0</v>
      </c>
      <c r="D143" s="163"/>
      <c r="E143" s="153"/>
      <c r="F143" s="163"/>
      <c r="G143" s="133"/>
      <c r="H143" s="133"/>
      <c r="I143" s="133"/>
      <c r="J143" s="133"/>
      <c r="K143" s="129"/>
      <c r="L143" s="17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29"/>
    </row>
    <row r="144">
      <c r="A144" s="129"/>
      <c r="B144" s="129"/>
      <c r="C144" s="164" t="s">
        <v>122</v>
      </c>
      <c r="D144" s="165" t="str">
        <f t="shared" ref="D144:F144" si="21">AVERAGE(D137:D143)</f>
        <v>#DIV/0!</v>
      </c>
      <c r="E144" s="165" t="str">
        <f t="shared" si="21"/>
        <v>#DIV/0!</v>
      </c>
      <c r="F144" s="165" t="str">
        <f t="shared" si="21"/>
        <v>#DIV/0!</v>
      </c>
      <c r="G144" s="133"/>
      <c r="H144" s="133"/>
      <c r="I144" s="133"/>
      <c r="J144" s="133"/>
      <c r="K144" s="129"/>
      <c r="L144" s="17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</row>
    <row r="145">
      <c r="A145" s="129"/>
      <c r="B145" s="129"/>
      <c r="C145" s="134"/>
      <c r="D145" s="134"/>
      <c r="E145" s="134"/>
      <c r="F145" s="134"/>
      <c r="G145" s="133"/>
      <c r="H145" s="133"/>
      <c r="I145" s="133"/>
      <c r="J145" s="133"/>
      <c r="K145" s="129"/>
      <c r="L145" s="17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29"/>
    </row>
    <row r="146">
      <c r="A146" s="129"/>
      <c r="B146" s="129"/>
      <c r="C146" s="148" t="s">
        <v>123</v>
      </c>
      <c r="D146" s="38"/>
      <c r="E146" s="38"/>
      <c r="F146" s="38"/>
      <c r="G146" s="24"/>
      <c r="H146" s="167"/>
      <c r="I146" s="167"/>
      <c r="J146" s="167"/>
      <c r="K146" s="129"/>
      <c r="L146" s="17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29"/>
    </row>
    <row r="147">
      <c r="A147" s="129"/>
      <c r="B147" s="129"/>
      <c r="C147" s="152" t="s">
        <v>107</v>
      </c>
      <c r="D147" s="152" t="s">
        <v>124</v>
      </c>
      <c r="E147" s="152" t="s">
        <v>109</v>
      </c>
      <c r="F147" s="152" t="s">
        <v>110</v>
      </c>
      <c r="G147" s="152" t="s">
        <v>111</v>
      </c>
      <c r="H147" s="167"/>
      <c r="I147" s="167"/>
      <c r="J147" s="167"/>
      <c r="K147" s="129"/>
      <c r="L147" s="17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29"/>
    </row>
    <row r="148">
      <c r="A148" s="129"/>
      <c r="B148" s="129"/>
      <c r="C148" s="168"/>
      <c r="D148" s="168"/>
      <c r="E148" s="168"/>
      <c r="F148" s="168"/>
      <c r="G148" s="168"/>
      <c r="H148" s="167"/>
      <c r="I148" s="167"/>
      <c r="J148" s="167"/>
      <c r="K148" s="129"/>
      <c r="L148" s="17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</row>
    <row r="149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7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29"/>
    </row>
    <row r="150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7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29"/>
    </row>
    <row r="151" ht="28.5" customHeight="1">
      <c r="A151" s="129"/>
      <c r="B151" s="129"/>
      <c r="C151" s="134"/>
      <c r="D151" s="172" t="s">
        <v>133</v>
      </c>
      <c r="E151" s="24"/>
      <c r="F151" s="134"/>
      <c r="G151" s="133"/>
      <c r="H151" s="133"/>
      <c r="I151" s="133"/>
      <c r="J151" s="133"/>
      <c r="K151" s="129"/>
      <c r="L151" s="17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</row>
    <row r="152">
      <c r="A152" s="129"/>
      <c r="B152" s="129"/>
      <c r="C152" s="145" t="s">
        <v>112</v>
      </c>
      <c r="D152" s="145" t="s">
        <v>113</v>
      </c>
      <c r="E152" s="145" t="s">
        <v>114</v>
      </c>
      <c r="F152" s="145" t="s">
        <v>115</v>
      </c>
      <c r="G152" s="133"/>
      <c r="H152" s="147"/>
      <c r="I152" s="148" t="s">
        <v>116</v>
      </c>
      <c r="J152" s="24"/>
      <c r="K152" s="129"/>
      <c r="L152" s="17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29"/>
    </row>
    <row r="153">
      <c r="A153" s="129"/>
      <c r="B153" s="129"/>
      <c r="C153" s="152">
        <v>45483.0</v>
      </c>
      <c r="D153" s="153"/>
      <c r="E153" s="153"/>
      <c r="F153" s="153"/>
      <c r="G153" s="133"/>
      <c r="H153" s="154"/>
      <c r="I153" s="152" t="s">
        <v>118</v>
      </c>
      <c r="J153" s="155">
        <v>1910.0</v>
      </c>
      <c r="K153" s="129"/>
      <c r="L153" s="17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29"/>
    </row>
    <row r="154">
      <c r="A154" s="129"/>
      <c r="B154" s="129"/>
      <c r="C154" s="152">
        <v>45484.0</v>
      </c>
      <c r="D154" s="153"/>
      <c r="E154" s="153"/>
      <c r="F154" s="153"/>
      <c r="G154" s="133"/>
      <c r="H154" s="154"/>
      <c r="I154" s="152" t="s">
        <v>119</v>
      </c>
      <c r="J154" s="155">
        <v>170.0</v>
      </c>
      <c r="K154" s="129"/>
      <c r="L154" s="17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</row>
    <row r="155">
      <c r="A155" s="129"/>
      <c r="B155" s="129"/>
      <c r="C155" s="152">
        <v>45485.0</v>
      </c>
      <c r="D155" s="153"/>
      <c r="E155" s="153"/>
      <c r="F155" s="153"/>
      <c r="G155" s="133"/>
      <c r="H155" s="154"/>
      <c r="I155" s="152" t="s">
        <v>120</v>
      </c>
      <c r="J155" s="155">
        <v>195.0</v>
      </c>
      <c r="K155" s="129"/>
      <c r="L155" s="17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</row>
    <row r="156">
      <c r="A156" s="129"/>
      <c r="B156" s="129"/>
      <c r="C156" s="152">
        <v>45486.0</v>
      </c>
      <c r="D156" s="153"/>
      <c r="E156" s="153"/>
      <c r="F156" s="153"/>
      <c r="G156" s="133"/>
      <c r="H156" s="154"/>
      <c r="I156" s="152" t="s">
        <v>121</v>
      </c>
      <c r="J156" s="155">
        <v>50.0</v>
      </c>
      <c r="K156" s="129"/>
      <c r="L156" s="17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29"/>
    </row>
    <row r="157">
      <c r="A157" s="129"/>
      <c r="B157" s="129"/>
      <c r="C157" s="152">
        <v>45487.0</v>
      </c>
      <c r="D157" s="153"/>
      <c r="E157" s="153"/>
      <c r="F157" s="153"/>
      <c r="G157" s="133"/>
      <c r="H157" s="133"/>
      <c r="I157" s="133"/>
      <c r="J157" s="133"/>
      <c r="K157" s="129"/>
      <c r="L157" s="17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29"/>
    </row>
    <row r="158">
      <c r="A158" s="129"/>
      <c r="B158" s="129"/>
      <c r="C158" s="152">
        <v>45488.0</v>
      </c>
      <c r="D158" s="163"/>
      <c r="E158" s="153"/>
      <c r="F158" s="153"/>
      <c r="G158" s="133"/>
      <c r="H158" s="133"/>
      <c r="I158" s="133"/>
      <c r="J158" s="133"/>
      <c r="K158" s="129"/>
      <c r="L158" s="17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</row>
    <row r="159">
      <c r="A159" s="129"/>
      <c r="B159" s="129"/>
      <c r="C159" s="152">
        <v>45489.0</v>
      </c>
      <c r="D159" s="163"/>
      <c r="E159" s="153"/>
      <c r="F159" s="163"/>
      <c r="G159" s="133"/>
      <c r="H159" s="133"/>
      <c r="I159" s="133"/>
      <c r="J159" s="133"/>
      <c r="K159" s="129"/>
      <c r="L159" s="17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</row>
    <row r="160">
      <c r="A160" s="129"/>
      <c r="B160" s="129"/>
      <c r="C160" s="164" t="s">
        <v>122</v>
      </c>
      <c r="D160" s="165" t="str">
        <f t="shared" ref="D160:F160" si="22">AVERAGE(D153:D159)</f>
        <v>#DIV/0!</v>
      </c>
      <c r="E160" s="165" t="str">
        <f t="shared" si="22"/>
        <v>#DIV/0!</v>
      </c>
      <c r="F160" s="165" t="str">
        <f t="shared" si="22"/>
        <v>#DIV/0!</v>
      </c>
      <c r="G160" s="133"/>
      <c r="H160" s="133"/>
      <c r="I160" s="133"/>
      <c r="J160" s="133"/>
      <c r="K160" s="129"/>
      <c r="L160" s="17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</row>
    <row r="161">
      <c r="A161" s="129"/>
      <c r="B161" s="129"/>
      <c r="C161" s="134"/>
      <c r="D161" s="134"/>
      <c r="E161" s="134"/>
      <c r="F161" s="134"/>
      <c r="G161" s="133"/>
      <c r="H161" s="133"/>
      <c r="I161" s="133"/>
      <c r="J161" s="133"/>
      <c r="K161" s="129"/>
      <c r="L161" s="17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</row>
    <row r="162">
      <c r="A162" s="129"/>
      <c r="B162" s="129"/>
      <c r="C162" s="148" t="s">
        <v>123</v>
      </c>
      <c r="D162" s="38"/>
      <c r="E162" s="38"/>
      <c r="F162" s="38"/>
      <c r="G162" s="24"/>
      <c r="H162" s="167"/>
      <c r="I162" s="167"/>
      <c r="J162" s="167"/>
      <c r="K162" s="129"/>
      <c r="L162" s="17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</row>
    <row r="163">
      <c r="A163" s="129"/>
      <c r="B163" s="129"/>
      <c r="C163" s="152" t="s">
        <v>107</v>
      </c>
      <c r="D163" s="152" t="s">
        <v>124</v>
      </c>
      <c r="E163" s="152" t="s">
        <v>109</v>
      </c>
      <c r="F163" s="152" t="s">
        <v>110</v>
      </c>
      <c r="G163" s="152" t="s">
        <v>111</v>
      </c>
      <c r="H163" s="167"/>
      <c r="I163" s="167"/>
      <c r="J163" s="167"/>
      <c r="K163" s="129"/>
      <c r="L163" s="17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</row>
    <row r="164">
      <c r="A164" s="129"/>
      <c r="B164" s="129"/>
      <c r="C164" s="168"/>
      <c r="D164" s="168"/>
      <c r="E164" s="168"/>
      <c r="F164" s="168"/>
      <c r="G164" s="168"/>
      <c r="H164" s="167"/>
      <c r="I164" s="167"/>
      <c r="J164" s="167"/>
      <c r="K164" s="129"/>
      <c r="L164" s="17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</row>
    <row r="165">
      <c r="A165" s="129"/>
      <c r="B165" s="129"/>
      <c r="C165" s="129"/>
      <c r="D165" s="129"/>
      <c r="E165" s="129"/>
      <c r="F165" s="129"/>
      <c r="G165" s="129"/>
      <c r="H165" s="167"/>
      <c r="I165" s="167"/>
      <c r="J165" s="167"/>
      <c r="K165" s="129"/>
      <c r="L165" s="17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</row>
    <row r="166">
      <c r="A166" s="129"/>
      <c r="B166" s="129"/>
      <c r="C166" s="129"/>
      <c r="D166" s="129"/>
      <c r="E166" s="129"/>
      <c r="F166" s="129"/>
      <c r="G166" s="129"/>
      <c r="H166" s="167"/>
      <c r="I166" s="167"/>
      <c r="J166" s="167"/>
      <c r="K166" s="129"/>
      <c r="L166" s="17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</row>
    <row r="167" ht="31.5" customHeight="1">
      <c r="A167" s="129"/>
      <c r="B167" s="129"/>
      <c r="C167" s="134"/>
      <c r="D167" s="172" t="s">
        <v>134</v>
      </c>
      <c r="E167" s="24"/>
      <c r="F167" s="134"/>
      <c r="G167" s="133"/>
      <c r="H167" s="133"/>
      <c r="I167" s="133"/>
      <c r="J167" s="133"/>
      <c r="K167" s="129"/>
      <c r="L167" s="17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</row>
    <row r="168">
      <c r="A168" s="129"/>
      <c r="B168" s="129"/>
      <c r="C168" s="145" t="s">
        <v>112</v>
      </c>
      <c r="D168" s="145" t="s">
        <v>113</v>
      </c>
      <c r="E168" s="145" t="s">
        <v>114</v>
      </c>
      <c r="F168" s="145" t="s">
        <v>115</v>
      </c>
      <c r="G168" s="133"/>
      <c r="H168" s="147"/>
      <c r="I168" s="148" t="s">
        <v>116</v>
      </c>
      <c r="J168" s="24"/>
      <c r="K168" s="129"/>
      <c r="L168" s="17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</row>
    <row r="169">
      <c r="A169" s="129"/>
      <c r="B169" s="129"/>
      <c r="C169" s="152">
        <v>45483.0</v>
      </c>
      <c r="D169" s="153"/>
      <c r="E169" s="153"/>
      <c r="F169" s="153"/>
      <c r="G169" s="133"/>
      <c r="H169" s="154"/>
      <c r="I169" s="152" t="s">
        <v>118</v>
      </c>
      <c r="J169" s="155">
        <v>1910.0</v>
      </c>
      <c r="K169" s="129"/>
      <c r="L169" s="17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</row>
    <row r="170">
      <c r="A170" s="129"/>
      <c r="B170" s="129"/>
      <c r="C170" s="152">
        <v>45484.0</v>
      </c>
      <c r="D170" s="153"/>
      <c r="E170" s="153"/>
      <c r="F170" s="153"/>
      <c r="G170" s="133"/>
      <c r="H170" s="154"/>
      <c r="I170" s="152" t="s">
        <v>119</v>
      </c>
      <c r="J170" s="155">
        <v>170.0</v>
      </c>
      <c r="K170" s="129"/>
      <c r="L170" s="17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</row>
    <row r="171">
      <c r="A171" s="129"/>
      <c r="B171" s="129"/>
      <c r="C171" s="152">
        <v>45485.0</v>
      </c>
      <c r="D171" s="153"/>
      <c r="E171" s="153"/>
      <c r="F171" s="153"/>
      <c r="G171" s="133"/>
      <c r="H171" s="154"/>
      <c r="I171" s="152" t="s">
        <v>120</v>
      </c>
      <c r="J171" s="155">
        <v>195.0</v>
      </c>
      <c r="K171" s="129"/>
      <c r="L171" s="17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</row>
    <row r="172">
      <c r="A172" s="129"/>
      <c r="B172" s="129"/>
      <c r="C172" s="152">
        <v>45486.0</v>
      </c>
      <c r="D172" s="153"/>
      <c r="E172" s="153"/>
      <c r="F172" s="153"/>
      <c r="G172" s="133"/>
      <c r="H172" s="154"/>
      <c r="I172" s="152" t="s">
        <v>121</v>
      </c>
      <c r="J172" s="155">
        <v>50.0</v>
      </c>
      <c r="K172" s="129"/>
      <c r="L172" s="17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</row>
    <row r="173">
      <c r="A173" s="129"/>
      <c r="B173" s="129"/>
      <c r="C173" s="152">
        <v>45487.0</v>
      </c>
      <c r="D173" s="153"/>
      <c r="E173" s="153"/>
      <c r="F173" s="153"/>
      <c r="G173" s="133"/>
      <c r="H173" s="133"/>
      <c r="I173" s="133"/>
      <c r="J173" s="133"/>
      <c r="K173" s="129"/>
      <c r="L173" s="17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29"/>
    </row>
    <row r="174">
      <c r="A174" s="129"/>
      <c r="B174" s="129"/>
      <c r="C174" s="152">
        <v>45488.0</v>
      </c>
      <c r="D174" s="163"/>
      <c r="E174" s="153"/>
      <c r="F174" s="153"/>
      <c r="G174" s="133"/>
      <c r="H174" s="133"/>
      <c r="I174" s="133"/>
      <c r="J174" s="133"/>
      <c r="K174" s="129"/>
      <c r="L174" s="17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29"/>
    </row>
    <row r="175">
      <c r="A175" s="129"/>
      <c r="B175" s="129"/>
      <c r="C175" s="152">
        <v>45489.0</v>
      </c>
      <c r="D175" s="163"/>
      <c r="E175" s="153"/>
      <c r="F175" s="163"/>
      <c r="G175" s="133"/>
      <c r="H175" s="133"/>
      <c r="I175" s="133"/>
      <c r="J175" s="133"/>
      <c r="K175" s="129"/>
      <c r="L175" s="17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</row>
    <row r="176">
      <c r="A176" s="129"/>
      <c r="B176" s="129"/>
      <c r="C176" s="164" t="s">
        <v>122</v>
      </c>
      <c r="D176" s="165" t="str">
        <f t="shared" ref="D176:F176" si="23">AVERAGE(D169:D175)</f>
        <v>#DIV/0!</v>
      </c>
      <c r="E176" s="165" t="str">
        <f t="shared" si="23"/>
        <v>#DIV/0!</v>
      </c>
      <c r="F176" s="165" t="str">
        <f t="shared" si="23"/>
        <v>#DIV/0!</v>
      </c>
      <c r="G176" s="133"/>
      <c r="H176" s="133"/>
      <c r="I176" s="133"/>
      <c r="J176" s="133"/>
      <c r="K176" s="129"/>
      <c r="L176" s="17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</row>
    <row r="177">
      <c r="A177" s="129"/>
      <c r="B177" s="129"/>
      <c r="C177" s="134"/>
      <c r="D177" s="134"/>
      <c r="E177" s="134"/>
      <c r="F177" s="134"/>
      <c r="G177" s="133"/>
      <c r="H177" s="133"/>
      <c r="I177" s="133"/>
      <c r="J177" s="133"/>
      <c r="K177" s="129"/>
      <c r="L177" s="17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</row>
    <row r="178">
      <c r="A178" s="129"/>
      <c r="B178" s="129"/>
      <c r="C178" s="148" t="s">
        <v>123</v>
      </c>
      <c r="D178" s="38"/>
      <c r="E178" s="38"/>
      <c r="F178" s="38"/>
      <c r="G178" s="24"/>
      <c r="H178" s="167"/>
      <c r="I178" s="167"/>
      <c r="J178" s="167"/>
      <c r="K178" s="129"/>
      <c r="L178" s="17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</row>
    <row r="179">
      <c r="A179" s="129"/>
      <c r="B179" s="129"/>
      <c r="C179" s="152" t="s">
        <v>107</v>
      </c>
      <c r="D179" s="152" t="s">
        <v>124</v>
      </c>
      <c r="E179" s="152" t="s">
        <v>109</v>
      </c>
      <c r="F179" s="152" t="s">
        <v>110</v>
      </c>
      <c r="G179" s="152" t="s">
        <v>111</v>
      </c>
      <c r="H179" s="167"/>
      <c r="I179" s="167"/>
      <c r="J179" s="167"/>
      <c r="K179" s="129"/>
      <c r="L179" s="17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</row>
    <row r="180">
      <c r="A180" s="129"/>
      <c r="B180" s="129"/>
      <c r="C180" s="168"/>
      <c r="D180" s="168"/>
      <c r="E180" s="168"/>
      <c r="F180" s="168"/>
      <c r="G180" s="168"/>
      <c r="H180" s="167"/>
      <c r="I180" s="167"/>
      <c r="J180" s="167"/>
      <c r="K180" s="129"/>
      <c r="L180" s="17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</row>
    <row r="181">
      <c r="A181" s="129"/>
      <c r="B181" s="129"/>
      <c r="C181" s="129"/>
      <c r="D181" s="129"/>
      <c r="E181" s="129"/>
      <c r="F181" s="129"/>
      <c r="G181" s="129"/>
      <c r="H181" s="167"/>
      <c r="I181" s="167"/>
      <c r="J181" s="167"/>
      <c r="K181" s="129"/>
      <c r="L181" s="17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</row>
    <row r="182">
      <c r="A182" s="129"/>
      <c r="B182" s="129"/>
      <c r="C182" s="129"/>
      <c r="D182" s="129"/>
      <c r="E182" s="129"/>
      <c r="F182" s="129"/>
      <c r="G182" s="129"/>
      <c r="H182" s="167"/>
      <c r="I182" s="167"/>
      <c r="J182" s="167"/>
      <c r="K182" s="129"/>
      <c r="L182" s="17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</row>
    <row r="183" ht="30.0" customHeight="1">
      <c r="A183" s="129"/>
      <c r="B183" s="129"/>
      <c r="C183" s="134"/>
      <c r="D183" s="172" t="s">
        <v>135</v>
      </c>
      <c r="E183" s="24"/>
      <c r="F183" s="134"/>
      <c r="G183" s="133"/>
      <c r="H183" s="133"/>
      <c r="I183" s="133"/>
      <c r="J183" s="133"/>
      <c r="K183" s="129"/>
      <c r="L183" s="17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</row>
    <row r="184">
      <c r="A184" s="129"/>
      <c r="B184" s="129"/>
      <c r="C184" s="145" t="s">
        <v>112</v>
      </c>
      <c r="D184" s="145" t="s">
        <v>113</v>
      </c>
      <c r="E184" s="145" t="s">
        <v>114</v>
      </c>
      <c r="F184" s="145" t="s">
        <v>115</v>
      </c>
      <c r="G184" s="133"/>
      <c r="H184" s="147"/>
      <c r="I184" s="148" t="s">
        <v>116</v>
      </c>
      <c r="J184" s="24"/>
      <c r="K184" s="129"/>
      <c r="L184" s="17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29"/>
    </row>
    <row r="185">
      <c r="A185" s="129"/>
      <c r="B185" s="129"/>
      <c r="C185" s="152">
        <v>45483.0</v>
      </c>
      <c r="D185" s="153"/>
      <c r="E185" s="153"/>
      <c r="F185" s="153"/>
      <c r="G185" s="133"/>
      <c r="H185" s="154"/>
      <c r="I185" s="152" t="s">
        <v>118</v>
      </c>
      <c r="J185" s="155">
        <v>1910.0</v>
      </c>
      <c r="K185" s="129"/>
      <c r="L185" s="17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29"/>
    </row>
    <row r="186">
      <c r="A186" s="129"/>
      <c r="B186" s="129"/>
      <c r="C186" s="152">
        <v>45484.0</v>
      </c>
      <c r="D186" s="153"/>
      <c r="E186" s="153"/>
      <c r="F186" s="153"/>
      <c r="G186" s="133"/>
      <c r="H186" s="154"/>
      <c r="I186" s="152" t="s">
        <v>119</v>
      </c>
      <c r="J186" s="155">
        <v>170.0</v>
      </c>
      <c r="K186" s="129"/>
      <c r="L186" s="17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29"/>
    </row>
    <row r="187">
      <c r="A187" s="129"/>
      <c r="B187" s="129"/>
      <c r="C187" s="152">
        <v>45485.0</v>
      </c>
      <c r="D187" s="153"/>
      <c r="E187" s="153"/>
      <c r="F187" s="153"/>
      <c r="G187" s="133"/>
      <c r="H187" s="154"/>
      <c r="I187" s="152" t="s">
        <v>120</v>
      </c>
      <c r="J187" s="155">
        <v>195.0</v>
      </c>
      <c r="K187" s="129"/>
      <c r="L187" s="17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29"/>
    </row>
    <row r="188">
      <c r="A188" s="129"/>
      <c r="B188" s="129"/>
      <c r="C188" s="152">
        <v>45486.0</v>
      </c>
      <c r="D188" s="153"/>
      <c r="E188" s="153"/>
      <c r="F188" s="153"/>
      <c r="G188" s="133"/>
      <c r="H188" s="154"/>
      <c r="I188" s="152" t="s">
        <v>121</v>
      </c>
      <c r="J188" s="155">
        <v>50.0</v>
      </c>
      <c r="K188" s="129"/>
      <c r="L188" s="17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29"/>
    </row>
    <row r="189">
      <c r="A189" s="129"/>
      <c r="B189" s="129"/>
      <c r="C189" s="152">
        <v>45487.0</v>
      </c>
      <c r="D189" s="153"/>
      <c r="E189" s="153"/>
      <c r="F189" s="153"/>
      <c r="G189" s="133"/>
      <c r="H189" s="133"/>
      <c r="I189" s="133"/>
      <c r="J189" s="133"/>
      <c r="K189" s="129"/>
      <c r="L189" s="17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29"/>
    </row>
    <row r="190">
      <c r="A190" s="129"/>
      <c r="B190" s="129"/>
      <c r="C190" s="152">
        <v>45488.0</v>
      </c>
      <c r="D190" s="163"/>
      <c r="E190" s="153"/>
      <c r="F190" s="153"/>
      <c r="G190" s="133"/>
      <c r="H190" s="133"/>
      <c r="I190" s="133"/>
      <c r="J190" s="133"/>
      <c r="K190" s="129"/>
      <c r="L190" s="17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29"/>
    </row>
    <row r="191">
      <c r="A191" s="129"/>
      <c r="B191" s="129"/>
      <c r="C191" s="152">
        <v>45489.0</v>
      </c>
      <c r="D191" s="163"/>
      <c r="E191" s="153"/>
      <c r="F191" s="163"/>
      <c r="G191" s="133"/>
      <c r="H191" s="133"/>
      <c r="I191" s="133"/>
      <c r="J191" s="133"/>
      <c r="K191" s="129"/>
      <c r="L191" s="17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29"/>
    </row>
    <row r="192">
      <c r="A192" s="129"/>
      <c r="B192" s="129"/>
      <c r="C192" s="164" t="s">
        <v>122</v>
      </c>
      <c r="D192" s="165" t="str">
        <f t="shared" ref="D192:F192" si="24">AVERAGE(D185:D191)</f>
        <v>#DIV/0!</v>
      </c>
      <c r="E192" s="165" t="str">
        <f t="shared" si="24"/>
        <v>#DIV/0!</v>
      </c>
      <c r="F192" s="165" t="str">
        <f t="shared" si="24"/>
        <v>#DIV/0!</v>
      </c>
      <c r="G192" s="133"/>
      <c r="H192" s="133"/>
      <c r="I192" s="133"/>
      <c r="J192" s="133"/>
      <c r="K192" s="129"/>
      <c r="L192" s="17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29"/>
    </row>
    <row r="193">
      <c r="A193" s="129"/>
      <c r="B193" s="129"/>
      <c r="C193" s="134"/>
      <c r="D193" s="134"/>
      <c r="E193" s="134"/>
      <c r="F193" s="134"/>
      <c r="G193" s="133"/>
      <c r="H193" s="133"/>
      <c r="I193" s="133"/>
      <c r="J193" s="133"/>
      <c r="K193" s="129"/>
      <c r="L193" s="17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29"/>
    </row>
    <row r="194">
      <c r="A194" s="129"/>
      <c r="B194" s="129"/>
      <c r="C194" s="148" t="s">
        <v>123</v>
      </c>
      <c r="D194" s="38"/>
      <c r="E194" s="38"/>
      <c r="F194" s="38"/>
      <c r="G194" s="24"/>
      <c r="H194" s="167"/>
      <c r="I194" s="167"/>
      <c r="J194" s="167"/>
      <c r="K194" s="129"/>
      <c r="L194" s="17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29"/>
    </row>
    <row r="195">
      <c r="A195" s="129"/>
      <c r="B195" s="129"/>
      <c r="C195" s="152" t="s">
        <v>107</v>
      </c>
      <c r="D195" s="152" t="s">
        <v>124</v>
      </c>
      <c r="E195" s="152" t="s">
        <v>109</v>
      </c>
      <c r="F195" s="152" t="s">
        <v>110</v>
      </c>
      <c r="G195" s="152" t="s">
        <v>111</v>
      </c>
      <c r="H195" s="167"/>
      <c r="I195" s="167"/>
      <c r="J195" s="167"/>
      <c r="K195" s="129"/>
      <c r="L195" s="17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29"/>
    </row>
    <row r="196">
      <c r="A196" s="129"/>
      <c r="B196" s="129"/>
      <c r="C196" s="168"/>
      <c r="D196" s="168"/>
      <c r="E196" s="168"/>
      <c r="F196" s="168"/>
      <c r="G196" s="168"/>
      <c r="H196" s="167"/>
      <c r="I196" s="167"/>
      <c r="J196" s="167"/>
      <c r="K196" s="129"/>
      <c r="L196" s="17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</row>
    <row r="197">
      <c r="A197" s="129"/>
      <c r="B197" s="129"/>
      <c r="C197" s="129"/>
      <c r="D197" s="129"/>
      <c r="E197" s="129"/>
      <c r="F197" s="129"/>
      <c r="G197" s="129"/>
      <c r="H197" s="167"/>
      <c r="I197" s="167"/>
      <c r="J197" s="167"/>
      <c r="K197" s="129"/>
      <c r="L197" s="17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</row>
    <row r="198">
      <c r="A198" s="129"/>
      <c r="B198" s="129"/>
      <c r="C198" s="129"/>
      <c r="D198" s="129"/>
      <c r="E198" s="129"/>
      <c r="F198" s="129"/>
      <c r="G198" s="129"/>
      <c r="H198" s="167"/>
      <c r="I198" s="167"/>
      <c r="J198" s="167"/>
      <c r="K198" s="129"/>
      <c r="L198" s="17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29"/>
    </row>
    <row r="199" ht="25.5" customHeight="1">
      <c r="A199" s="129"/>
      <c r="B199" s="129"/>
      <c r="C199" s="134"/>
      <c r="D199" s="172" t="s">
        <v>136</v>
      </c>
      <c r="E199" s="24"/>
      <c r="F199" s="134"/>
      <c r="G199" s="133"/>
      <c r="H199" s="133"/>
      <c r="I199" s="133"/>
      <c r="J199" s="133"/>
      <c r="K199" s="129"/>
      <c r="L199" s="17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</row>
    <row r="200">
      <c r="A200" s="129"/>
      <c r="B200" s="129"/>
      <c r="C200" s="145" t="s">
        <v>112</v>
      </c>
      <c r="D200" s="145" t="s">
        <v>113</v>
      </c>
      <c r="E200" s="145" t="s">
        <v>114</v>
      </c>
      <c r="F200" s="145" t="s">
        <v>115</v>
      </c>
      <c r="G200" s="133"/>
      <c r="H200" s="147"/>
      <c r="I200" s="148" t="s">
        <v>116</v>
      </c>
      <c r="J200" s="24"/>
      <c r="K200" s="129"/>
      <c r="L200" s="17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</row>
    <row r="201">
      <c r="A201" s="129"/>
      <c r="B201" s="129"/>
      <c r="C201" s="152">
        <v>45483.0</v>
      </c>
      <c r="D201" s="153"/>
      <c r="E201" s="153"/>
      <c r="F201" s="153"/>
      <c r="G201" s="133"/>
      <c r="H201" s="154"/>
      <c r="I201" s="152" t="s">
        <v>118</v>
      </c>
      <c r="J201" s="155">
        <v>1910.0</v>
      </c>
      <c r="K201" s="129"/>
      <c r="L201" s="17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</row>
    <row r="202">
      <c r="A202" s="129"/>
      <c r="B202" s="129"/>
      <c r="C202" s="152">
        <v>45484.0</v>
      </c>
      <c r="D202" s="153"/>
      <c r="E202" s="153"/>
      <c r="F202" s="153"/>
      <c r="G202" s="133"/>
      <c r="H202" s="154"/>
      <c r="I202" s="152" t="s">
        <v>119</v>
      </c>
      <c r="J202" s="155">
        <v>170.0</v>
      </c>
      <c r="K202" s="129"/>
      <c r="L202" s="17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</row>
    <row r="203">
      <c r="A203" s="129"/>
      <c r="B203" s="129"/>
      <c r="C203" s="152">
        <v>45485.0</v>
      </c>
      <c r="D203" s="153"/>
      <c r="E203" s="153"/>
      <c r="F203" s="153"/>
      <c r="G203" s="133"/>
      <c r="H203" s="154"/>
      <c r="I203" s="152" t="s">
        <v>120</v>
      </c>
      <c r="J203" s="155">
        <v>195.0</v>
      </c>
      <c r="K203" s="129"/>
      <c r="L203" s="17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</row>
    <row r="204">
      <c r="A204" s="129"/>
      <c r="B204" s="129"/>
      <c r="C204" s="152">
        <v>45486.0</v>
      </c>
      <c r="D204" s="153"/>
      <c r="E204" s="153"/>
      <c r="F204" s="153"/>
      <c r="G204" s="133"/>
      <c r="H204" s="154"/>
      <c r="I204" s="152" t="s">
        <v>121</v>
      </c>
      <c r="J204" s="155">
        <v>50.0</v>
      </c>
      <c r="K204" s="129"/>
      <c r="L204" s="17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</row>
    <row r="205">
      <c r="A205" s="129"/>
      <c r="B205" s="129"/>
      <c r="C205" s="152">
        <v>45487.0</v>
      </c>
      <c r="D205" s="153"/>
      <c r="E205" s="153"/>
      <c r="F205" s="153"/>
      <c r="G205" s="133"/>
      <c r="H205" s="133"/>
      <c r="I205" s="133"/>
      <c r="J205" s="133"/>
      <c r="K205" s="129"/>
      <c r="L205" s="17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</row>
    <row r="206">
      <c r="A206" s="129"/>
      <c r="B206" s="129"/>
      <c r="C206" s="152">
        <v>45488.0</v>
      </c>
      <c r="D206" s="163"/>
      <c r="E206" s="153"/>
      <c r="F206" s="153"/>
      <c r="G206" s="133"/>
      <c r="H206" s="133"/>
      <c r="I206" s="133"/>
      <c r="J206" s="133"/>
      <c r="K206" s="129"/>
      <c r="L206" s="17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</row>
    <row r="207">
      <c r="A207" s="129"/>
      <c r="B207" s="129"/>
      <c r="C207" s="152">
        <v>45489.0</v>
      </c>
      <c r="D207" s="163"/>
      <c r="E207" s="153"/>
      <c r="F207" s="163"/>
      <c r="G207" s="133"/>
      <c r="H207" s="133"/>
      <c r="I207" s="133"/>
      <c r="J207" s="133"/>
      <c r="K207" s="129"/>
      <c r="L207" s="17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</row>
    <row r="208">
      <c r="A208" s="129"/>
      <c r="B208" s="129"/>
      <c r="C208" s="164" t="s">
        <v>122</v>
      </c>
      <c r="D208" s="165" t="str">
        <f t="shared" ref="D208:F208" si="25">AVERAGE(D201:D207)</f>
        <v>#DIV/0!</v>
      </c>
      <c r="E208" s="165" t="str">
        <f t="shared" si="25"/>
        <v>#DIV/0!</v>
      </c>
      <c r="F208" s="165" t="str">
        <f t="shared" si="25"/>
        <v>#DIV/0!</v>
      </c>
      <c r="G208" s="133"/>
      <c r="H208" s="133"/>
      <c r="I208" s="133"/>
      <c r="J208" s="133"/>
      <c r="K208" s="129"/>
      <c r="L208" s="17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</row>
    <row r="209">
      <c r="A209" s="129"/>
      <c r="B209" s="129"/>
      <c r="C209" s="134"/>
      <c r="D209" s="134"/>
      <c r="E209" s="134"/>
      <c r="F209" s="134"/>
      <c r="G209" s="133"/>
      <c r="H209" s="133"/>
      <c r="I209" s="133"/>
      <c r="J209" s="133"/>
      <c r="K209" s="129"/>
      <c r="L209" s="17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</row>
    <row r="210">
      <c r="A210" s="129"/>
      <c r="B210" s="129"/>
      <c r="C210" s="148" t="s">
        <v>123</v>
      </c>
      <c r="D210" s="38"/>
      <c r="E210" s="38"/>
      <c r="F210" s="38"/>
      <c r="G210" s="24"/>
      <c r="H210" s="167"/>
      <c r="I210" s="167"/>
      <c r="J210" s="167"/>
      <c r="K210" s="129"/>
      <c r="L210" s="17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29"/>
    </row>
    <row r="211">
      <c r="A211" s="129"/>
      <c r="B211" s="129"/>
      <c r="C211" s="152" t="s">
        <v>107</v>
      </c>
      <c r="D211" s="152" t="s">
        <v>124</v>
      </c>
      <c r="E211" s="152" t="s">
        <v>109</v>
      </c>
      <c r="F211" s="152" t="s">
        <v>110</v>
      </c>
      <c r="G211" s="152" t="s">
        <v>111</v>
      </c>
      <c r="H211" s="167"/>
      <c r="I211" s="167"/>
      <c r="J211" s="167"/>
      <c r="K211" s="129"/>
      <c r="L211" s="17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29"/>
    </row>
    <row r="212">
      <c r="A212" s="129"/>
      <c r="B212" s="129"/>
      <c r="C212" s="168"/>
      <c r="D212" s="168"/>
      <c r="E212" s="168"/>
      <c r="F212" s="168"/>
      <c r="G212" s="168"/>
      <c r="H212" s="167"/>
      <c r="I212" s="167"/>
      <c r="J212" s="167"/>
      <c r="K212" s="129"/>
      <c r="L212" s="17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29"/>
    </row>
    <row r="213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7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</row>
    <row r="214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7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29"/>
    </row>
    <row r="215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7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29"/>
    </row>
    <row r="216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7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29"/>
    </row>
    <row r="217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7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29"/>
    </row>
    <row r="218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7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29"/>
    </row>
    <row r="219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7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29"/>
    </row>
    <row r="220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7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29"/>
    </row>
    <row r="22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7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29"/>
    </row>
    <row r="222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7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29"/>
    </row>
    <row r="223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7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29"/>
    </row>
    <row r="224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7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29"/>
    </row>
    <row r="225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7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29"/>
    </row>
    <row r="226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7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29"/>
    </row>
    <row r="227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7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29"/>
    </row>
    <row r="228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7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29"/>
    </row>
    <row r="229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7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</row>
    <row r="230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7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29"/>
    </row>
    <row r="23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7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29"/>
    </row>
    <row r="232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7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29"/>
    </row>
    <row r="233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7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29"/>
    </row>
    <row r="234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7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</row>
    <row r="235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7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</row>
    <row r="236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7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</row>
    <row r="237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7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</row>
    <row r="238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7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</row>
    <row r="239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7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</row>
    <row r="240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7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</row>
    <row r="24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7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</row>
    <row r="242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7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</row>
    <row r="243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7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</row>
    <row r="244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7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</row>
    <row r="245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7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</row>
    <row r="246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7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</row>
    <row r="247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7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</row>
    <row r="248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7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</row>
    <row r="249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7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</row>
    <row r="250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7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</row>
    <row r="25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7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</row>
    <row r="252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7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</row>
    <row r="253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7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</row>
    <row r="254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7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</row>
    <row r="255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7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</row>
    <row r="256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7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</row>
    <row r="257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7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</row>
    <row r="258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7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</row>
    <row r="259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7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</row>
    <row r="260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7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</row>
    <row r="26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7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</row>
    <row r="262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7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</row>
    <row r="263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7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</row>
    <row r="264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7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</row>
    <row r="265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7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</row>
    <row r="266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7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</row>
    <row r="267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7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</row>
    <row r="268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7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</row>
    <row r="269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7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  <c r="AE269" s="129"/>
      <c r="AF269" s="129"/>
      <c r="AG269" s="129"/>
    </row>
    <row r="270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7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</row>
    <row r="27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7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</row>
    <row r="272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7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</row>
    <row r="273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7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</row>
    <row r="274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7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</row>
    <row r="275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7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</row>
    <row r="276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7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</row>
    <row r="277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7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</row>
    <row r="278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7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</row>
    <row r="279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7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</row>
    <row r="280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7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</row>
    <row r="28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7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</row>
    <row r="282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7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</row>
    <row r="283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7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</row>
    <row r="284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7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</row>
    <row r="285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7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</row>
    <row r="286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7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</row>
    <row r="287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7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</row>
    <row r="288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7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</row>
    <row r="289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7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</row>
    <row r="290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7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</row>
    <row r="29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7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</row>
    <row r="292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7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</row>
    <row r="293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7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</row>
    <row r="294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7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</row>
    <row r="295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7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</row>
    <row r="296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7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</row>
    <row r="297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7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</row>
    <row r="298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7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</row>
    <row r="299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7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</row>
    <row r="300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7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</row>
    <row r="30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7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</row>
    <row r="302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7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</row>
    <row r="303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7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</row>
    <row r="304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7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</row>
    <row r="305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7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</row>
    <row r="306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7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</row>
    <row r="307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7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</row>
    <row r="308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7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</row>
    <row r="309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7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</row>
    <row r="310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7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</row>
    <row r="31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7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</row>
    <row r="312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7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</row>
    <row r="313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7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</row>
    <row r="314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7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</row>
    <row r="315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7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</row>
    <row r="316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7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</row>
    <row r="317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7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</row>
    <row r="318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7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</row>
    <row r="319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7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</row>
    <row r="320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7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</row>
    <row r="32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7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</row>
    <row r="322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7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</row>
    <row r="323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7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</row>
    <row r="324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7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</row>
    <row r="325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7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  <c r="AE325" s="129"/>
      <c r="AF325" s="129"/>
      <c r="AG325" s="129"/>
    </row>
    <row r="326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7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  <c r="AE326" s="129"/>
      <c r="AF326" s="129"/>
      <c r="AG326" s="129"/>
    </row>
    <row r="327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7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  <c r="AD327" s="129"/>
      <c r="AE327" s="129"/>
      <c r="AF327" s="129"/>
      <c r="AG327" s="129"/>
    </row>
    <row r="328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7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  <c r="AD328" s="129"/>
      <c r="AE328" s="129"/>
      <c r="AF328" s="129"/>
      <c r="AG328" s="129"/>
    </row>
    <row r="329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7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  <c r="AE329" s="129"/>
      <c r="AF329" s="129"/>
      <c r="AG329" s="129"/>
    </row>
    <row r="330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7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  <c r="AD330" s="129"/>
      <c r="AE330" s="129"/>
      <c r="AF330" s="129"/>
      <c r="AG330" s="129"/>
    </row>
    <row r="33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7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  <c r="AD331" s="129"/>
      <c r="AE331" s="129"/>
      <c r="AF331" s="129"/>
      <c r="AG331" s="129"/>
    </row>
    <row r="332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7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  <c r="AD332" s="129"/>
      <c r="AE332" s="129"/>
      <c r="AF332" s="129"/>
      <c r="AG332" s="129"/>
    </row>
    <row r="333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7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  <c r="AD333" s="129"/>
      <c r="AE333" s="129"/>
      <c r="AF333" s="129"/>
      <c r="AG333" s="129"/>
    </row>
    <row r="334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7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  <c r="AD334" s="129"/>
      <c r="AE334" s="129"/>
      <c r="AF334" s="129"/>
      <c r="AG334" s="129"/>
    </row>
    <row r="335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7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  <c r="AD335" s="129"/>
      <c r="AE335" s="129"/>
      <c r="AF335" s="129"/>
      <c r="AG335" s="129"/>
    </row>
    <row r="336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7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  <c r="AD336" s="129"/>
      <c r="AE336" s="129"/>
      <c r="AF336" s="129"/>
      <c r="AG336" s="129"/>
    </row>
    <row r="337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7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  <c r="AD337" s="129"/>
      <c r="AE337" s="129"/>
      <c r="AF337" s="129"/>
      <c r="AG337" s="129"/>
    </row>
    <row r="338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7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  <c r="AD338" s="129"/>
      <c r="AE338" s="129"/>
      <c r="AF338" s="129"/>
      <c r="AG338" s="129"/>
    </row>
    <row r="339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7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  <c r="AD339" s="129"/>
      <c r="AE339" s="129"/>
      <c r="AF339" s="129"/>
      <c r="AG339" s="129"/>
    </row>
    <row r="340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7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  <c r="AD340" s="129"/>
      <c r="AE340" s="129"/>
      <c r="AF340" s="129"/>
      <c r="AG340" s="129"/>
    </row>
    <row r="34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7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  <c r="AD341" s="129"/>
      <c r="AE341" s="129"/>
      <c r="AF341" s="129"/>
      <c r="AG341" s="129"/>
    </row>
    <row r="342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7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  <c r="AD342" s="129"/>
      <c r="AE342" s="129"/>
      <c r="AF342" s="129"/>
      <c r="AG342" s="129"/>
    </row>
    <row r="343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7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  <c r="AD343" s="129"/>
      <c r="AE343" s="129"/>
      <c r="AF343" s="129"/>
      <c r="AG343" s="129"/>
    </row>
    <row r="344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7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  <c r="AD344" s="129"/>
      <c r="AE344" s="129"/>
      <c r="AF344" s="129"/>
      <c r="AG344" s="129"/>
    </row>
    <row r="345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7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  <c r="AD345" s="129"/>
      <c r="AE345" s="129"/>
      <c r="AF345" s="129"/>
      <c r="AG345" s="129"/>
    </row>
    <row r="346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7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  <c r="AD346" s="129"/>
      <c r="AE346" s="129"/>
      <c r="AF346" s="129"/>
      <c r="AG346" s="129"/>
    </row>
    <row r="347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7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  <c r="AD347" s="129"/>
      <c r="AE347" s="129"/>
      <c r="AF347" s="129"/>
      <c r="AG347" s="129"/>
    </row>
    <row r="348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7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</row>
    <row r="349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7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</row>
    <row r="350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7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  <c r="AD350" s="129"/>
      <c r="AE350" s="129"/>
      <c r="AF350" s="129"/>
      <c r="AG350" s="129"/>
    </row>
    <row r="35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7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</row>
    <row r="352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7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</row>
    <row r="353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7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</row>
    <row r="354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7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</row>
    <row r="355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7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</row>
    <row r="356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7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</row>
    <row r="357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7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</row>
    <row r="358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7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</row>
    <row r="359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7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</row>
    <row r="360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7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</row>
    <row r="36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7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</row>
    <row r="362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7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  <c r="AE362" s="129"/>
      <c r="AF362" s="129"/>
      <c r="AG362" s="129"/>
    </row>
    <row r="363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7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  <c r="AE363" s="129"/>
      <c r="AF363" s="129"/>
      <c r="AG363" s="129"/>
    </row>
    <row r="364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7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  <c r="AE364" s="129"/>
      <c r="AF364" s="129"/>
      <c r="AG364" s="129"/>
    </row>
    <row r="365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7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  <c r="AE365" s="129"/>
      <c r="AF365" s="129"/>
      <c r="AG365" s="129"/>
    </row>
    <row r="366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7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  <c r="AE366" s="129"/>
      <c r="AF366" s="129"/>
      <c r="AG366" s="129"/>
    </row>
    <row r="367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7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  <c r="AE367" s="129"/>
      <c r="AF367" s="129"/>
      <c r="AG367" s="129"/>
    </row>
    <row r="368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7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</row>
    <row r="369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7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  <c r="AE369" s="129"/>
      <c r="AF369" s="129"/>
      <c r="AG369" s="129"/>
    </row>
    <row r="370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7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  <c r="AE370" s="129"/>
      <c r="AF370" s="129"/>
      <c r="AG370" s="129"/>
    </row>
    <row r="37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7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  <c r="AE371" s="129"/>
      <c r="AF371" s="129"/>
      <c r="AG371" s="129"/>
    </row>
    <row r="372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7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  <c r="AE372" s="129"/>
      <c r="AF372" s="129"/>
      <c r="AG372" s="129"/>
    </row>
    <row r="373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7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</row>
    <row r="374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7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</row>
    <row r="375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7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</row>
    <row r="376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7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</row>
    <row r="377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7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  <c r="AE377" s="129"/>
      <c r="AF377" s="129"/>
      <c r="AG377" s="129"/>
    </row>
    <row r="378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7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  <c r="AE378" s="129"/>
      <c r="AF378" s="129"/>
      <c r="AG378" s="129"/>
    </row>
    <row r="379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7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  <c r="AE379" s="129"/>
      <c r="AF379" s="129"/>
      <c r="AG379" s="129"/>
    </row>
    <row r="380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7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  <c r="AE380" s="129"/>
      <c r="AF380" s="129"/>
      <c r="AG380" s="129"/>
    </row>
    <row r="38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7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  <c r="AE381" s="129"/>
      <c r="AF381" s="129"/>
      <c r="AG381" s="129"/>
    </row>
    <row r="382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7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  <c r="AE382" s="129"/>
      <c r="AF382" s="129"/>
      <c r="AG382" s="129"/>
    </row>
    <row r="383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7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  <c r="AE383" s="129"/>
      <c r="AF383" s="129"/>
      <c r="AG383" s="129"/>
    </row>
    <row r="384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7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  <c r="AE384" s="129"/>
      <c r="AF384" s="129"/>
      <c r="AG384" s="129"/>
    </row>
    <row r="385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7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  <c r="AE385" s="129"/>
      <c r="AF385" s="129"/>
      <c r="AG385" s="129"/>
    </row>
    <row r="386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7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</row>
    <row r="387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7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</row>
    <row r="388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7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  <c r="AE388" s="129"/>
      <c r="AF388" s="129"/>
      <c r="AG388" s="129"/>
    </row>
    <row r="389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7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</row>
    <row r="390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7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</row>
    <row r="39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7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</row>
    <row r="392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7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</row>
    <row r="393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7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</row>
    <row r="394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7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</row>
    <row r="395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7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</row>
    <row r="396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7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</row>
    <row r="397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7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</row>
    <row r="398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7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</row>
    <row r="399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7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</row>
    <row r="400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7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  <c r="AE400" s="129"/>
      <c r="AF400" s="129"/>
      <c r="AG400" s="129"/>
    </row>
    <row r="40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7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  <c r="AE401" s="129"/>
      <c r="AF401" s="129"/>
      <c r="AG401" s="129"/>
    </row>
    <row r="402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7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  <c r="AE402" s="129"/>
      <c r="AF402" s="129"/>
      <c r="AG402" s="129"/>
    </row>
    <row r="403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7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  <c r="AE403" s="129"/>
      <c r="AF403" s="129"/>
      <c r="AG403" s="129"/>
    </row>
    <row r="404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7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  <c r="AD404" s="129"/>
      <c r="AE404" s="129"/>
      <c r="AF404" s="129"/>
      <c r="AG404" s="129"/>
    </row>
    <row r="405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7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129"/>
    </row>
    <row r="406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7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29"/>
      <c r="AG406" s="129"/>
    </row>
    <row r="407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7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  <c r="AE407" s="129"/>
      <c r="AF407" s="129"/>
      <c r="AG407" s="129"/>
    </row>
    <row r="408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7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  <c r="AE408" s="129"/>
      <c r="AF408" s="129"/>
      <c r="AG408" s="129"/>
    </row>
    <row r="409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7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  <c r="AE409" s="129"/>
      <c r="AF409" s="129"/>
      <c r="AG409" s="129"/>
    </row>
    <row r="410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7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  <c r="AE410" s="129"/>
      <c r="AF410" s="129"/>
      <c r="AG410" s="129"/>
    </row>
    <row r="41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7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  <c r="AD411" s="129"/>
      <c r="AE411" s="129"/>
      <c r="AF411" s="129"/>
      <c r="AG411" s="129"/>
    </row>
    <row r="412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7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  <c r="AE412" s="129"/>
      <c r="AF412" s="129"/>
      <c r="AG412" s="129"/>
    </row>
    <row r="413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7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  <c r="AE413" s="129"/>
      <c r="AF413" s="129"/>
      <c r="AG413" s="129"/>
    </row>
    <row r="414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7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</row>
    <row r="415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7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  <c r="AE415" s="129"/>
      <c r="AF415" s="129"/>
      <c r="AG415" s="129"/>
    </row>
    <row r="416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7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  <c r="AE416" s="129"/>
      <c r="AF416" s="129"/>
      <c r="AG416" s="129"/>
    </row>
    <row r="417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7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  <c r="AE417" s="129"/>
      <c r="AF417" s="129"/>
      <c r="AG417" s="129"/>
    </row>
    <row r="418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7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</row>
    <row r="419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7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  <c r="AE419" s="129"/>
      <c r="AF419" s="129"/>
      <c r="AG419" s="129"/>
    </row>
    <row r="420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7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  <c r="AE420" s="129"/>
      <c r="AF420" s="129"/>
      <c r="AG420" s="129"/>
    </row>
    <row r="42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7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  <c r="AE421" s="129"/>
      <c r="AF421" s="129"/>
      <c r="AG421" s="129"/>
    </row>
    <row r="422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7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</row>
    <row r="423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7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  <c r="AE423" s="129"/>
      <c r="AF423" s="129"/>
      <c r="AG423" s="129"/>
    </row>
    <row r="424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7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</row>
    <row r="425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7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</row>
    <row r="426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7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  <c r="AE426" s="129"/>
      <c r="AF426" s="129"/>
      <c r="AG426" s="129"/>
    </row>
    <row r="427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7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</row>
    <row r="428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7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</row>
    <row r="429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7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</row>
    <row r="430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7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</row>
    <row r="43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7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</row>
    <row r="432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7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</row>
    <row r="433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7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</row>
    <row r="434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7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</row>
    <row r="435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7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</row>
    <row r="436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7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</row>
    <row r="437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7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</row>
    <row r="438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7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</row>
    <row r="439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7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</row>
    <row r="440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7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</row>
    <row r="44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7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</row>
    <row r="442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7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</row>
    <row r="443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7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</row>
    <row r="444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7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</row>
    <row r="445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7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</row>
    <row r="446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7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</row>
    <row r="447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7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</row>
    <row r="448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7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</row>
    <row r="449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7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</row>
    <row r="450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7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</row>
    <row r="45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7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</row>
    <row r="452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7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</row>
    <row r="453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7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</row>
    <row r="454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7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</row>
    <row r="455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7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</row>
    <row r="456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7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  <c r="AE456" s="129"/>
      <c r="AF456" s="129"/>
      <c r="AG456" s="129"/>
    </row>
    <row r="457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7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</row>
    <row r="458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7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</row>
    <row r="459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7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  <c r="AE459" s="129"/>
      <c r="AF459" s="129"/>
      <c r="AG459" s="129"/>
    </row>
    <row r="460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7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  <c r="AE460" s="129"/>
      <c r="AF460" s="129"/>
      <c r="AG460" s="129"/>
    </row>
    <row r="46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7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  <c r="AE461" s="129"/>
      <c r="AF461" s="129"/>
      <c r="AG461" s="129"/>
    </row>
    <row r="462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7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</row>
    <row r="463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7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</row>
    <row r="464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7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</row>
    <row r="465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7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</row>
    <row r="466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7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</row>
    <row r="467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7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</row>
    <row r="468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7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</row>
    <row r="469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7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</row>
    <row r="470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7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</row>
    <row r="47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7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</row>
    <row r="472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7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</row>
    <row r="473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7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</row>
    <row r="474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7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</row>
    <row r="475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7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</row>
    <row r="476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7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  <c r="AE476" s="129"/>
      <c r="AF476" s="129"/>
      <c r="AG476" s="129"/>
    </row>
    <row r="477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7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</row>
    <row r="478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7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  <c r="AE478" s="129"/>
      <c r="AF478" s="129"/>
      <c r="AG478" s="129"/>
    </row>
    <row r="479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7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  <c r="AE479" s="129"/>
      <c r="AF479" s="129"/>
      <c r="AG479" s="129"/>
    </row>
    <row r="480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7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  <c r="AE480" s="129"/>
      <c r="AF480" s="129"/>
      <c r="AG480" s="129"/>
    </row>
    <row r="48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7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</row>
    <row r="482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7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</row>
    <row r="483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7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</row>
    <row r="484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7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</row>
    <row r="485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7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</row>
    <row r="486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7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</row>
    <row r="487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7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</row>
    <row r="488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7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</row>
    <row r="489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7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</row>
    <row r="490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7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</row>
    <row r="49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7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</row>
    <row r="492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7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</row>
    <row r="493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7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</row>
    <row r="494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7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</row>
    <row r="495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7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</row>
    <row r="496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7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</row>
    <row r="497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7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</row>
    <row r="498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7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</row>
    <row r="499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7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</row>
    <row r="500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7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</row>
    <row r="50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7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</row>
    <row r="502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7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</row>
    <row r="503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7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</row>
    <row r="504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7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</row>
    <row r="505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7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</row>
    <row r="506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7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</row>
    <row r="507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7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</row>
    <row r="508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7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</row>
    <row r="509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7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</row>
    <row r="510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7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</row>
    <row r="51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7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</row>
    <row r="512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7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</row>
    <row r="513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7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</row>
    <row r="514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7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</row>
    <row r="515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7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</row>
    <row r="516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7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</row>
    <row r="517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7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</row>
    <row r="518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7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</row>
    <row r="519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7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</row>
    <row r="520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7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</row>
    <row r="52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7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</row>
    <row r="522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7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</row>
    <row r="523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7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</row>
    <row r="524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7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</row>
    <row r="525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7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</row>
    <row r="526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7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</row>
    <row r="527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7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</row>
    <row r="528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7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</row>
    <row r="529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7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</row>
    <row r="530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7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</row>
    <row r="53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7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</row>
    <row r="532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7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</row>
    <row r="533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7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</row>
    <row r="534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7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</row>
    <row r="535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7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</row>
    <row r="536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7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</row>
    <row r="537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7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</row>
    <row r="538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7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</row>
    <row r="539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7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</row>
    <row r="540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7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</row>
    <row r="54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7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</row>
    <row r="542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7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</row>
    <row r="543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7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</row>
    <row r="544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7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</row>
    <row r="545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7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</row>
    <row r="546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7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</row>
    <row r="547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7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</row>
    <row r="548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7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</row>
    <row r="549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7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</row>
    <row r="550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7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</row>
    <row r="55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7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</row>
    <row r="552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7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</row>
    <row r="553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7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</row>
    <row r="554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7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</row>
    <row r="555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7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</row>
    <row r="556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7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</row>
    <row r="557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7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</row>
    <row r="558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7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</row>
    <row r="559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7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</row>
    <row r="560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7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</row>
    <row r="56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7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</row>
    <row r="562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7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</row>
    <row r="563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7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</row>
    <row r="564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7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</row>
    <row r="565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7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</row>
    <row r="566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7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</row>
    <row r="567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7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</row>
    <row r="568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7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</row>
    <row r="569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7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</row>
    <row r="570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7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</row>
    <row r="57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7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</row>
    <row r="572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7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</row>
    <row r="573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7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</row>
    <row r="574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7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</row>
    <row r="575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7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</row>
    <row r="576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7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</row>
    <row r="577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7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</row>
    <row r="578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7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</row>
    <row r="579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7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</row>
    <row r="580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7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</row>
    <row r="58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7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</row>
    <row r="582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7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</row>
    <row r="583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7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</row>
    <row r="584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7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</row>
    <row r="585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7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</row>
    <row r="586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7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</row>
    <row r="587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7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</row>
    <row r="588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7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</row>
    <row r="589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7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</row>
    <row r="590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7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</row>
    <row r="59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7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</row>
    <row r="592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7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</row>
    <row r="593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7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</row>
    <row r="594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7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</row>
    <row r="595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7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</row>
    <row r="596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7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</row>
    <row r="597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7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</row>
    <row r="598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7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</row>
    <row r="599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7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</row>
    <row r="600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7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</row>
    <row r="60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7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</row>
    <row r="602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7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</row>
    <row r="603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7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</row>
    <row r="604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7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</row>
    <row r="605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7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</row>
    <row r="606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7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</row>
    <row r="607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7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</row>
    <row r="608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7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</row>
    <row r="609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7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</row>
    <row r="610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7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</row>
    <row r="61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7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</row>
    <row r="612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7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</row>
    <row r="613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7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</row>
    <row r="614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7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</row>
    <row r="615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7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</row>
    <row r="616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7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</row>
    <row r="617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7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</row>
    <row r="618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7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</row>
    <row r="619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7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</row>
    <row r="620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7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</row>
    <row r="62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7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</row>
    <row r="622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7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</row>
    <row r="623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7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</row>
    <row r="624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7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</row>
    <row r="625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7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</row>
    <row r="626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7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</row>
    <row r="627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7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</row>
    <row r="628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7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</row>
    <row r="629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7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</row>
    <row r="630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7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</row>
    <row r="63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7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</row>
    <row r="632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7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</row>
    <row r="633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7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</row>
    <row r="634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7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</row>
    <row r="635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7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</row>
    <row r="636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7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</row>
    <row r="637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7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</row>
    <row r="638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7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</row>
    <row r="639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7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</row>
    <row r="640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7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</row>
    <row r="64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7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</row>
    <row r="642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7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</row>
    <row r="643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7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</row>
    <row r="644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7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</row>
    <row r="645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7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</row>
    <row r="646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7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</row>
    <row r="647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7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</row>
    <row r="648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7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</row>
    <row r="649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7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</row>
    <row r="650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7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</row>
    <row r="65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7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</row>
    <row r="652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7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</row>
    <row r="653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7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</row>
    <row r="654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7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</row>
    <row r="655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7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</row>
    <row r="656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7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</row>
    <row r="657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7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</row>
    <row r="658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7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</row>
    <row r="659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7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</row>
    <row r="660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7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</row>
    <row r="66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7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</row>
    <row r="662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7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</row>
    <row r="663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7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</row>
    <row r="664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7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</row>
    <row r="665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7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</row>
    <row r="666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7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</row>
    <row r="667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7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  <c r="AE667" s="129"/>
      <c r="AF667" s="129"/>
      <c r="AG667" s="129"/>
    </row>
    <row r="668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7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</row>
    <row r="669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7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</row>
    <row r="670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7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</row>
    <row r="67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7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</row>
    <row r="672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7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</row>
    <row r="673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7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</row>
    <row r="674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7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</row>
    <row r="675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7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</row>
    <row r="676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7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</row>
    <row r="677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7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</row>
    <row r="678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7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</row>
    <row r="679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7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</row>
    <row r="680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7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</row>
    <row r="68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7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</row>
    <row r="682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7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</row>
    <row r="683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7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</row>
    <row r="684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7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</row>
    <row r="685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7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</row>
    <row r="686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7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</row>
    <row r="687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7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</row>
    <row r="688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7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</row>
    <row r="689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7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</row>
    <row r="690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7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</row>
    <row r="69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7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</row>
    <row r="692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7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</row>
    <row r="693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7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</row>
    <row r="694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7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</row>
    <row r="695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7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</row>
    <row r="696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7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</row>
    <row r="697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7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</row>
    <row r="698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7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</row>
    <row r="699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7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</row>
    <row r="700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7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</row>
    <row r="70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7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</row>
    <row r="702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7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</row>
    <row r="703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7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</row>
    <row r="704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7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</row>
    <row r="705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7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</row>
    <row r="706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7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</row>
    <row r="707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7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</row>
    <row r="708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7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</row>
    <row r="709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7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</row>
    <row r="710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7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</row>
    <row r="71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7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</row>
    <row r="712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7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</row>
    <row r="713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7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</row>
    <row r="714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7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</row>
    <row r="715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7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</row>
    <row r="716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7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</row>
    <row r="717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7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</row>
    <row r="718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7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</row>
    <row r="719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7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</row>
    <row r="720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7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</row>
    <row r="72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7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</row>
    <row r="722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7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</row>
    <row r="723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7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</row>
    <row r="724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7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</row>
    <row r="725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7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</row>
    <row r="726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7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</row>
    <row r="727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7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</row>
    <row r="728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7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</row>
    <row r="729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7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</row>
    <row r="730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7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</row>
    <row r="73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7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</row>
    <row r="732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7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</row>
    <row r="733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7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</row>
    <row r="734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7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</row>
    <row r="735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7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</row>
    <row r="736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7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</row>
    <row r="737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7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</row>
    <row r="738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7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</row>
    <row r="739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7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</row>
    <row r="740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7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</row>
    <row r="74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7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</row>
    <row r="742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7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</row>
    <row r="743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7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</row>
    <row r="744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7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</row>
    <row r="745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7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</row>
    <row r="746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7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</row>
    <row r="747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7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</row>
    <row r="748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7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</row>
    <row r="749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7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</row>
    <row r="750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7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</row>
    <row r="75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7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</row>
    <row r="752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7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</row>
    <row r="753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7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</row>
    <row r="754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7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</row>
    <row r="755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7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</row>
    <row r="756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7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</row>
    <row r="757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7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</row>
    <row r="758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7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</row>
    <row r="759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7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</row>
    <row r="760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7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</row>
    <row r="76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7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</row>
    <row r="762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7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</row>
    <row r="763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7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</row>
    <row r="764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7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</row>
    <row r="765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7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</row>
    <row r="766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7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</row>
    <row r="767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7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</row>
    <row r="768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7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</row>
    <row r="769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7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</row>
    <row r="770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7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</row>
    <row r="77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7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</row>
    <row r="772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7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</row>
    <row r="773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7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</row>
    <row r="774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7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</row>
    <row r="775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7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</row>
    <row r="776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7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</row>
    <row r="777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7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</row>
    <row r="778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7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</row>
    <row r="779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7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</row>
    <row r="780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7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</row>
    <row r="78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7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</row>
    <row r="782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7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</row>
    <row r="783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7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</row>
    <row r="784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7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  <c r="AE784" s="129"/>
      <c r="AF784" s="129"/>
      <c r="AG784" s="129"/>
    </row>
    <row r="785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7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</row>
    <row r="786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7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</row>
    <row r="787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7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</row>
    <row r="788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7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</row>
    <row r="789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7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  <c r="AE789" s="129"/>
      <c r="AF789" s="129"/>
      <c r="AG789" s="129"/>
    </row>
    <row r="790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7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</row>
    <row r="79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7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</row>
    <row r="792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7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</row>
    <row r="793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7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</row>
    <row r="794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7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</row>
    <row r="795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7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</row>
    <row r="796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7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</row>
    <row r="797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7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</row>
    <row r="798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7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</row>
    <row r="799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7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</row>
    <row r="800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7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</row>
    <row r="80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7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</row>
    <row r="802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7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</row>
    <row r="803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7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</row>
    <row r="804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7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</row>
    <row r="805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7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</row>
    <row r="806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7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</row>
    <row r="807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7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</row>
    <row r="808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7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</row>
    <row r="809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7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</row>
    <row r="810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7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</row>
    <row r="81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7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</row>
    <row r="812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7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</row>
    <row r="813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7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</row>
    <row r="814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7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</row>
    <row r="815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7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</row>
    <row r="816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7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</row>
    <row r="817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7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</row>
    <row r="818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7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</row>
    <row r="819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7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</row>
    <row r="820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7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</row>
    <row r="82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7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</row>
    <row r="822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7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</row>
    <row r="823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7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</row>
    <row r="824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7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</row>
    <row r="825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7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</row>
    <row r="826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7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</row>
    <row r="827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7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</row>
    <row r="828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7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</row>
    <row r="829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7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</row>
    <row r="830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7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</row>
    <row r="83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7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</row>
    <row r="832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7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</row>
    <row r="833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7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</row>
    <row r="834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7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</row>
    <row r="835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7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</row>
    <row r="836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7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</row>
    <row r="837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7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</row>
    <row r="838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7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</row>
    <row r="839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7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</row>
    <row r="840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7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</row>
    <row r="84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7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</row>
    <row r="842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7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</row>
    <row r="843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7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</row>
    <row r="844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7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</row>
    <row r="845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7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</row>
    <row r="846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7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</row>
    <row r="847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7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</row>
    <row r="848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7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</row>
    <row r="849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7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</row>
    <row r="850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7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</row>
    <row r="85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7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</row>
    <row r="852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7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</row>
    <row r="853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7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</row>
    <row r="854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7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</row>
    <row r="855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7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</row>
    <row r="856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7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  <c r="AE856" s="129"/>
      <c r="AF856" s="129"/>
      <c r="AG856" s="129"/>
    </row>
    <row r="857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7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  <c r="AE857" s="129"/>
      <c r="AF857" s="129"/>
      <c r="AG857" s="129"/>
    </row>
    <row r="858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7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  <c r="AE858" s="129"/>
      <c r="AF858" s="129"/>
      <c r="AG858" s="129"/>
    </row>
    <row r="859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7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  <c r="AE859" s="129"/>
      <c r="AF859" s="129"/>
      <c r="AG859" s="129"/>
    </row>
    <row r="860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7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  <c r="AE860" s="129"/>
      <c r="AF860" s="129"/>
      <c r="AG860" s="129"/>
    </row>
    <row r="86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7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  <c r="AE861" s="129"/>
      <c r="AF861" s="129"/>
      <c r="AG861" s="129"/>
    </row>
    <row r="862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7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  <c r="AE862" s="129"/>
      <c r="AF862" s="129"/>
      <c r="AG862" s="129"/>
    </row>
    <row r="863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7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  <c r="AE863" s="129"/>
      <c r="AF863" s="129"/>
      <c r="AG863" s="129"/>
    </row>
    <row r="864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7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  <c r="AE864" s="129"/>
      <c r="AF864" s="129"/>
      <c r="AG864" s="129"/>
    </row>
    <row r="865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7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  <c r="AE865" s="129"/>
      <c r="AF865" s="129"/>
      <c r="AG865" s="129"/>
    </row>
    <row r="866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7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  <c r="AE866" s="129"/>
      <c r="AF866" s="129"/>
      <c r="AG866" s="129"/>
    </row>
    <row r="867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7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  <c r="AE867" s="129"/>
      <c r="AF867" s="129"/>
      <c r="AG867" s="129"/>
    </row>
    <row r="868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7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  <c r="AE868" s="129"/>
      <c r="AF868" s="129"/>
      <c r="AG868" s="129"/>
    </row>
    <row r="869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7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/>
      <c r="AG869" s="129"/>
    </row>
    <row r="870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7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  <c r="AE870" s="129"/>
      <c r="AF870" s="129"/>
      <c r="AG870" s="129"/>
    </row>
    <row r="87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7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  <c r="AE871" s="129"/>
      <c r="AF871" s="129"/>
      <c r="AG871" s="129"/>
    </row>
    <row r="872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7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  <c r="AE872" s="129"/>
      <c r="AF872" s="129"/>
      <c r="AG872" s="129"/>
    </row>
    <row r="873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7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  <c r="AE873" s="129"/>
      <c r="AF873" s="129"/>
      <c r="AG873" s="129"/>
    </row>
    <row r="874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7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  <c r="AE874" s="129"/>
      <c r="AF874" s="129"/>
      <c r="AG874" s="129"/>
    </row>
    <row r="875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7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  <c r="AE875" s="129"/>
      <c r="AF875" s="129"/>
      <c r="AG875" s="129"/>
    </row>
    <row r="876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7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  <c r="AE876" s="129"/>
      <c r="AF876" s="129"/>
      <c r="AG876" s="129"/>
    </row>
    <row r="877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7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  <c r="AE877" s="129"/>
      <c r="AF877" s="129"/>
      <c r="AG877" s="129"/>
    </row>
    <row r="878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7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  <c r="AE878" s="129"/>
      <c r="AF878" s="129"/>
      <c r="AG878" s="129"/>
    </row>
    <row r="879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7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  <c r="AE879" s="129"/>
      <c r="AF879" s="129"/>
      <c r="AG879" s="129"/>
    </row>
    <row r="880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7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</row>
    <row r="88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7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</row>
    <row r="882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7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  <c r="AE882" s="129"/>
      <c r="AF882" s="129"/>
      <c r="AG882" s="129"/>
    </row>
    <row r="883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7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</row>
    <row r="884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7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</row>
    <row r="885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7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</row>
    <row r="886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7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</row>
    <row r="887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7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</row>
    <row r="888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7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</row>
    <row r="889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7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</row>
    <row r="890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7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</row>
    <row r="89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7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</row>
    <row r="892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7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</row>
    <row r="893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7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</row>
    <row r="894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7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  <c r="AE894" s="129"/>
      <c r="AF894" s="129"/>
      <c r="AG894" s="129"/>
    </row>
    <row r="895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7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  <c r="AE895" s="129"/>
      <c r="AF895" s="129"/>
      <c r="AG895" s="129"/>
    </row>
    <row r="896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7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  <c r="AE896" s="129"/>
      <c r="AF896" s="129"/>
      <c r="AG896" s="129"/>
    </row>
    <row r="897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7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  <c r="AE897" s="129"/>
      <c r="AF897" s="129"/>
      <c r="AG897" s="129"/>
    </row>
    <row r="898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7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  <c r="AE898" s="129"/>
      <c r="AF898" s="129"/>
      <c r="AG898" s="129"/>
    </row>
    <row r="899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7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  <c r="AE899" s="129"/>
      <c r="AF899" s="129"/>
      <c r="AG899" s="129"/>
    </row>
    <row r="900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7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  <c r="AE900" s="129"/>
      <c r="AF900" s="129"/>
      <c r="AG900" s="129"/>
    </row>
    <row r="90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7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  <c r="AE901" s="129"/>
      <c r="AF901" s="129"/>
      <c r="AG901" s="129"/>
    </row>
    <row r="902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7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  <c r="AE902" s="129"/>
      <c r="AF902" s="129"/>
      <c r="AG902" s="129"/>
    </row>
    <row r="903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7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  <c r="AE903" s="129"/>
      <c r="AF903" s="129"/>
      <c r="AG903" s="129"/>
    </row>
    <row r="904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7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  <c r="AE904" s="129"/>
      <c r="AF904" s="129"/>
      <c r="AG904" s="129"/>
    </row>
    <row r="905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7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  <c r="AE905" s="129"/>
      <c r="AF905" s="129"/>
      <c r="AG905" s="129"/>
    </row>
    <row r="906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7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  <c r="AE906" s="129"/>
      <c r="AF906" s="129"/>
      <c r="AG906" s="129"/>
    </row>
    <row r="907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7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  <c r="AE907" s="129"/>
      <c r="AF907" s="129"/>
      <c r="AG907" s="129"/>
    </row>
    <row r="908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7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  <c r="AE908" s="129"/>
      <c r="AF908" s="129"/>
      <c r="AG908" s="129"/>
    </row>
    <row r="909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7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  <c r="AE909" s="129"/>
      <c r="AF909" s="129"/>
      <c r="AG909" s="129"/>
    </row>
    <row r="910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7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  <c r="AE910" s="129"/>
      <c r="AF910" s="129"/>
      <c r="AG910" s="129"/>
    </row>
    <row r="91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7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  <c r="AE911" s="129"/>
      <c r="AF911" s="129"/>
      <c r="AG911" s="129"/>
    </row>
    <row r="912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7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  <c r="AE912" s="129"/>
      <c r="AF912" s="129"/>
      <c r="AG912" s="129"/>
    </row>
    <row r="913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7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  <c r="AE913" s="129"/>
      <c r="AF913" s="129"/>
      <c r="AG913" s="129"/>
    </row>
    <row r="914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7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  <c r="AE914" s="129"/>
      <c r="AF914" s="129"/>
      <c r="AG914" s="129"/>
    </row>
    <row r="915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7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  <c r="AE915" s="129"/>
      <c r="AF915" s="129"/>
      <c r="AG915" s="129"/>
    </row>
    <row r="916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7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  <c r="AE916" s="129"/>
      <c r="AF916" s="129"/>
      <c r="AG916" s="129"/>
    </row>
    <row r="917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7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  <c r="AE917" s="129"/>
      <c r="AF917" s="129"/>
      <c r="AG917" s="129"/>
    </row>
    <row r="918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7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</row>
    <row r="919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7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</row>
    <row r="920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7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  <c r="AE920" s="129"/>
      <c r="AF920" s="129"/>
      <c r="AG920" s="129"/>
    </row>
    <row r="92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7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</row>
    <row r="922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7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</row>
    <row r="923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7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</row>
    <row r="924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7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</row>
    <row r="925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7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</row>
    <row r="926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7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</row>
    <row r="927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7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</row>
    <row r="928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7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</row>
    <row r="929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7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</row>
    <row r="930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7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</row>
    <row r="93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7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</row>
    <row r="932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7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  <c r="AE932" s="129"/>
      <c r="AF932" s="129"/>
      <c r="AG932" s="129"/>
    </row>
    <row r="933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7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  <c r="AE933" s="129"/>
      <c r="AF933" s="129"/>
      <c r="AG933" s="129"/>
    </row>
    <row r="934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7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  <c r="AE934" s="129"/>
      <c r="AF934" s="129"/>
      <c r="AG934" s="129"/>
    </row>
    <row r="935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7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  <c r="AE935" s="129"/>
      <c r="AF935" s="129"/>
      <c r="AG935" s="129"/>
    </row>
    <row r="936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7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  <c r="AE936" s="129"/>
      <c r="AF936" s="129"/>
      <c r="AG936" s="129"/>
    </row>
    <row r="937">
      <c r="A937" s="129"/>
      <c r="B937" s="129"/>
      <c r="C937" s="174"/>
      <c r="D937" s="174"/>
      <c r="E937" s="174"/>
      <c r="F937" s="174"/>
      <c r="G937" s="174"/>
      <c r="H937" s="174"/>
      <c r="I937" s="174"/>
      <c r="J937" s="174"/>
      <c r="K937" s="174"/>
      <c r="L937" s="17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  <c r="AA937" s="174"/>
      <c r="AB937" s="174"/>
      <c r="AC937" s="174"/>
      <c r="AD937" s="174"/>
      <c r="AE937" s="174"/>
      <c r="AF937" s="174"/>
      <c r="AG937" s="174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19.38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29"/>
      <c r="B1" s="129"/>
      <c r="C1" s="129"/>
      <c r="D1" s="129"/>
      <c r="E1" s="129"/>
      <c r="F1" s="130"/>
      <c r="G1" s="130"/>
      <c r="H1" s="130"/>
      <c r="I1" s="130"/>
      <c r="J1" s="130"/>
      <c r="K1" s="130"/>
      <c r="L1" s="17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</row>
    <row r="2">
      <c r="A2" s="129"/>
      <c r="B2" s="129"/>
      <c r="C2" s="129"/>
      <c r="D2" s="129"/>
      <c r="E2" s="129"/>
      <c r="F2" s="130"/>
      <c r="G2" s="130"/>
      <c r="H2" s="130"/>
      <c r="I2" s="130"/>
      <c r="J2" s="130"/>
      <c r="K2" s="130"/>
      <c r="L2" s="17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</row>
    <row r="3" ht="217.5" customHeight="1">
      <c r="A3" s="36"/>
      <c r="B3" s="36"/>
      <c r="C3" s="17"/>
      <c r="D3" s="17"/>
      <c r="E3" s="17"/>
      <c r="F3" s="17"/>
      <c r="G3" s="17"/>
      <c r="H3" s="36"/>
      <c r="I3" s="17"/>
      <c r="J3" s="17"/>
      <c r="K3" s="17"/>
      <c r="L3" s="17"/>
      <c r="M3" s="130"/>
      <c r="N3" s="131"/>
      <c r="O3" s="130"/>
      <c r="P3" s="36"/>
      <c r="Q3" s="36"/>
      <c r="R3" s="36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</row>
    <row r="4" ht="75.0" customHeight="1">
      <c r="A4" s="36"/>
      <c r="B4" s="36"/>
      <c r="C4" s="17"/>
      <c r="D4" s="17"/>
      <c r="E4" s="17"/>
      <c r="F4" s="17"/>
      <c r="G4" s="17"/>
      <c r="H4" s="36"/>
      <c r="I4" s="17"/>
      <c r="J4" s="17"/>
      <c r="K4" s="17"/>
      <c r="L4" s="17"/>
      <c r="M4" s="130"/>
      <c r="N4" s="130"/>
      <c r="O4" s="130"/>
      <c r="P4" s="36"/>
      <c r="Q4" s="17"/>
      <c r="R4" s="17"/>
      <c r="S4" s="17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</row>
    <row r="5">
      <c r="A5" s="75"/>
      <c r="B5" s="75"/>
      <c r="C5" s="132" t="s">
        <v>99</v>
      </c>
      <c r="D5" s="38"/>
      <c r="E5" s="24"/>
      <c r="F5" s="17"/>
      <c r="G5" s="75"/>
      <c r="H5" s="75"/>
      <c r="I5" s="75"/>
      <c r="J5" s="75"/>
      <c r="K5" s="75"/>
      <c r="L5" s="17"/>
      <c r="M5" s="133"/>
      <c r="N5" s="133"/>
      <c r="O5" s="133"/>
      <c r="P5" s="76"/>
      <c r="Q5" s="134"/>
      <c r="R5" s="134"/>
      <c r="S5" s="134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</row>
    <row r="6">
      <c r="A6" s="75"/>
      <c r="B6" s="75"/>
      <c r="C6" s="132" t="s">
        <v>100</v>
      </c>
      <c r="D6" s="38"/>
      <c r="E6" s="24"/>
      <c r="F6" s="17"/>
      <c r="G6" s="75"/>
      <c r="H6" s="75"/>
      <c r="I6" s="75"/>
      <c r="J6" s="75"/>
      <c r="K6" s="17"/>
      <c r="L6" s="17"/>
      <c r="M6" s="133"/>
      <c r="N6" s="133"/>
      <c r="O6" s="133"/>
      <c r="P6" s="76"/>
      <c r="Q6" s="134"/>
      <c r="R6" s="134"/>
      <c r="S6" s="134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</row>
    <row r="7">
      <c r="A7" s="75"/>
      <c r="B7" s="75"/>
      <c r="C7" s="132" t="s">
        <v>137</v>
      </c>
      <c r="D7" s="38"/>
      <c r="E7" s="24"/>
      <c r="F7" s="17"/>
      <c r="G7" s="75"/>
      <c r="H7" s="75"/>
      <c r="I7" s="75"/>
      <c r="J7" s="75"/>
      <c r="K7" s="17"/>
      <c r="L7" s="17"/>
      <c r="M7" s="17"/>
      <c r="N7" s="17"/>
      <c r="O7" s="17"/>
      <c r="P7" s="17"/>
      <c r="Q7" s="17"/>
      <c r="R7" s="17"/>
      <c r="S7" s="17"/>
      <c r="T7" s="135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</row>
    <row r="8">
      <c r="A8" s="75"/>
      <c r="B8" s="75"/>
      <c r="C8" s="132" t="s">
        <v>101</v>
      </c>
      <c r="D8" s="38"/>
      <c r="E8" s="24"/>
      <c r="F8" s="17"/>
      <c r="G8" s="75"/>
      <c r="H8" s="75"/>
      <c r="I8" s="75"/>
      <c r="J8" s="75"/>
      <c r="K8" s="17"/>
      <c r="L8" s="17"/>
      <c r="M8" s="17"/>
      <c r="N8" s="17"/>
      <c r="O8" s="17"/>
      <c r="P8" s="17"/>
      <c r="Q8" s="17"/>
      <c r="R8" s="17"/>
      <c r="S8" s="17"/>
      <c r="T8" s="135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</row>
    <row r="9">
      <c r="A9" s="36"/>
      <c r="B9" s="36"/>
      <c r="C9" s="17"/>
      <c r="D9" s="17"/>
      <c r="E9" s="17"/>
      <c r="F9" s="17"/>
      <c r="G9" s="75"/>
      <c r="H9" s="75"/>
      <c r="I9" s="75"/>
      <c r="J9" s="75"/>
      <c r="K9" s="17"/>
      <c r="L9" s="17"/>
      <c r="M9" s="17"/>
      <c r="N9" s="17"/>
      <c r="O9" s="17"/>
      <c r="P9" s="17"/>
      <c r="Q9" s="17"/>
      <c r="R9" s="17"/>
      <c r="S9" s="17"/>
      <c r="T9" s="135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</row>
    <row r="10">
      <c r="A10" s="36"/>
      <c r="B10" s="36"/>
      <c r="C10" s="17"/>
      <c r="D10" s="17"/>
      <c r="E10" s="17"/>
      <c r="F10" s="17"/>
      <c r="G10" s="136"/>
      <c r="H10" s="136"/>
      <c r="I10" s="136"/>
      <c r="J10" s="136"/>
      <c r="K10" s="136"/>
      <c r="L10" s="17"/>
      <c r="M10" s="17"/>
      <c r="N10" s="17"/>
      <c r="O10" s="17"/>
      <c r="P10" s="17"/>
      <c r="Q10" s="17"/>
      <c r="R10" s="17"/>
      <c r="S10" s="17"/>
      <c r="T10" s="135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</row>
    <row r="11" ht="18.0" customHeight="1">
      <c r="A11" s="36"/>
      <c r="B11" s="36"/>
      <c r="C11" s="17"/>
      <c r="D11" s="17"/>
      <c r="E11" s="17"/>
      <c r="F11" s="17"/>
      <c r="G11" s="136"/>
      <c r="H11" s="136"/>
      <c r="I11" s="136"/>
      <c r="J11" s="136"/>
      <c r="K11" s="136"/>
      <c r="L11" s="17"/>
      <c r="M11" s="17"/>
      <c r="N11" s="17"/>
      <c r="O11" s="17"/>
      <c r="P11" s="17"/>
      <c r="Q11" s="17"/>
      <c r="R11" s="17"/>
      <c r="S11" s="17"/>
      <c r="T11" s="137"/>
      <c r="U11" s="17"/>
      <c r="V11" s="17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</row>
    <row r="12" ht="25.5" customHeight="1">
      <c r="A12" s="36"/>
      <c r="B12" s="36"/>
      <c r="C12" s="138" t="s">
        <v>102</v>
      </c>
      <c r="D12" s="38"/>
      <c r="E12" s="24"/>
      <c r="F12" s="17"/>
      <c r="G12" s="136"/>
      <c r="H12" s="36"/>
      <c r="I12" s="17"/>
      <c r="J12" s="17"/>
      <c r="K12" s="136"/>
      <c r="L12" s="17"/>
      <c r="M12" s="17"/>
      <c r="N12" s="17"/>
      <c r="O12" s="17"/>
      <c r="P12" s="17"/>
      <c r="Q12" s="17"/>
      <c r="R12" s="17"/>
      <c r="S12" s="17"/>
      <c r="T12" s="137"/>
      <c r="U12" s="17"/>
      <c r="V12" s="17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</row>
    <row r="13">
      <c r="A13" s="36"/>
      <c r="B13" s="36"/>
      <c r="C13" s="139" t="s">
        <v>103</v>
      </c>
      <c r="D13" s="140"/>
      <c r="E13" s="24"/>
      <c r="F13" s="17"/>
      <c r="G13" s="136"/>
      <c r="H13" s="36"/>
      <c r="I13" s="17"/>
      <c r="J13" s="17"/>
      <c r="K13" s="136"/>
      <c r="L13" s="17"/>
      <c r="M13" s="17"/>
      <c r="N13" s="17"/>
      <c r="O13" s="17"/>
      <c r="P13" s="17"/>
      <c r="Q13" s="17"/>
      <c r="R13" s="17"/>
      <c r="S13" s="17"/>
      <c r="T13" s="137"/>
      <c r="U13" s="17"/>
      <c r="V13" s="17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</row>
    <row r="14">
      <c r="A14" s="36"/>
      <c r="B14" s="36"/>
      <c r="C14" s="139" t="s">
        <v>54</v>
      </c>
      <c r="D14" s="140"/>
      <c r="E14" s="24"/>
      <c r="F14" s="17"/>
      <c r="G14" s="136"/>
      <c r="H14" s="36"/>
      <c r="I14" s="17"/>
      <c r="J14" s="17"/>
      <c r="K14" s="136"/>
      <c r="L14" s="17"/>
      <c r="M14" s="17"/>
      <c r="N14" s="17"/>
      <c r="O14" s="17"/>
      <c r="P14" s="17"/>
      <c r="Q14" s="17"/>
      <c r="R14" s="17"/>
      <c r="S14" s="17"/>
      <c r="T14" s="137"/>
      <c r="U14" s="17"/>
      <c r="V14" s="17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</row>
    <row r="15">
      <c r="A15" s="141"/>
      <c r="B15" s="141"/>
      <c r="C15" s="139" t="s">
        <v>55</v>
      </c>
      <c r="D15" s="140"/>
      <c r="E15" s="24"/>
      <c r="F15" s="134"/>
      <c r="G15" s="136"/>
      <c r="H15" s="36"/>
      <c r="I15" s="17"/>
      <c r="J15" s="17"/>
      <c r="K15" s="136"/>
      <c r="L15" s="17"/>
      <c r="M15" s="17"/>
      <c r="N15" s="17"/>
      <c r="O15" s="17"/>
      <c r="P15" s="17"/>
      <c r="Q15" s="17"/>
      <c r="R15" s="17"/>
      <c r="S15" s="17"/>
      <c r="T15" s="137"/>
      <c r="U15" s="17"/>
      <c r="V15" s="17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</row>
    <row r="16">
      <c r="A16" s="142"/>
      <c r="B16" s="142"/>
      <c r="C16" s="139" t="s">
        <v>104</v>
      </c>
      <c r="D16" s="143"/>
      <c r="E16" s="24"/>
      <c r="F16" s="134"/>
      <c r="G16" s="136"/>
      <c r="H16" s="36"/>
      <c r="I16" s="17"/>
      <c r="J16" s="17"/>
      <c r="K16" s="136"/>
      <c r="L16" s="17"/>
      <c r="M16" s="17"/>
      <c r="N16" s="17"/>
      <c r="O16" s="17"/>
      <c r="P16" s="17"/>
      <c r="Q16" s="17"/>
      <c r="R16" s="17"/>
      <c r="S16" s="17"/>
      <c r="T16" s="137"/>
      <c r="U16" s="17"/>
      <c r="V16" s="17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</row>
    <row r="17">
      <c r="A17" s="142"/>
      <c r="B17" s="142"/>
      <c r="C17" s="17"/>
      <c r="D17" s="17"/>
      <c r="E17" s="17"/>
      <c r="F17" s="134"/>
      <c r="G17" s="133"/>
      <c r="H17" s="133"/>
      <c r="I17" s="133"/>
      <c r="J17" s="133"/>
      <c r="K17" s="133"/>
      <c r="L17" s="17"/>
      <c r="M17" s="17"/>
      <c r="N17" s="17"/>
      <c r="O17" s="17"/>
      <c r="P17" s="17"/>
      <c r="Q17" s="17"/>
      <c r="R17" s="17"/>
      <c r="S17" s="17"/>
      <c r="T17" s="137"/>
      <c r="U17" s="17"/>
      <c r="V17" s="17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</row>
    <row r="18" ht="22.5" customHeight="1">
      <c r="A18" s="142"/>
      <c r="B18" s="142"/>
      <c r="C18" s="17"/>
      <c r="D18" s="17"/>
      <c r="E18" s="17"/>
      <c r="F18" s="133"/>
      <c r="G18" s="133"/>
      <c r="H18" s="133"/>
      <c r="I18" s="133"/>
      <c r="J18" s="133"/>
      <c r="K18" s="133"/>
      <c r="L18" s="17"/>
      <c r="M18" s="17"/>
      <c r="N18" s="17"/>
      <c r="O18" s="17"/>
      <c r="P18" s="17"/>
      <c r="Q18" s="17"/>
      <c r="R18" s="17"/>
      <c r="S18" s="17"/>
      <c r="T18" s="137"/>
      <c r="U18" s="17"/>
      <c r="V18" s="17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</row>
    <row r="19" ht="30.0" customHeight="1">
      <c r="A19" s="142"/>
      <c r="B19" s="142"/>
      <c r="C19" s="134"/>
      <c r="D19" s="144" t="s">
        <v>0</v>
      </c>
      <c r="E19" s="24"/>
      <c r="F19" s="134"/>
      <c r="G19" s="133"/>
      <c r="H19" s="133"/>
      <c r="I19" s="133"/>
      <c r="J19" s="133"/>
      <c r="K19" s="133"/>
      <c r="L19" s="145" t="s">
        <v>105</v>
      </c>
      <c r="M19" s="145" t="s">
        <v>106</v>
      </c>
      <c r="N19" s="145" t="s">
        <v>56</v>
      </c>
      <c r="O19" s="145" t="s">
        <v>107</v>
      </c>
      <c r="P19" s="175" t="s">
        <v>138</v>
      </c>
      <c r="Q19" s="145" t="s">
        <v>139</v>
      </c>
      <c r="R19" s="145" t="s">
        <v>110</v>
      </c>
      <c r="S19" s="145" t="s">
        <v>111</v>
      </c>
      <c r="T19" s="137"/>
      <c r="U19" s="17"/>
      <c r="V19" s="17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</row>
    <row r="20">
      <c r="A20" s="146"/>
      <c r="B20" s="146"/>
      <c r="C20" s="145" t="s">
        <v>112</v>
      </c>
      <c r="D20" s="145" t="s">
        <v>113</v>
      </c>
      <c r="E20" s="145" t="s">
        <v>114</v>
      </c>
      <c r="F20" s="145" t="s">
        <v>115</v>
      </c>
      <c r="G20" s="133"/>
      <c r="H20" s="147"/>
      <c r="I20" s="148" t="s">
        <v>116</v>
      </c>
      <c r="J20" s="24"/>
      <c r="K20" s="133"/>
      <c r="L20" s="149" t="s">
        <v>117</v>
      </c>
      <c r="M20" s="150">
        <v>45479.0</v>
      </c>
      <c r="N20" s="151"/>
      <c r="O20" s="151"/>
      <c r="P20" s="151"/>
      <c r="Q20" s="151"/>
      <c r="R20" s="151"/>
      <c r="S20" s="151"/>
      <c r="T20" s="137"/>
      <c r="U20" s="17"/>
      <c r="V20" s="17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</row>
    <row r="21">
      <c r="A21" s="76"/>
      <c r="B21" s="76"/>
      <c r="C21" s="152">
        <v>45483.0</v>
      </c>
      <c r="D21" s="153"/>
      <c r="E21" s="153"/>
      <c r="F21" s="153"/>
      <c r="G21" s="133"/>
      <c r="H21" s="154"/>
      <c r="I21" s="152" t="s">
        <v>118</v>
      </c>
      <c r="J21" s="155">
        <v>2700.0</v>
      </c>
      <c r="K21" s="133"/>
      <c r="L21" s="149">
        <v>1.0</v>
      </c>
      <c r="M21" s="156">
        <f t="shared" ref="M21:M32" si="2">M20+7</f>
        <v>45486</v>
      </c>
      <c r="N21" s="157" t="str">
        <f>D28</f>
        <v>#DIV/0!</v>
      </c>
      <c r="O21" s="158" t="str">
        <f t="shared" ref="O21:S21" si="1">C32</f>
        <v/>
      </c>
      <c r="P21" s="158" t="str">
        <f t="shared" si="1"/>
        <v/>
      </c>
      <c r="Q21" s="158" t="str">
        <f t="shared" si="1"/>
        <v/>
      </c>
      <c r="R21" s="158" t="str">
        <f t="shared" si="1"/>
        <v/>
      </c>
      <c r="S21" s="158" t="str">
        <f t="shared" si="1"/>
        <v/>
      </c>
      <c r="T21" s="137"/>
      <c r="U21" s="17"/>
      <c r="V21" s="17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</row>
    <row r="22">
      <c r="A22" s="147"/>
      <c r="B22" s="147"/>
      <c r="C22" s="152">
        <v>45484.0</v>
      </c>
      <c r="D22" s="153"/>
      <c r="E22" s="153"/>
      <c r="F22" s="153"/>
      <c r="G22" s="133"/>
      <c r="H22" s="154"/>
      <c r="I22" s="152" t="s">
        <v>119</v>
      </c>
      <c r="J22" s="155">
        <v>160.0</v>
      </c>
      <c r="K22" s="133"/>
      <c r="L22" s="149">
        <v>2.0</v>
      </c>
      <c r="M22" s="156">
        <f t="shared" si="2"/>
        <v>45493</v>
      </c>
      <c r="N22" s="159" t="str">
        <f>AVERAGE(D55:D61)</f>
        <v>#DIV/0!</v>
      </c>
      <c r="O22" s="160" t="str">
        <f t="shared" ref="O22:S22" si="3">C49</f>
        <v/>
      </c>
      <c r="P22" s="160" t="str">
        <f t="shared" si="3"/>
        <v/>
      </c>
      <c r="Q22" s="160" t="str">
        <f t="shared" si="3"/>
        <v/>
      </c>
      <c r="R22" s="160" t="str">
        <f t="shared" si="3"/>
        <v/>
      </c>
      <c r="S22" s="160" t="str">
        <f t="shared" si="3"/>
        <v/>
      </c>
      <c r="T22" s="137"/>
      <c r="U22" s="17"/>
      <c r="V22" s="17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</row>
    <row r="23">
      <c r="A23" s="161"/>
      <c r="B23" s="161"/>
      <c r="C23" s="152">
        <v>45485.0</v>
      </c>
      <c r="D23" s="153"/>
      <c r="E23" s="153"/>
      <c r="F23" s="153"/>
      <c r="G23" s="133"/>
      <c r="H23" s="154"/>
      <c r="I23" s="152" t="s">
        <v>120</v>
      </c>
      <c r="J23" s="155">
        <v>380.0</v>
      </c>
      <c r="K23" s="133"/>
      <c r="L23" s="149">
        <v>3.0</v>
      </c>
      <c r="M23" s="156">
        <f t="shared" si="2"/>
        <v>45500</v>
      </c>
      <c r="N23" s="153" t="str">
        <f>AVERAGE(D55:D61)</f>
        <v>#DIV/0!</v>
      </c>
      <c r="O23" s="162" t="str">
        <f t="shared" ref="O23:S23" si="4">C66</f>
        <v/>
      </c>
      <c r="P23" s="162" t="str">
        <f t="shared" si="4"/>
        <v/>
      </c>
      <c r="Q23" s="162" t="str">
        <f t="shared" si="4"/>
        <v/>
      </c>
      <c r="R23" s="162" t="str">
        <f t="shared" si="4"/>
        <v/>
      </c>
      <c r="S23" s="162" t="str">
        <f t="shared" si="4"/>
        <v/>
      </c>
      <c r="T23" s="137"/>
      <c r="U23" s="17"/>
      <c r="V23" s="17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</row>
    <row r="24">
      <c r="A24" s="133"/>
      <c r="B24" s="133"/>
      <c r="C24" s="152">
        <v>45486.0</v>
      </c>
      <c r="D24" s="153"/>
      <c r="E24" s="153"/>
      <c r="F24" s="153"/>
      <c r="G24" s="133"/>
      <c r="H24" s="154"/>
      <c r="I24" s="152" t="s">
        <v>121</v>
      </c>
      <c r="J24" s="155">
        <v>60.0</v>
      </c>
      <c r="K24" s="133"/>
      <c r="L24" s="149">
        <v>4.0</v>
      </c>
      <c r="M24" s="156">
        <f t="shared" si="2"/>
        <v>45507</v>
      </c>
      <c r="N24" s="159" t="str">
        <f>AVERAGE(D71:D77)</f>
        <v>#DIV/0!</v>
      </c>
      <c r="O24" s="160" t="str">
        <f t="shared" ref="O24:S24" si="5">C82</f>
        <v/>
      </c>
      <c r="P24" s="160" t="str">
        <f t="shared" si="5"/>
        <v/>
      </c>
      <c r="Q24" s="160" t="str">
        <f t="shared" si="5"/>
        <v/>
      </c>
      <c r="R24" s="160" t="str">
        <f t="shared" si="5"/>
        <v/>
      </c>
      <c r="S24" s="160" t="str">
        <f t="shared" si="5"/>
        <v/>
      </c>
      <c r="T24" s="137"/>
      <c r="U24" s="17"/>
      <c r="V24" s="17"/>
      <c r="W24" s="17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</row>
    <row r="25">
      <c r="A25" s="161"/>
      <c r="B25" s="161"/>
      <c r="C25" s="152">
        <v>45487.0</v>
      </c>
      <c r="D25" s="153"/>
      <c r="E25" s="153"/>
      <c r="F25" s="153"/>
      <c r="G25" s="133"/>
      <c r="H25" s="133"/>
      <c r="I25" s="133"/>
      <c r="J25" s="133"/>
      <c r="K25" s="133"/>
      <c r="L25" s="149">
        <v>5.0</v>
      </c>
      <c r="M25" s="156">
        <f t="shared" si="2"/>
        <v>45514</v>
      </c>
      <c r="N25" s="153" t="str">
        <f>AVERAGE(D87:D93)</f>
        <v>#DIV/0!</v>
      </c>
      <c r="O25" s="162" t="str">
        <f t="shared" ref="O25:S25" si="6">C98</f>
        <v/>
      </c>
      <c r="P25" s="162" t="str">
        <f t="shared" si="6"/>
        <v/>
      </c>
      <c r="Q25" s="162" t="str">
        <f t="shared" si="6"/>
        <v/>
      </c>
      <c r="R25" s="162" t="str">
        <f t="shared" si="6"/>
        <v/>
      </c>
      <c r="S25" s="162" t="str">
        <f t="shared" si="6"/>
        <v/>
      </c>
      <c r="T25" s="137"/>
      <c r="U25" s="17"/>
      <c r="V25" s="17"/>
      <c r="W25" s="17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</row>
    <row r="26">
      <c r="A26" s="161"/>
      <c r="B26" s="161"/>
      <c r="C26" s="152">
        <v>45488.0</v>
      </c>
      <c r="D26" s="163"/>
      <c r="E26" s="153"/>
      <c r="F26" s="153"/>
      <c r="G26" s="133"/>
      <c r="H26" s="133"/>
      <c r="I26" s="133"/>
      <c r="J26" s="133"/>
      <c r="K26" s="133"/>
      <c r="L26" s="149">
        <v>6.0</v>
      </c>
      <c r="M26" s="156">
        <f t="shared" si="2"/>
        <v>45521</v>
      </c>
      <c r="N26" s="159" t="str">
        <f>AVERAGE(D103:D109)</f>
        <v>#DIV/0!</v>
      </c>
      <c r="O26" s="160" t="str">
        <f t="shared" ref="O26:S26" si="7">C114</f>
        <v/>
      </c>
      <c r="P26" s="160" t="str">
        <f t="shared" si="7"/>
        <v/>
      </c>
      <c r="Q26" s="160" t="str">
        <f t="shared" si="7"/>
        <v/>
      </c>
      <c r="R26" s="160" t="str">
        <f t="shared" si="7"/>
        <v/>
      </c>
      <c r="S26" s="160" t="str">
        <f t="shared" si="7"/>
        <v/>
      </c>
      <c r="T26" s="137"/>
      <c r="U26" s="17"/>
      <c r="V26" s="17"/>
      <c r="W26" s="17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</row>
    <row r="27">
      <c r="A27" s="133"/>
      <c r="B27" s="133"/>
      <c r="C27" s="152">
        <v>45489.0</v>
      </c>
      <c r="D27" s="163"/>
      <c r="E27" s="153"/>
      <c r="F27" s="163"/>
      <c r="G27" s="133"/>
      <c r="H27" s="133"/>
      <c r="I27" s="133"/>
      <c r="J27" s="133"/>
      <c r="K27" s="133"/>
      <c r="L27" s="149">
        <v>7.0</v>
      </c>
      <c r="M27" s="156">
        <f t="shared" si="2"/>
        <v>45528</v>
      </c>
      <c r="N27" s="153" t="str">
        <f>AVERAGE(D120:D126)</f>
        <v>#DIV/0!</v>
      </c>
      <c r="O27" s="162" t="str">
        <f t="shared" ref="O27:S27" si="8">C131</f>
        <v/>
      </c>
      <c r="P27" s="162" t="str">
        <f t="shared" si="8"/>
        <v/>
      </c>
      <c r="Q27" s="162" t="str">
        <f t="shared" si="8"/>
        <v/>
      </c>
      <c r="R27" s="162" t="str">
        <f t="shared" si="8"/>
        <v/>
      </c>
      <c r="S27" s="162" t="str">
        <f t="shared" si="8"/>
        <v/>
      </c>
      <c r="T27" s="137"/>
      <c r="U27" s="17"/>
      <c r="V27" s="17"/>
      <c r="W27" s="17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</row>
    <row r="28">
      <c r="A28" s="161"/>
      <c r="B28" s="161"/>
      <c r="C28" s="164" t="s">
        <v>122</v>
      </c>
      <c r="D28" s="165" t="str">
        <f t="shared" ref="D28:F28" si="9">AVERAGE(D21:D27)</f>
        <v>#DIV/0!</v>
      </c>
      <c r="E28" s="165" t="str">
        <f t="shared" si="9"/>
        <v>#DIV/0!</v>
      </c>
      <c r="F28" s="165" t="str">
        <f t="shared" si="9"/>
        <v>#DIV/0!</v>
      </c>
      <c r="G28" s="133"/>
      <c r="H28" s="133"/>
      <c r="I28" s="133"/>
      <c r="J28" s="133"/>
      <c r="K28" s="133"/>
      <c r="L28" s="149">
        <v>8.0</v>
      </c>
      <c r="M28" s="156">
        <f t="shared" si="2"/>
        <v>45535</v>
      </c>
      <c r="N28" s="159" t="str">
        <f>AVERAGE(D137:D143)</f>
        <v>#DIV/0!</v>
      </c>
      <c r="O28" s="160" t="str">
        <f t="shared" ref="O28:S28" si="10">C148</f>
        <v/>
      </c>
      <c r="P28" s="160" t="str">
        <f t="shared" si="10"/>
        <v/>
      </c>
      <c r="Q28" s="160" t="str">
        <f t="shared" si="10"/>
        <v/>
      </c>
      <c r="R28" s="160" t="str">
        <f t="shared" si="10"/>
        <v/>
      </c>
      <c r="S28" s="160" t="str">
        <f t="shared" si="10"/>
        <v/>
      </c>
      <c r="T28" s="137"/>
      <c r="U28" s="17"/>
      <c r="V28" s="17"/>
      <c r="W28" s="17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</row>
    <row r="29">
      <c r="A29" s="161"/>
      <c r="B29" s="161"/>
      <c r="C29" s="134"/>
      <c r="D29" s="134"/>
      <c r="E29" s="134"/>
      <c r="F29" s="134"/>
      <c r="G29" s="133"/>
      <c r="H29" s="133"/>
      <c r="I29" s="133"/>
      <c r="J29" s="133"/>
      <c r="K29" s="133"/>
      <c r="L29" s="149">
        <v>9.0</v>
      </c>
      <c r="M29" s="156">
        <f t="shared" si="2"/>
        <v>45542</v>
      </c>
      <c r="N29" s="153" t="str">
        <f>AVERAGE(D153:D159)</f>
        <v>#DIV/0!</v>
      </c>
      <c r="O29" s="162" t="str">
        <f t="shared" ref="O29:S29" si="11">C164</f>
        <v/>
      </c>
      <c r="P29" s="162" t="str">
        <f t="shared" si="11"/>
        <v/>
      </c>
      <c r="Q29" s="162" t="str">
        <f t="shared" si="11"/>
        <v/>
      </c>
      <c r="R29" s="162" t="str">
        <f t="shared" si="11"/>
        <v/>
      </c>
      <c r="S29" s="162" t="str">
        <f t="shared" si="11"/>
        <v/>
      </c>
      <c r="T29" s="137"/>
      <c r="U29" s="17"/>
      <c r="V29" s="17"/>
      <c r="W29" s="17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</row>
    <row r="30">
      <c r="A30" s="166"/>
      <c r="B30" s="166"/>
      <c r="C30" s="148" t="s">
        <v>123</v>
      </c>
      <c r="D30" s="38"/>
      <c r="E30" s="38"/>
      <c r="F30" s="38"/>
      <c r="G30" s="24"/>
      <c r="H30" s="167"/>
      <c r="I30" s="167"/>
      <c r="J30" s="167"/>
      <c r="K30" s="167"/>
      <c r="L30" s="149">
        <v>10.0</v>
      </c>
      <c r="M30" s="156">
        <f t="shared" si="2"/>
        <v>45549</v>
      </c>
      <c r="N30" s="159" t="str">
        <f>AVERAGE(D169:D175)</f>
        <v>#DIV/0!</v>
      </c>
      <c r="O30" s="160" t="str">
        <f>C164</f>
        <v/>
      </c>
      <c r="P30" s="160" t="str">
        <f t="shared" ref="P30:S30" si="12">D180</f>
        <v/>
      </c>
      <c r="Q30" s="160" t="str">
        <f t="shared" si="12"/>
        <v/>
      </c>
      <c r="R30" s="160" t="str">
        <f t="shared" si="12"/>
        <v/>
      </c>
      <c r="S30" s="160" t="str">
        <f t="shared" si="12"/>
        <v/>
      </c>
      <c r="T30" s="13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</row>
    <row r="31">
      <c r="A31" s="76"/>
      <c r="B31" s="76"/>
      <c r="C31" s="152" t="s">
        <v>107</v>
      </c>
      <c r="D31" s="176" t="s">
        <v>140</v>
      </c>
      <c r="E31" s="152" t="s">
        <v>141</v>
      </c>
      <c r="F31" s="152" t="s">
        <v>110</v>
      </c>
      <c r="G31" s="152" t="s">
        <v>111</v>
      </c>
      <c r="H31" s="167"/>
      <c r="I31" s="167"/>
      <c r="J31" s="167"/>
      <c r="K31" s="167"/>
      <c r="L31" s="149">
        <v>11.0</v>
      </c>
      <c r="M31" s="156">
        <f t="shared" si="2"/>
        <v>45556</v>
      </c>
      <c r="N31" s="153" t="str">
        <f>AVERAGE(D185:D191)</f>
        <v>#DIV/0!</v>
      </c>
      <c r="O31" s="162" t="str">
        <f t="shared" ref="O31:S31" si="13">C196</f>
        <v/>
      </c>
      <c r="P31" s="162" t="str">
        <f t="shared" si="13"/>
        <v/>
      </c>
      <c r="Q31" s="162" t="str">
        <f t="shared" si="13"/>
        <v/>
      </c>
      <c r="R31" s="162" t="str">
        <f t="shared" si="13"/>
        <v/>
      </c>
      <c r="S31" s="162" t="str">
        <f t="shared" si="13"/>
        <v/>
      </c>
      <c r="T31" s="13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</row>
    <row r="32">
      <c r="A32" s="147"/>
      <c r="B32" s="147"/>
      <c r="C32" s="168"/>
      <c r="D32" s="168"/>
      <c r="E32" s="168"/>
      <c r="F32" s="168"/>
      <c r="G32" s="168"/>
      <c r="H32" s="167"/>
      <c r="I32" s="167"/>
      <c r="J32" s="167"/>
      <c r="K32" s="167"/>
      <c r="L32" s="149">
        <v>12.0</v>
      </c>
      <c r="M32" s="156">
        <f t="shared" si="2"/>
        <v>45563</v>
      </c>
      <c r="N32" s="159" t="str">
        <f>AVERAGE(D201:D207)</f>
        <v>#DIV/0!</v>
      </c>
      <c r="O32" s="160" t="str">
        <f t="shared" ref="O32:S32" si="14">C212</f>
        <v/>
      </c>
      <c r="P32" s="160" t="str">
        <f t="shared" si="14"/>
        <v/>
      </c>
      <c r="Q32" s="160" t="str">
        <f t="shared" si="14"/>
        <v/>
      </c>
      <c r="R32" s="160" t="str">
        <f t="shared" si="14"/>
        <v/>
      </c>
      <c r="S32" s="160" t="str">
        <f t="shared" si="14"/>
        <v/>
      </c>
      <c r="T32" s="13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</row>
    <row r="33">
      <c r="A33" s="154"/>
      <c r="B33" s="154"/>
      <c r="C33" s="133"/>
      <c r="D33" s="133"/>
      <c r="E33" s="133"/>
      <c r="F33" s="133"/>
      <c r="G33" s="167"/>
      <c r="H33" s="167"/>
      <c r="I33" s="167"/>
      <c r="J33" s="167"/>
      <c r="K33" s="167"/>
      <c r="L33" s="133"/>
      <c r="M33" s="133"/>
      <c r="N33" s="133"/>
      <c r="O33" s="133"/>
      <c r="P33" s="133"/>
      <c r="Q33" s="133"/>
      <c r="R33" s="133"/>
      <c r="S33" s="133"/>
      <c r="T33" s="13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</row>
    <row r="34">
      <c r="A34" s="133"/>
      <c r="B34" s="133"/>
      <c r="C34" s="17"/>
      <c r="D34" s="17"/>
      <c r="E34" s="17"/>
      <c r="F34" s="17"/>
      <c r="G34" s="167"/>
      <c r="H34" s="167"/>
      <c r="I34" s="167"/>
      <c r="J34" s="167"/>
      <c r="K34" s="167"/>
      <c r="L34" s="17"/>
      <c r="M34" s="133"/>
      <c r="N34" s="75" t="s">
        <v>125</v>
      </c>
      <c r="O34" s="133"/>
      <c r="P34" s="133"/>
      <c r="Q34" s="133"/>
      <c r="R34" s="133"/>
      <c r="S34" s="133"/>
      <c r="T34" s="137"/>
      <c r="U34" s="169" t="s">
        <v>126</v>
      </c>
      <c r="V34" s="24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</row>
    <row r="35">
      <c r="A35" s="133"/>
      <c r="B35" s="133"/>
      <c r="C35" s="17"/>
      <c r="D35" s="17"/>
      <c r="E35" s="17"/>
      <c r="F35" s="17"/>
      <c r="G35" s="167"/>
      <c r="H35" s="167"/>
      <c r="I35" s="167"/>
      <c r="J35" s="167"/>
      <c r="K35" s="167"/>
      <c r="L35" s="133"/>
      <c r="M35" s="133"/>
      <c r="N35" s="133"/>
      <c r="O35" s="133"/>
      <c r="P35" s="133"/>
      <c r="Q35" s="133"/>
      <c r="R35" s="133"/>
      <c r="S35" s="133"/>
      <c r="T35" s="137"/>
      <c r="U35" s="170" t="s">
        <v>127</v>
      </c>
      <c r="V35" s="171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</row>
    <row r="36" ht="31.5" customHeight="1">
      <c r="A36" s="133"/>
      <c r="B36" s="133"/>
      <c r="C36" s="134"/>
      <c r="D36" s="172" t="s">
        <v>1</v>
      </c>
      <c r="E36" s="24"/>
      <c r="F36" s="134"/>
      <c r="G36" s="133"/>
      <c r="H36" s="133"/>
      <c r="I36" s="133"/>
      <c r="J36" s="133"/>
      <c r="K36" s="167"/>
      <c r="L36" s="133"/>
      <c r="M36" s="133"/>
      <c r="N36" s="133"/>
      <c r="O36" s="133"/>
      <c r="P36" s="133"/>
      <c r="Q36" s="133"/>
      <c r="R36" s="133"/>
      <c r="S36" s="133"/>
      <c r="T36" s="137"/>
      <c r="U36" s="170" t="s">
        <v>128</v>
      </c>
      <c r="V36" s="173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</row>
    <row r="37">
      <c r="A37" s="161"/>
      <c r="B37" s="161"/>
      <c r="C37" s="145" t="s">
        <v>112</v>
      </c>
      <c r="D37" s="145" t="s">
        <v>113</v>
      </c>
      <c r="E37" s="145" t="s">
        <v>114</v>
      </c>
      <c r="F37" s="145" t="s">
        <v>115</v>
      </c>
      <c r="G37" s="133"/>
      <c r="H37" s="147"/>
      <c r="I37" s="148" t="s">
        <v>116</v>
      </c>
      <c r="J37" s="24"/>
      <c r="K37" s="167"/>
      <c r="L37" s="133"/>
      <c r="M37" s="133"/>
      <c r="N37" s="133"/>
      <c r="O37" s="133"/>
      <c r="P37" s="133"/>
      <c r="Q37" s="133"/>
      <c r="R37" s="133"/>
      <c r="S37" s="133"/>
      <c r="T37" s="13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</row>
    <row r="38">
      <c r="A38" s="36"/>
      <c r="B38" s="36"/>
      <c r="C38" s="152">
        <v>45483.0</v>
      </c>
      <c r="D38" s="153"/>
      <c r="E38" s="153"/>
      <c r="F38" s="153"/>
      <c r="G38" s="133"/>
      <c r="H38" s="154"/>
      <c r="I38" s="152" t="s">
        <v>118</v>
      </c>
      <c r="J38" s="155">
        <v>2700.0</v>
      </c>
      <c r="K38" s="167"/>
      <c r="L38" s="133"/>
      <c r="M38" s="133"/>
      <c r="N38" s="133"/>
      <c r="O38" s="133"/>
      <c r="P38" s="133"/>
      <c r="Q38" s="133"/>
      <c r="R38" s="133"/>
      <c r="S38" s="133"/>
      <c r="T38" s="13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</row>
    <row r="39">
      <c r="A39" s="167"/>
      <c r="B39" s="167"/>
      <c r="C39" s="152">
        <v>45484.0</v>
      </c>
      <c r="D39" s="153"/>
      <c r="E39" s="153"/>
      <c r="F39" s="153"/>
      <c r="G39" s="133"/>
      <c r="H39" s="154"/>
      <c r="I39" s="152" t="s">
        <v>119</v>
      </c>
      <c r="J39" s="155">
        <v>160.0</v>
      </c>
      <c r="K39" s="167"/>
      <c r="L39" s="133"/>
      <c r="M39" s="133"/>
      <c r="N39" s="133"/>
      <c r="O39" s="133"/>
      <c r="P39" s="133"/>
      <c r="Q39" s="133"/>
      <c r="R39" s="133"/>
      <c r="S39" s="133"/>
      <c r="T39" s="13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</row>
    <row r="40">
      <c r="A40" s="167"/>
      <c r="B40" s="167"/>
      <c r="C40" s="152">
        <v>45485.0</v>
      </c>
      <c r="D40" s="153"/>
      <c r="E40" s="153"/>
      <c r="F40" s="153"/>
      <c r="G40" s="133"/>
      <c r="H40" s="154"/>
      <c r="I40" s="152" t="s">
        <v>120</v>
      </c>
      <c r="J40" s="155">
        <v>380.0</v>
      </c>
      <c r="K40" s="167"/>
      <c r="L40" s="133"/>
      <c r="M40" s="133"/>
      <c r="N40" s="133"/>
      <c r="O40" s="133"/>
      <c r="P40" s="133"/>
      <c r="Q40" s="133"/>
      <c r="R40" s="133"/>
      <c r="S40" s="133"/>
      <c r="T40" s="13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</row>
    <row r="41">
      <c r="A41" s="167"/>
      <c r="B41" s="167"/>
      <c r="C41" s="152">
        <v>45486.0</v>
      </c>
      <c r="D41" s="153"/>
      <c r="E41" s="153"/>
      <c r="F41" s="153"/>
      <c r="G41" s="133"/>
      <c r="H41" s="154"/>
      <c r="I41" s="152" t="s">
        <v>121</v>
      </c>
      <c r="J41" s="155">
        <v>60.0</v>
      </c>
      <c r="K41" s="167"/>
      <c r="L41" s="133"/>
      <c r="M41" s="133"/>
      <c r="N41" s="133"/>
      <c r="O41" s="133"/>
      <c r="P41" s="133"/>
      <c r="Q41" s="133"/>
      <c r="R41" s="133"/>
      <c r="S41" s="133"/>
      <c r="T41" s="13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</row>
    <row r="42">
      <c r="A42" s="167"/>
      <c r="B42" s="167"/>
      <c r="C42" s="152">
        <v>45487.0</v>
      </c>
      <c r="D42" s="153"/>
      <c r="E42" s="153"/>
      <c r="F42" s="153"/>
      <c r="G42" s="133"/>
      <c r="H42" s="133"/>
      <c r="I42" s="133"/>
      <c r="J42" s="133"/>
      <c r="K42" s="167"/>
      <c r="L42" s="133"/>
      <c r="M42" s="133"/>
      <c r="N42" s="133"/>
      <c r="O42" s="133"/>
      <c r="P42" s="133"/>
      <c r="Q42" s="133"/>
      <c r="R42" s="133"/>
      <c r="S42" s="133"/>
      <c r="T42" s="13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</row>
    <row r="43">
      <c r="A43" s="129"/>
      <c r="B43" s="129"/>
      <c r="C43" s="152">
        <v>45488.0</v>
      </c>
      <c r="D43" s="163"/>
      <c r="E43" s="153"/>
      <c r="F43" s="153"/>
      <c r="G43" s="133"/>
      <c r="H43" s="133"/>
      <c r="I43" s="133"/>
      <c r="J43" s="133"/>
      <c r="K43" s="129"/>
      <c r="L43" s="133"/>
      <c r="M43" s="133"/>
      <c r="N43" s="133"/>
      <c r="O43" s="133"/>
      <c r="P43" s="133"/>
      <c r="Q43" s="133"/>
      <c r="R43" s="133"/>
      <c r="S43" s="133"/>
      <c r="T43" s="137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</row>
    <row r="44">
      <c r="A44" s="129"/>
      <c r="B44" s="129"/>
      <c r="C44" s="152">
        <v>45489.0</v>
      </c>
      <c r="D44" s="163"/>
      <c r="E44" s="153"/>
      <c r="F44" s="163"/>
      <c r="G44" s="133"/>
      <c r="H44" s="133"/>
      <c r="I44" s="133"/>
      <c r="J44" s="133"/>
      <c r="K44" s="129"/>
      <c r="L44" s="133"/>
      <c r="M44" s="133"/>
      <c r="N44" s="133"/>
      <c r="O44" s="133"/>
      <c r="P44" s="133"/>
      <c r="Q44" s="133"/>
      <c r="R44" s="133"/>
      <c r="S44" s="133"/>
      <c r="T44" s="137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</row>
    <row r="45">
      <c r="A45" s="129"/>
      <c r="B45" s="129"/>
      <c r="C45" s="164" t="s">
        <v>122</v>
      </c>
      <c r="D45" s="165" t="str">
        <f t="shared" ref="D45:F45" si="15">AVERAGE(D38:D44)</f>
        <v>#DIV/0!</v>
      </c>
      <c r="E45" s="165" t="str">
        <f t="shared" si="15"/>
        <v>#DIV/0!</v>
      </c>
      <c r="F45" s="165" t="str">
        <f t="shared" si="15"/>
        <v>#DIV/0!</v>
      </c>
      <c r="G45" s="133"/>
      <c r="H45" s="133"/>
      <c r="I45" s="133"/>
      <c r="J45" s="133"/>
      <c r="K45" s="129"/>
      <c r="L45" s="133"/>
      <c r="M45" s="133"/>
      <c r="N45" s="133"/>
      <c r="O45" s="133"/>
      <c r="P45" s="133"/>
      <c r="Q45" s="133"/>
      <c r="R45" s="133"/>
      <c r="S45" s="133"/>
      <c r="T45" s="137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</row>
    <row r="46">
      <c r="A46" s="129"/>
      <c r="B46" s="129"/>
      <c r="C46" s="134"/>
      <c r="D46" s="134"/>
      <c r="E46" s="134"/>
      <c r="F46" s="134"/>
      <c r="G46" s="133"/>
      <c r="H46" s="133"/>
      <c r="I46" s="133"/>
      <c r="J46" s="133"/>
      <c r="K46" s="129"/>
      <c r="L46" s="133"/>
      <c r="M46" s="133"/>
      <c r="N46" s="133"/>
      <c r="O46" s="133"/>
      <c r="P46" s="133"/>
      <c r="Q46" s="133"/>
      <c r="R46" s="133"/>
      <c r="S46" s="133"/>
      <c r="T46" s="137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</row>
    <row r="47">
      <c r="A47" s="129"/>
      <c r="B47" s="129"/>
      <c r="C47" s="148" t="s">
        <v>123</v>
      </c>
      <c r="D47" s="38"/>
      <c r="E47" s="38"/>
      <c r="F47" s="38"/>
      <c r="G47" s="24"/>
      <c r="H47" s="167"/>
      <c r="I47" s="167"/>
      <c r="J47" s="167"/>
      <c r="K47" s="129"/>
      <c r="L47" s="133"/>
      <c r="M47" s="133"/>
      <c r="N47" s="133"/>
      <c r="O47" s="133"/>
      <c r="P47" s="133"/>
      <c r="Q47" s="133"/>
      <c r="R47" s="133"/>
      <c r="S47" s="133"/>
      <c r="T47" s="137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</row>
    <row r="48">
      <c r="A48" s="129"/>
      <c r="B48" s="129"/>
      <c r="C48" s="152" t="s">
        <v>107</v>
      </c>
      <c r="D48" s="176" t="s">
        <v>140</v>
      </c>
      <c r="E48" s="152" t="s">
        <v>141</v>
      </c>
      <c r="F48" s="152" t="s">
        <v>110</v>
      </c>
      <c r="G48" s="152" t="s">
        <v>111</v>
      </c>
      <c r="H48" s="167"/>
      <c r="I48" s="167"/>
      <c r="J48" s="167"/>
      <c r="K48" s="129"/>
      <c r="L48" s="137"/>
      <c r="M48" s="137"/>
      <c r="N48" s="137"/>
      <c r="O48" s="137"/>
      <c r="P48" s="137"/>
      <c r="Q48" s="137"/>
      <c r="R48" s="137"/>
      <c r="S48" s="137"/>
      <c r="T48" s="137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</row>
    <row r="49">
      <c r="A49" s="129"/>
      <c r="B49" s="129"/>
      <c r="C49" s="168"/>
      <c r="D49" s="168"/>
      <c r="E49" s="168"/>
      <c r="F49" s="168"/>
      <c r="G49" s="168"/>
      <c r="H49" s="167"/>
      <c r="I49" s="167"/>
      <c r="J49" s="167"/>
      <c r="K49" s="129"/>
      <c r="L49" s="137"/>
      <c r="M49" s="137"/>
      <c r="N49" s="137"/>
      <c r="O49" s="137"/>
      <c r="P49" s="137"/>
      <c r="Q49" s="137"/>
      <c r="R49" s="137"/>
      <c r="S49" s="137"/>
      <c r="T49" s="137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</row>
    <row r="50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7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</row>
    <row r="5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7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</row>
    <row r="52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7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</row>
    <row r="53" ht="30.0" customHeight="1">
      <c r="A53" s="129"/>
      <c r="B53" s="129"/>
      <c r="C53" s="134"/>
      <c r="D53" s="172" t="s">
        <v>2</v>
      </c>
      <c r="E53" s="24"/>
      <c r="F53" s="134"/>
      <c r="G53" s="133"/>
      <c r="H53" s="133"/>
      <c r="I53" s="133"/>
      <c r="J53" s="133"/>
      <c r="K53" s="129"/>
      <c r="L53" s="17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</row>
    <row r="54">
      <c r="A54" s="129"/>
      <c r="B54" s="129"/>
      <c r="C54" s="145" t="s">
        <v>112</v>
      </c>
      <c r="D54" s="145" t="s">
        <v>113</v>
      </c>
      <c r="E54" s="145" t="s">
        <v>114</v>
      </c>
      <c r="F54" s="145" t="s">
        <v>115</v>
      </c>
      <c r="G54" s="133"/>
      <c r="H54" s="147"/>
      <c r="I54" s="148" t="s">
        <v>116</v>
      </c>
      <c r="J54" s="24"/>
      <c r="K54" s="129"/>
      <c r="L54" s="17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</row>
    <row r="55">
      <c r="A55" s="129"/>
      <c r="B55" s="129"/>
      <c r="C55" s="152">
        <v>45483.0</v>
      </c>
      <c r="D55" s="153"/>
      <c r="E55" s="153"/>
      <c r="F55" s="153"/>
      <c r="G55" s="133"/>
      <c r="H55" s="154"/>
      <c r="I55" s="152" t="s">
        <v>118</v>
      </c>
      <c r="J55" s="155">
        <v>2700.0</v>
      </c>
      <c r="K55" s="129"/>
      <c r="L55" s="17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</row>
    <row r="56">
      <c r="A56" s="129"/>
      <c r="B56" s="129"/>
      <c r="C56" s="152">
        <v>45484.0</v>
      </c>
      <c r="D56" s="153"/>
      <c r="E56" s="153"/>
      <c r="F56" s="153"/>
      <c r="G56" s="133"/>
      <c r="H56" s="154"/>
      <c r="I56" s="152" t="s">
        <v>119</v>
      </c>
      <c r="J56" s="155">
        <v>160.0</v>
      </c>
      <c r="K56" s="129"/>
      <c r="L56" s="17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</row>
    <row r="57">
      <c r="A57" s="129"/>
      <c r="B57" s="129"/>
      <c r="C57" s="152">
        <v>45485.0</v>
      </c>
      <c r="D57" s="153"/>
      <c r="E57" s="153"/>
      <c r="F57" s="153"/>
      <c r="G57" s="133"/>
      <c r="H57" s="154"/>
      <c r="I57" s="152" t="s">
        <v>120</v>
      </c>
      <c r="J57" s="155">
        <v>380.0</v>
      </c>
      <c r="K57" s="129"/>
      <c r="L57" s="17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</row>
    <row r="58">
      <c r="A58" s="129"/>
      <c r="B58" s="129"/>
      <c r="C58" s="152">
        <v>45486.0</v>
      </c>
      <c r="D58" s="153"/>
      <c r="E58" s="153"/>
      <c r="F58" s="153"/>
      <c r="G58" s="133"/>
      <c r="H58" s="154"/>
      <c r="I58" s="152" t="s">
        <v>121</v>
      </c>
      <c r="J58" s="155">
        <v>60.0</v>
      </c>
      <c r="K58" s="129"/>
      <c r="L58" s="17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</row>
    <row r="59">
      <c r="A59" s="129"/>
      <c r="B59" s="129"/>
      <c r="C59" s="152">
        <v>45487.0</v>
      </c>
      <c r="D59" s="153"/>
      <c r="E59" s="153"/>
      <c r="F59" s="153"/>
      <c r="G59" s="133"/>
      <c r="H59" s="133"/>
      <c r="I59" s="133"/>
      <c r="J59" s="133"/>
      <c r="K59" s="129"/>
      <c r="L59" s="17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</row>
    <row r="60">
      <c r="A60" s="129"/>
      <c r="B60" s="129"/>
      <c r="C60" s="152">
        <v>45488.0</v>
      </c>
      <c r="D60" s="163"/>
      <c r="E60" s="153"/>
      <c r="F60" s="153"/>
      <c r="G60" s="133"/>
      <c r="H60" s="133"/>
      <c r="I60" s="133"/>
      <c r="J60" s="133"/>
      <c r="K60" s="129"/>
      <c r="L60" s="17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</row>
    <row r="61">
      <c r="A61" s="129"/>
      <c r="B61" s="129"/>
      <c r="C61" s="152">
        <v>45489.0</v>
      </c>
      <c r="D61" s="163"/>
      <c r="E61" s="153"/>
      <c r="F61" s="163"/>
      <c r="G61" s="133"/>
      <c r="H61" s="133"/>
      <c r="I61" s="133"/>
      <c r="J61" s="133"/>
      <c r="K61" s="129"/>
      <c r="L61" s="17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</row>
    <row r="62">
      <c r="A62" s="129"/>
      <c r="B62" s="129"/>
      <c r="C62" s="164" t="s">
        <v>122</v>
      </c>
      <c r="D62" s="165" t="str">
        <f t="shared" ref="D62:F62" si="16">AVERAGE(D55:D61)</f>
        <v>#DIV/0!</v>
      </c>
      <c r="E62" s="165" t="str">
        <f t="shared" si="16"/>
        <v>#DIV/0!</v>
      </c>
      <c r="F62" s="165" t="str">
        <f t="shared" si="16"/>
        <v>#DIV/0!</v>
      </c>
      <c r="G62" s="133"/>
      <c r="H62" s="133"/>
      <c r="I62" s="133"/>
      <c r="J62" s="133"/>
      <c r="K62" s="129"/>
      <c r="L62" s="17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</row>
    <row r="63">
      <c r="A63" s="129"/>
      <c r="B63" s="129"/>
      <c r="C63" s="134"/>
      <c r="D63" s="134"/>
      <c r="E63" s="134"/>
      <c r="F63" s="134"/>
      <c r="G63" s="133"/>
      <c r="H63" s="133"/>
      <c r="I63" s="133"/>
      <c r="J63" s="133"/>
      <c r="K63" s="129"/>
      <c r="L63" s="17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</row>
    <row r="64">
      <c r="A64" s="129"/>
      <c r="B64" s="129"/>
      <c r="C64" s="148" t="s">
        <v>123</v>
      </c>
      <c r="D64" s="38"/>
      <c r="E64" s="38"/>
      <c r="F64" s="38"/>
      <c r="G64" s="24"/>
      <c r="H64" s="167"/>
      <c r="I64" s="167"/>
      <c r="J64" s="167"/>
      <c r="K64" s="129"/>
      <c r="L64" s="17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</row>
    <row r="65">
      <c r="A65" s="129"/>
      <c r="B65" s="129"/>
      <c r="C65" s="152" t="s">
        <v>107</v>
      </c>
      <c r="D65" s="176" t="s">
        <v>140</v>
      </c>
      <c r="E65" s="152" t="s">
        <v>141</v>
      </c>
      <c r="F65" s="152" t="s">
        <v>110</v>
      </c>
      <c r="G65" s="152" t="s">
        <v>111</v>
      </c>
      <c r="H65" s="167"/>
      <c r="I65" s="167"/>
      <c r="J65" s="167"/>
      <c r="K65" s="129"/>
      <c r="L65" s="17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</row>
    <row r="66">
      <c r="A66" s="129"/>
      <c r="B66" s="129"/>
      <c r="C66" s="168"/>
      <c r="D66" s="168"/>
      <c r="E66" s="168"/>
      <c r="F66" s="168"/>
      <c r="G66" s="168"/>
      <c r="H66" s="167"/>
      <c r="I66" s="167"/>
      <c r="J66" s="167"/>
      <c r="K66" s="129"/>
      <c r="L66" s="17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</row>
    <row r="67" ht="21.0" customHeight="1">
      <c r="A67" s="129"/>
      <c r="B67" s="129"/>
      <c r="C67" s="129"/>
      <c r="D67" s="129"/>
      <c r="E67" s="129"/>
      <c r="F67" s="129"/>
      <c r="G67" s="129"/>
      <c r="H67" s="167"/>
      <c r="I67" s="167"/>
      <c r="J67" s="167"/>
      <c r="K67" s="129"/>
      <c r="L67" s="17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</row>
    <row r="68" ht="31.5" customHeight="1">
      <c r="A68" s="129"/>
      <c r="B68" s="129"/>
      <c r="C68" s="129"/>
      <c r="D68" s="129"/>
      <c r="E68" s="129"/>
      <c r="F68" s="129"/>
      <c r="G68" s="129"/>
      <c r="H68" s="167"/>
      <c r="I68" s="167"/>
      <c r="J68" s="167"/>
      <c r="K68" s="129"/>
      <c r="L68" s="17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</row>
    <row r="69" ht="30.0" customHeight="1">
      <c r="A69" s="129"/>
      <c r="B69" s="129"/>
      <c r="C69" s="134"/>
      <c r="D69" s="172" t="s">
        <v>3</v>
      </c>
      <c r="E69" s="24"/>
      <c r="F69" s="134"/>
      <c r="G69" s="133"/>
      <c r="H69" s="133"/>
      <c r="I69" s="133"/>
      <c r="J69" s="133"/>
      <c r="K69" s="129"/>
      <c r="L69" s="17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</row>
    <row r="70">
      <c r="A70" s="129"/>
      <c r="B70" s="129"/>
      <c r="C70" s="145" t="s">
        <v>112</v>
      </c>
      <c r="D70" s="145" t="s">
        <v>113</v>
      </c>
      <c r="E70" s="145" t="s">
        <v>114</v>
      </c>
      <c r="F70" s="145" t="s">
        <v>115</v>
      </c>
      <c r="G70" s="133"/>
      <c r="H70" s="147"/>
      <c r="I70" s="148" t="s">
        <v>116</v>
      </c>
      <c r="J70" s="24"/>
      <c r="K70" s="129"/>
      <c r="L70" s="17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</row>
    <row r="71">
      <c r="A71" s="129"/>
      <c r="B71" s="129"/>
      <c r="C71" s="152">
        <v>45483.0</v>
      </c>
      <c r="D71" s="153"/>
      <c r="E71" s="153"/>
      <c r="F71" s="153"/>
      <c r="G71" s="133"/>
      <c r="H71" s="154"/>
      <c r="I71" s="152" t="s">
        <v>118</v>
      </c>
      <c r="J71" s="155">
        <v>2700.0</v>
      </c>
      <c r="K71" s="129"/>
      <c r="L71" s="17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</row>
    <row r="72">
      <c r="A72" s="129"/>
      <c r="B72" s="129"/>
      <c r="C72" s="152">
        <v>45484.0</v>
      </c>
      <c r="D72" s="153"/>
      <c r="E72" s="153"/>
      <c r="F72" s="153"/>
      <c r="G72" s="133"/>
      <c r="H72" s="154"/>
      <c r="I72" s="152" t="s">
        <v>119</v>
      </c>
      <c r="J72" s="155">
        <v>160.0</v>
      </c>
      <c r="K72" s="129"/>
      <c r="L72" s="17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</row>
    <row r="73">
      <c r="A73" s="129"/>
      <c r="B73" s="129"/>
      <c r="C73" s="152">
        <v>45485.0</v>
      </c>
      <c r="D73" s="153"/>
      <c r="E73" s="153"/>
      <c r="F73" s="153"/>
      <c r="G73" s="133"/>
      <c r="H73" s="154"/>
      <c r="I73" s="152" t="s">
        <v>120</v>
      </c>
      <c r="J73" s="155">
        <v>380.0</v>
      </c>
      <c r="K73" s="129"/>
      <c r="L73" s="17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</row>
    <row r="74">
      <c r="A74" s="129"/>
      <c r="B74" s="129"/>
      <c r="C74" s="152">
        <v>45486.0</v>
      </c>
      <c r="D74" s="153"/>
      <c r="E74" s="153"/>
      <c r="F74" s="153"/>
      <c r="G74" s="133"/>
      <c r="H74" s="154"/>
      <c r="I74" s="152" t="s">
        <v>121</v>
      </c>
      <c r="J74" s="155">
        <v>60.0</v>
      </c>
      <c r="K74" s="129"/>
      <c r="L74" s="17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</row>
    <row r="75">
      <c r="A75" s="129"/>
      <c r="B75" s="129"/>
      <c r="C75" s="152">
        <v>45487.0</v>
      </c>
      <c r="D75" s="153"/>
      <c r="E75" s="153"/>
      <c r="F75" s="153"/>
      <c r="G75" s="133"/>
      <c r="H75" s="133"/>
      <c r="I75" s="133"/>
      <c r="J75" s="133"/>
      <c r="K75" s="129"/>
      <c r="L75" s="17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</row>
    <row r="76">
      <c r="A76" s="129"/>
      <c r="B76" s="129"/>
      <c r="C76" s="152">
        <v>45488.0</v>
      </c>
      <c r="D76" s="163"/>
      <c r="E76" s="153"/>
      <c r="F76" s="153"/>
      <c r="G76" s="133"/>
      <c r="H76" s="133"/>
      <c r="I76" s="133"/>
      <c r="J76" s="133"/>
      <c r="K76" s="129"/>
      <c r="L76" s="17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</row>
    <row r="77">
      <c r="A77" s="129"/>
      <c r="B77" s="129"/>
      <c r="C77" s="152">
        <v>45489.0</v>
      </c>
      <c r="D77" s="163"/>
      <c r="E77" s="153"/>
      <c r="F77" s="163"/>
      <c r="G77" s="133"/>
      <c r="H77" s="133"/>
      <c r="I77" s="133"/>
      <c r="J77" s="133"/>
      <c r="K77" s="129"/>
      <c r="L77" s="17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</row>
    <row r="78">
      <c r="A78" s="129"/>
      <c r="B78" s="129"/>
      <c r="C78" s="164" t="s">
        <v>122</v>
      </c>
      <c r="D78" s="165" t="str">
        <f t="shared" ref="D78:F78" si="17">AVERAGE(D71:D77)</f>
        <v>#DIV/0!</v>
      </c>
      <c r="E78" s="165" t="str">
        <f t="shared" si="17"/>
        <v>#DIV/0!</v>
      </c>
      <c r="F78" s="165" t="str">
        <f t="shared" si="17"/>
        <v>#DIV/0!</v>
      </c>
      <c r="G78" s="133"/>
      <c r="H78" s="133"/>
      <c r="I78" s="133"/>
      <c r="J78" s="133"/>
      <c r="K78" s="129"/>
      <c r="L78" s="17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</row>
    <row r="79">
      <c r="A79" s="129"/>
      <c r="B79" s="129"/>
      <c r="C79" s="134"/>
      <c r="D79" s="134"/>
      <c r="E79" s="134"/>
      <c r="F79" s="134"/>
      <c r="G79" s="133"/>
      <c r="H79" s="133"/>
      <c r="I79" s="133"/>
      <c r="J79" s="133"/>
      <c r="K79" s="129"/>
      <c r="L79" s="17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</row>
    <row r="80">
      <c r="A80" s="129"/>
      <c r="B80" s="129"/>
      <c r="C80" s="148" t="s">
        <v>123</v>
      </c>
      <c r="D80" s="38"/>
      <c r="E80" s="38"/>
      <c r="F80" s="38"/>
      <c r="G80" s="24"/>
      <c r="H80" s="167"/>
      <c r="I80" s="167"/>
      <c r="J80" s="167"/>
      <c r="K80" s="129"/>
      <c r="L80" s="17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</row>
    <row r="81">
      <c r="A81" s="129"/>
      <c r="B81" s="129"/>
      <c r="C81" s="152" t="s">
        <v>107</v>
      </c>
      <c r="D81" s="176" t="s">
        <v>140</v>
      </c>
      <c r="E81" s="152" t="s">
        <v>141</v>
      </c>
      <c r="F81" s="152" t="s">
        <v>110</v>
      </c>
      <c r="G81" s="152" t="s">
        <v>111</v>
      </c>
      <c r="H81" s="167"/>
      <c r="I81" s="167"/>
      <c r="J81" s="167"/>
      <c r="K81" s="129"/>
      <c r="L81" s="17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  <c r="AD81" s="129"/>
      <c r="AE81" s="129"/>
      <c r="AF81" s="129"/>
      <c r="AG81" s="129"/>
    </row>
    <row r="82">
      <c r="A82" s="129"/>
      <c r="B82" s="129"/>
      <c r="C82" s="168"/>
      <c r="D82" s="168"/>
      <c r="E82" s="168"/>
      <c r="F82" s="168"/>
      <c r="G82" s="168"/>
      <c r="H82" s="167"/>
      <c r="I82" s="167"/>
      <c r="J82" s="167"/>
      <c r="K82" s="129"/>
      <c r="L82" s="17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</row>
    <row r="83">
      <c r="A83" s="129"/>
      <c r="B83" s="129"/>
      <c r="C83" s="129"/>
      <c r="D83" s="129"/>
      <c r="E83" s="129"/>
      <c r="F83" s="129"/>
      <c r="G83" s="129"/>
      <c r="H83" s="167"/>
      <c r="I83" s="167"/>
      <c r="J83" s="167"/>
      <c r="K83" s="129"/>
      <c r="L83" s="17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</row>
    <row r="84">
      <c r="A84" s="129"/>
      <c r="B84" s="129"/>
      <c r="C84" s="129"/>
      <c r="D84" s="129"/>
      <c r="E84" s="129"/>
      <c r="F84" s="129"/>
      <c r="G84" s="129"/>
      <c r="H84" s="167"/>
      <c r="I84" s="167"/>
      <c r="J84" s="167"/>
      <c r="K84" s="129"/>
      <c r="L84" s="17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</row>
    <row r="85" ht="30.0" customHeight="1">
      <c r="A85" s="129"/>
      <c r="B85" s="129"/>
      <c r="C85" s="134"/>
      <c r="D85" s="172" t="s">
        <v>129</v>
      </c>
      <c r="E85" s="24"/>
      <c r="F85" s="134"/>
      <c r="G85" s="133"/>
      <c r="H85" s="133"/>
      <c r="I85" s="133"/>
      <c r="J85" s="133"/>
      <c r="K85" s="129"/>
      <c r="L85" s="17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</row>
    <row r="86">
      <c r="A86" s="129"/>
      <c r="B86" s="129"/>
      <c r="C86" s="145" t="s">
        <v>112</v>
      </c>
      <c r="D86" s="145" t="s">
        <v>113</v>
      </c>
      <c r="E86" s="145" t="s">
        <v>114</v>
      </c>
      <c r="F86" s="145" t="s">
        <v>115</v>
      </c>
      <c r="G86" s="133"/>
      <c r="H86" s="147"/>
      <c r="I86" s="148" t="s">
        <v>116</v>
      </c>
      <c r="J86" s="24"/>
      <c r="K86" s="129"/>
      <c r="L86" s="17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</row>
    <row r="87">
      <c r="A87" s="129"/>
      <c r="B87" s="129"/>
      <c r="C87" s="152">
        <v>45483.0</v>
      </c>
      <c r="D87" s="153"/>
      <c r="E87" s="153"/>
      <c r="F87" s="153"/>
      <c r="G87" s="133"/>
      <c r="H87" s="154"/>
      <c r="I87" s="152" t="s">
        <v>118</v>
      </c>
      <c r="J87" s="155">
        <v>2700.0</v>
      </c>
      <c r="K87" s="129"/>
      <c r="L87" s="17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</row>
    <row r="88">
      <c r="A88" s="129"/>
      <c r="B88" s="129"/>
      <c r="C88" s="152">
        <v>45484.0</v>
      </c>
      <c r="D88" s="153"/>
      <c r="E88" s="153"/>
      <c r="F88" s="153"/>
      <c r="G88" s="133"/>
      <c r="H88" s="154"/>
      <c r="I88" s="152" t="s">
        <v>119</v>
      </c>
      <c r="J88" s="155">
        <v>160.0</v>
      </c>
      <c r="K88" s="129"/>
      <c r="L88" s="17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</row>
    <row r="89">
      <c r="A89" s="129"/>
      <c r="B89" s="129"/>
      <c r="C89" s="152">
        <v>45485.0</v>
      </c>
      <c r="D89" s="153"/>
      <c r="E89" s="153"/>
      <c r="F89" s="153"/>
      <c r="G89" s="133"/>
      <c r="H89" s="154"/>
      <c r="I89" s="152" t="s">
        <v>120</v>
      </c>
      <c r="J89" s="155">
        <v>380.0</v>
      </c>
      <c r="K89" s="129"/>
      <c r="L89" s="17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</row>
    <row r="90">
      <c r="A90" s="129"/>
      <c r="B90" s="129"/>
      <c r="C90" s="152">
        <v>45486.0</v>
      </c>
      <c r="D90" s="153"/>
      <c r="E90" s="153"/>
      <c r="F90" s="153"/>
      <c r="G90" s="133"/>
      <c r="H90" s="154"/>
      <c r="I90" s="152" t="s">
        <v>121</v>
      </c>
      <c r="J90" s="155">
        <v>60.0</v>
      </c>
      <c r="K90" s="129"/>
      <c r="L90" s="17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</row>
    <row r="91">
      <c r="A91" s="129"/>
      <c r="B91" s="129"/>
      <c r="C91" s="152">
        <v>45487.0</v>
      </c>
      <c r="D91" s="153"/>
      <c r="E91" s="153"/>
      <c r="F91" s="153"/>
      <c r="G91" s="133"/>
      <c r="H91" s="133"/>
      <c r="I91" s="133"/>
      <c r="J91" s="133"/>
      <c r="K91" s="129"/>
      <c r="L91" s="17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</row>
    <row r="92">
      <c r="A92" s="129"/>
      <c r="B92" s="129"/>
      <c r="C92" s="152">
        <v>45488.0</v>
      </c>
      <c r="D92" s="163"/>
      <c r="E92" s="153"/>
      <c r="F92" s="153"/>
      <c r="G92" s="133"/>
      <c r="H92" s="133"/>
      <c r="I92" s="133"/>
      <c r="J92" s="133"/>
      <c r="K92" s="129"/>
      <c r="L92" s="17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</row>
    <row r="93">
      <c r="A93" s="129"/>
      <c r="B93" s="129"/>
      <c r="C93" s="152">
        <v>45489.0</v>
      </c>
      <c r="D93" s="163"/>
      <c r="E93" s="153"/>
      <c r="F93" s="163"/>
      <c r="G93" s="133"/>
      <c r="H93" s="133"/>
      <c r="I93" s="133"/>
      <c r="J93" s="133"/>
      <c r="K93" s="129"/>
      <c r="L93" s="17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</row>
    <row r="94">
      <c r="A94" s="129"/>
      <c r="B94" s="129"/>
      <c r="C94" s="164" t="s">
        <v>122</v>
      </c>
      <c r="D94" s="165" t="str">
        <f t="shared" ref="D94:F94" si="18">AVERAGE(D87:D93)</f>
        <v>#DIV/0!</v>
      </c>
      <c r="E94" s="165" t="str">
        <f t="shared" si="18"/>
        <v>#DIV/0!</v>
      </c>
      <c r="F94" s="165" t="str">
        <f t="shared" si="18"/>
        <v>#DIV/0!</v>
      </c>
      <c r="G94" s="133"/>
      <c r="H94" s="133"/>
      <c r="I94" s="133"/>
      <c r="J94" s="133"/>
      <c r="K94" s="129"/>
      <c r="L94" s="17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</row>
    <row r="95">
      <c r="A95" s="129"/>
      <c r="B95" s="129"/>
      <c r="C95" s="134"/>
      <c r="D95" s="134"/>
      <c r="E95" s="134"/>
      <c r="F95" s="134"/>
      <c r="G95" s="133"/>
      <c r="H95" s="133"/>
      <c r="I95" s="133"/>
      <c r="J95" s="133"/>
      <c r="K95" s="129"/>
      <c r="L95" s="17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</row>
    <row r="96">
      <c r="A96" s="129"/>
      <c r="B96" s="129"/>
      <c r="C96" s="148" t="s">
        <v>123</v>
      </c>
      <c r="D96" s="38"/>
      <c r="E96" s="38"/>
      <c r="F96" s="38"/>
      <c r="G96" s="24"/>
      <c r="H96" s="167"/>
      <c r="I96" s="167"/>
      <c r="J96" s="167"/>
      <c r="K96" s="129"/>
      <c r="L96" s="17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</row>
    <row r="97">
      <c r="A97" s="129"/>
      <c r="B97" s="129"/>
      <c r="C97" s="152" t="s">
        <v>107</v>
      </c>
      <c r="D97" s="176" t="s">
        <v>140</v>
      </c>
      <c r="E97" s="152" t="s">
        <v>141</v>
      </c>
      <c r="F97" s="152" t="s">
        <v>110</v>
      </c>
      <c r="G97" s="152" t="s">
        <v>111</v>
      </c>
      <c r="H97" s="167"/>
      <c r="I97" s="167"/>
      <c r="J97" s="167"/>
      <c r="K97" s="129"/>
      <c r="L97" s="17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</row>
    <row r="98">
      <c r="A98" s="129"/>
      <c r="B98" s="129"/>
      <c r="C98" s="168"/>
      <c r="D98" s="168"/>
      <c r="E98" s="168"/>
      <c r="F98" s="168"/>
      <c r="G98" s="168"/>
      <c r="H98" s="167"/>
      <c r="I98" s="167"/>
      <c r="J98" s="167"/>
      <c r="K98" s="129"/>
      <c r="L98" s="17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</row>
    <row r="99">
      <c r="A99" s="129"/>
      <c r="B99" s="129"/>
      <c r="C99" s="129"/>
      <c r="D99" s="129"/>
      <c r="E99" s="129"/>
      <c r="F99" s="129"/>
      <c r="G99" s="129"/>
      <c r="H99" s="167"/>
      <c r="I99" s="167"/>
      <c r="J99" s="167"/>
      <c r="K99" s="129"/>
      <c r="L99" s="17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</row>
    <row r="100">
      <c r="A100" s="129"/>
      <c r="B100" s="129"/>
      <c r="C100" s="129"/>
      <c r="D100" s="129"/>
      <c r="E100" s="129"/>
      <c r="F100" s="129"/>
      <c r="G100" s="129"/>
      <c r="H100" s="167"/>
      <c r="I100" s="167"/>
      <c r="J100" s="167"/>
      <c r="K100" s="129"/>
      <c r="L100" s="17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</row>
    <row r="101" ht="27.0" customHeight="1">
      <c r="A101" s="129"/>
      <c r="B101" s="129"/>
      <c r="C101" s="134"/>
      <c r="D101" s="172" t="s">
        <v>130</v>
      </c>
      <c r="E101" s="24"/>
      <c r="F101" s="134"/>
      <c r="G101" s="133"/>
      <c r="H101" s="133"/>
      <c r="I101" s="133"/>
      <c r="J101" s="133"/>
      <c r="K101" s="129"/>
      <c r="L101" s="17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</row>
    <row r="102">
      <c r="A102" s="129"/>
      <c r="B102" s="129"/>
      <c r="C102" s="145" t="s">
        <v>112</v>
      </c>
      <c r="D102" s="145" t="s">
        <v>113</v>
      </c>
      <c r="E102" s="145" t="s">
        <v>114</v>
      </c>
      <c r="F102" s="145" t="s">
        <v>115</v>
      </c>
      <c r="G102" s="133"/>
      <c r="H102" s="147"/>
      <c r="I102" s="148" t="s">
        <v>116</v>
      </c>
      <c r="J102" s="24"/>
      <c r="K102" s="129"/>
      <c r="L102" s="17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</row>
    <row r="103">
      <c r="A103" s="129"/>
      <c r="B103" s="129"/>
      <c r="C103" s="152">
        <v>45483.0</v>
      </c>
      <c r="D103" s="153"/>
      <c r="E103" s="153"/>
      <c r="F103" s="153"/>
      <c r="G103" s="133"/>
      <c r="H103" s="154"/>
      <c r="I103" s="152" t="s">
        <v>118</v>
      </c>
      <c r="J103" s="155">
        <v>2700.0</v>
      </c>
      <c r="K103" s="129"/>
      <c r="L103" s="17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29"/>
    </row>
    <row r="104">
      <c r="A104" s="129"/>
      <c r="B104" s="129"/>
      <c r="C104" s="152">
        <v>45484.0</v>
      </c>
      <c r="D104" s="153"/>
      <c r="E104" s="153"/>
      <c r="F104" s="153"/>
      <c r="G104" s="133"/>
      <c r="H104" s="154"/>
      <c r="I104" s="152" t="s">
        <v>119</v>
      </c>
      <c r="J104" s="155">
        <v>160.0</v>
      </c>
      <c r="K104" s="129"/>
      <c r="L104" s="17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</row>
    <row r="105">
      <c r="A105" s="129"/>
      <c r="B105" s="129"/>
      <c r="C105" s="152">
        <v>45485.0</v>
      </c>
      <c r="D105" s="153"/>
      <c r="E105" s="153"/>
      <c r="F105" s="153"/>
      <c r="G105" s="133"/>
      <c r="H105" s="154"/>
      <c r="I105" s="152" t="s">
        <v>120</v>
      </c>
      <c r="J105" s="155">
        <v>380.0</v>
      </c>
      <c r="K105" s="129"/>
      <c r="L105" s="17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</row>
    <row r="106">
      <c r="A106" s="129"/>
      <c r="B106" s="129"/>
      <c r="C106" s="152">
        <v>45486.0</v>
      </c>
      <c r="D106" s="153"/>
      <c r="E106" s="153"/>
      <c r="F106" s="153"/>
      <c r="G106" s="133"/>
      <c r="H106" s="154"/>
      <c r="I106" s="152" t="s">
        <v>121</v>
      </c>
      <c r="J106" s="155">
        <v>60.0</v>
      </c>
      <c r="K106" s="129"/>
      <c r="L106" s="17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</row>
    <row r="107">
      <c r="A107" s="129"/>
      <c r="B107" s="129"/>
      <c r="C107" s="152">
        <v>45487.0</v>
      </c>
      <c r="D107" s="153"/>
      <c r="E107" s="153"/>
      <c r="F107" s="153"/>
      <c r="G107" s="133"/>
      <c r="H107" s="133"/>
      <c r="I107" s="133"/>
      <c r="J107" s="133"/>
      <c r="K107" s="129"/>
      <c r="L107" s="17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29"/>
    </row>
    <row r="108">
      <c r="A108" s="129"/>
      <c r="B108" s="129"/>
      <c r="C108" s="152">
        <v>45488.0</v>
      </c>
      <c r="D108" s="163"/>
      <c r="E108" s="153"/>
      <c r="F108" s="153"/>
      <c r="G108" s="133"/>
      <c r="H108" s="133"/>
      <c r="I108" s="133"/>
      <c r="J108" s="133"/>
      <c r="K108" s="129"/>
      <c r="L108" s="17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  <c r="AG108" s="129"/>
    </row>
    <row r="109">
      <c r="A109" s="129"/>
      <c r="B109" s="129"/>
      <c r="C109" s="152">
        <v>45489.0</v>
      </c>
      <c r="D109" s="163"/>
      <c r="E109" s="153"/>
      <c r="F109" s="163"/>
      <c r="G109" s="133"/>
      <c r="H109" s="133"/>
      <c r="I109" s="133"/>
      <c r="J109" s="133"/>
      <c r="K109" s="129"/>
      <c r="L109" s="17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</row>
    <row r="110">
      <c r="A110" s="129"/>
      <c r="B110" s="129"/>
      <c r="C110" s="164" t="s">
        <v>122</v>
      </c>
      <c r="D110" s="165" t="str">
        <f t="shared" ref="D110:F110" si="19">AVERAGE(D103:D109)</f>
        <v>#DIV/0!</v>
      </c>
      <c r="E110" s="165" t="str">
        <f t="shared" si="19"/>
        <v>#DIV/0!</v>
      </c>
      <c r="F110" s="165" t="str">
        <f t="shared" si="19"/>
        <v>#DIV/0!</v>
      </c>
      <c r="G110" s="133"/>
      <c r="H110" s="133"/>
      <c r="I110" s="133"/>
      <c r="J110" s="133"/>
      <c r="K110" s="129"/>
      <c r="L110" s="17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29"/>
    </row>
    <row r="111">
      <c r="A111" s="129"/>
      <c r="B111" s="129"/>
      <c r="C111" s="134"/>
      <c r="D111" s="134"/>
      <c r="E111" s="134"/>
      <c r="F111" s="134"/>
      <c r="G111" s="133"/>
      <c r="H111" s="133"/>
      <c r="I111" s="133"/>
      <c r="J111" s="133"/>
      <c r="K111" s="129"/>
      <c r="L111" s="17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</row>
    <row r="112">
      <c r="A112" s="129"/>
      <c r="B112" s="129"/>
      <c r="C112" s="148" t="s">
        <v>123</v>
      </c>
      <c r="D112" s="38"/>
      <c r="E112" s="38"/>
      <c r="F112" s="38"/>
      <c r="G112" s="24"/>
      <c r="H112" s="167"/>
      <c r="I112" s="167"/>
      <c r="J112" s="167"/>
      <c r="K112" s="129"/>
      <c r="L112" s="17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129"/>
    </row>
    <row r="113">
      <c r="A113" s="129"/>
      <c r="B113" s="129"/>
      <c r="C113" s="152" t="s">
        <v>107</v>
      </c>
      <c r="D113" s="176" t="s">
        <v>140</v>
      </c>
      <c r="E113" s="152" t="s">
        <v>141</v>
      </c>
      <c r="F113" s="152" t="s">
        <v>110</v>
      </c>
      <c r="G113" s="152" t="s">
        <v>111</v>
      </c>
      <c r="H113" s="167"/>
      <c r="I113" s="167"/>
      <c r="J113" s="167"/>
      <c r="K113" s="129"/>
      <c r="L113" s="17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</row>
    <row r="114">
      <c r="A114" s="129"/>
      <c r="B114" s="129"/>
      <c r="C114" s="168"/>
      <c r="D114" s="168"/>
      <c r="E114" s="168"/>
      <c r="F114" s="168"/>
      <c r="G114" s="168"/>
      <c r="H114" s="167"/>
      <c r="I114" s="167"/>
      <c r="J114" s="167"/>
      <c r="K114" s="129"/>
      <c r="L114" s="17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  <c r="AE114" s="129"/>
      <c r="AF114" s="129"/>
      <c r="AG114" s="129"/>
    </row>
    <row r="115">
      <c r="A115" s="129"/>
      <c r="B115" s="129"/>
      <c r="C115" s="133"/>
      <c r="D115" s="133"/>
      <c r="E115" s="133"/>
      <c r="F115" s="133"/>
      <c r="G115" s="129"/>
      <c r="H115" s="129"/>
      <c r="I115" s="129"/>
      <c r="J115" s="129"/>
      <c r="K115" s="129"/>
      <c r="L115" s="17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</row>
    <row r="116">
      <c r="A116" s="129"/>
      <c r="B116" s="129"/>
      <c r="C116" s="17"/>
      <c r="D116" s="17"/>
      <c r="E116" s="17"/>
      <c r="F116" s="17"/>
      <c r="G116" s="129"/>
      <c r="H116" s="129"/>
      <c r="I116" s="129"/>
      <c r="J116" s="129"/>
      <c r="K116" s="129"/>
      <c r="L116" s="17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  <c r="AE116" s="129"/>
      <c r="AF116" s="129"/>
      <c r="AG116" s="129"/>
    </row>
    <row r="117">
      <c r="A117" s="129"/>
      <c r="B117" s="129"/>
      <c r="C117" s="17"/>
      <c r="D117" s="17"/>
      <c r="E117" s="17"/>
      <c r="F117" s="17"/>
      <c r="G117" s="129"/>
      <c r="H117" s="129"/>
      <c r="I117" s="129"/>
      <c r="J117" s="129"/>
      <c r="K117" s="129"/>
      <c r="L117" s="17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</row>
    <row r="118" ht="30.0" customHeight="1">
      <c r="A118" s="129"/>
      <c r="B118" s="129"/>
      <c r="C118" s="134"/>
      <c r="D118" s="172" t="s">
        <v>131</v>
      </c>
      <c r="E118" s="24"/>
      <c r="F118" s="134"/>
      <c r="G118" s="133"/>
      <c r="H118" s="133"/>
      <c r="I118" s="133"/>
      <c r="J118" s="133"/>
      <c r="K118" s="129"/>
      <c r="L118" s="17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29"/>
    </row>
    <row r="119">
      <c r="A119" s="129"/>
      <c r="B119" s="129"/>
      <c r="C119" s="145" t="s">
        <v>112</v>
      </c>
      <c r="D119" s="145" t="s">
        <v>113</v>
      </c>
      <c r="E119" s="145" t="s">
        <v>114</v>
      </c>
      <c r="F119" s="145" t="s">
        <v>115</v>
      </c>
      <c r="G119" s="133"/>
      <c r="H119" s="147"/>
      <c r="I119" s="148" t="s">
        <v>116</v>
      </c>
      <c r="J119" s="24"/>
      <c r="K119" s="129"/>
      <c r="L119" s="17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</row>
    <row r="120">
      <c r="A120" s="129"/>
      <c r="B120" s="129"/>
      <c r="C120" s="152">
        <v>45483.0</v>
      </c>
      <c r="D120" s="153"/>
      <c r="E120" s="153"/>
      <c r="F120" s="153"/>
      <c r="G120" s="133"/>
      <c r="H120" s="154"/>
      <c r="I120" s="152" t="s">
        <v>118</v>
      </c>
      <c r="J120" s="155">
        <v>2700.0</v>
      </c>
      <c r="K120" s="129"/>
      <c r="L120" s="17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</row>
    <row r="121">
      <c r="A121" s="129"/>
      <c r="B121" s="129"/>
      <c r="C121" s="152">
        <v>45484.0</v>
      </c>
      <c r="D121" s="153"/>
      <c r="E121" s="153"/>
      <c r="F121" s="153"/>
      <c r="G121" s="133"/>
      <c r="H121" s="154"/>
      <c r="I121" s="152" t="s">
        <v>119</v>
      </c>
      <c r="J121" s="155">
        <v>160.0</v>
      </c>
      <c r="K121" s="129"/>
      <c r="L121" s="17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</row>
    <row r="122">
      <c r="A122" s="129"/>
      <c r="B122" s="129"/>
      <c r="C122" s="152">
        <v>45485.0</v>
      </c>
      <c r="D122" s="153"/>
      <c r="E122" s="153"/>
      <c r="F122" s="153"/>
      <c r="G122" s="133"/>
      <c r="H122" s="154"/>
      <c r="I122" s="152" t="s">
        <v>120</v>
      </c>
      <c r="J122" s="155">
        <v>380.0</v>
      </c>
      <c r="K122" s="129"/>
      <c r="L122" s="17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</row>
    <row r="123">
      <c r="A123" s="129"/>
      <c r="B123" s="129"/>
      <c r="C123" s="152">
        <v>45486.0</v>
      </c>
      <c r="D123" s="153"/>
      <c r="E123" s="153"/>
      <c r="F123" s="153"/>
      <c r="G123" s="133"/>
      <c r="H123" s="154"/>
      <c r="I123" s="152" t="s">
        <v>121</v>
      </c>
      <c r="J123" s="155">
        <v>60.0</v>
      </c>
      <c r="K123" s="129"/>
      <c r="L123" s="17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</row>
    <row r="124">
      <c r="A124" s="129"/>
      <c r="B124" s="129"/>
      <c r="C124" s="152">
        <v>45487.0</v>
      </c>
      <c r="D124" s="153"/>
      <c r="E124" s="153"/>
      <c r="F124" s="153"/>
      <c r="G124" s="133"/>
      <c r="H124" s="133"/>
      <c r="I124" s="133"/>
      <c r="J124" s="133"/>
      <c r="K124" s="129"/>
      <c r="L124" s="17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</row>
    <row r="125">
      <c r="A125" s="129"/>
      <c r="B125" s="129"/>
      <c r="C125" s="152">
        <v>45488.0</v>
      </c>
      <c r="D125" s="163"/>
      <c r="E125" s="153"/>
      <c r="F125" s="153"/>
      <c r="G125" s="133"/>
      <c r="H125" s="133"/>
      <c r="I125" s="133"/>
      <c r="J125" s="133"/>
      <c r="K125" s="129"/>
      <c r="L125" s="17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</row>
    <row r="126">
      <c r="A126" s="129"/>
      <c r="B126" s="129"/>
      <c r="C126" s="152">
        <v>45489.0</v>
      </c>
      <c r="D126" s="163"/>
      <c r="E126" s="153"/>
      <c r="F126" s="163"/>
      <c r="G126" s="133"/>
      <c r="H126" s="133"/>
      <c r="I126" s="133"/>
      <c r="J126" s="133"/>
      <c r="K126" s="129"/>
      <c r="L126" s="17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</row>
    <row r="127">
      <c r="A127" s="129"/>
      <c r="B127" s="129"/>
      <c r="C127" s="164" t="s">
        <v>122</v>
      </c>
      <c r="D127" s="165" t="str">
        <f t="shared" ref="D127:F127" si="20">AVERAGE(D120:D126)</f>
        <v>#DIV/0!</v>
      </c>
      <c r="E127" s="165" t="str">
        <f t="shared" si="20"/>
        <v>#DIV/0!</v>
      </c>
      <c r="F127" s="165" t="str">
        <f t="shared" si="20"/>
        <v>#DIV/0!</v>
      </c>
      <c r="G127" s="133"/>
      <c r="H127" s="133"/>
      <c r="I127" s="133"/>
      <c r="J127" s="133"/>
      <c r="K127" s="129"/>
      <c r="L127" s="17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</row>
    <row r="128">
      <c r="A128" s="129"/>
      <c r="B128" s="129"/>
      <c r="C128" s="134"/>
      <c r="D128" s="134"/>
      <c r="E128" s="134"/>
      <c r="F128" s="134"/>
      <c r="G128" s="133"/>
      <c r="H128" s="133"/>
      <c r="I128" s="133"/>
      <c r="J128" s="133"/>
      <c r="K128" s="129"/>
      <c r="L128" s="17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</row>
    <row r="129">
      <c r="A129" s="129"/>
      <c r="B129" s="129"/>
      <c r="C129" s="148" t="s">
        <v>123</v>
      </c>
      <c r="D129" s="38"/>
      <c r="E129" s="38"/>
      <c r="F129" s="38"/>
      <c r="G129" s="24"/>
      <c r="H129" s="167"/>
      <c r="I129" s="167"/>
      <c r="J129" s="167"/>
      <c r="K129" s="129"/>
      <c r="L129" s="17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</row>
    <row r="130">
      <c r="A130" s="129"/>
      <c r="B130" s="129"/>
      <c r="C130" s="152" t="s">
        <v>107</v>
      </c>
      <c r="D130" s="176" t="s">
        <v>140</v>
      </c>
      <c r="E130" s="152" t="s">
        <v>141</v>
      </c>
      <c r="F130" s="152" t="s">
        <v>110</v>
      </c>
      <c r="G130" s="152" t="s">
        <v>111</v>
      </c>
      <c r="H130" s="167"/>
      <c r="I130" s="167"/>
      <c r="J130" s="167"/>
      <c r="K130" s="129"/>
      <c r="L130" s="17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</row>
    <row r="131">
      <c r="A131" s="129"/>
      <c r="B131" s="129"/>
      <c r="C131" s="168"/>
      <c r="D131" s="168"/>
      <c r="E131" s="168"/>
      <c r="F131" s="168"/>
      <c r="G131" s="168"/>
      <c r="H131" s="167"/>
      <c r="I131" s="167"/>
      <c r="J131" s="167"/>
      <c r="K131" s="129"/>
      <c r="L131" s="17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</row>
    <row r="132">
      <c r="A132" s="129"/>
      <c r="B132" s="129"/>
      <c r="C132" s="129"/>
      <c r="D132" s="129"/>
      <c r="E132" s="129"/>
      <c r="F132" s="129"/>
      <c r="G132" s="129"/>
      <c r="H132" s="167"/>
      <c r="I132" s="167"/>
      <c r="J132" s="167"/>
      <c r="K132" s="129"/>
      <c r="L132" s="17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</row>
    <row r="133">
      <c r="A133" s="129"/>
      <c r="B133" s="129"/>
      <c r="C133" s="129"/>
      <c r="D133" s="129"/>
      <c r="E133" s="129"/>
      <c r="F133" s="129"/>
      <c r="G133" s="129"/>
      <c r="H133" s="167"/>
      <c r="I133" s="167"/>
      <c r="J133" s="167"/>
      <c r="K133" s="129"/>
      <c r="L133" s="17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</row>
    <row r="134">
      <c r="A134" s="129"/>
      <c r="B134" s="129"/>
      <c r="C134" s="129"/>
      <c r="D134" s="129"/>
      <c r="E134" s="129"/>
      <c r="F134" s="129"/>
      <c r="G134" s="129"/>
      <c r="H134" s="167"/>
      <c r="I134" s="167"/>
      <c r="J134" s="167"/>
      <c r="K134" s="129"/>
      <c r="L134" s="17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</row>
    <row r="135" ht="31.5" customHeight="1">
      <c r="A135" s="129"/>
      <c r="B135" s="129"/>
      <c r="C135" s="134"/>
      <c r="D135" s="172" t="s">
        <v>132</v>
      </c>
      <c r="E135" s="24"/>
      <c r="F135" s="134"/>
      <c r="G135" s="133"/>
      <c r="H135" s="133"/>
      <c r="I135" s="133"/>
      <c r="J135" s="133"/>
      <c r="K135" s="129"/>
      <c r="L135" s="17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</row>
    <row r="136">
      <c r="A136" s="129"/>
      <c r="B136" s="129"/>
      <c r="C136" s="145" t="s">
        <v>112</v>
      </c>
      <c r="D136" s="145" t="s">
        <v>113</v>
      </c>
      <c r="E136" s="145" t="s">
        <v>114</v>
      </c>
      <c r="F136" s="145" t="s">
        <v>115</v>
      </c>
      <c r="G136" s="133"/>
      <c r="H136" s="147"/>
      <c r="I136" s="148" t="s">
        <v>116</v>
      </c>
      <c r="J136" s="24"/>
      <c r="K136" s="129"/>
      <c r="L136" s="17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</row>
    <row r="137">
      <c r="A137" s="129"/>
      <c r="B137" s="129"/>
      <c r="C137" s="152">
        <v>45483.0</v>
      </c>
      <c r="D137" s="153"/>
      <c r="E137" s="153"/>
      <c r="F137" s="153"/>
      <c r="G137" s="133"/>
      <c r="H137" s="154"/>
      <c r="I137" s="152" t="s">
        <v>118</v>
      </c>
      <c r="J137" s="155">
        <v>2700.0</v>
      </c>
      <c r="K137" s="129"/>
      <c r="L137" s="17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</row>
    <row r="138">
      <c r="A138" s="129"/>
      <c r="B138" s="129"/>
      <c r="C138" s="152">
        <v>45484.0</v>
      </c>
      <c r="D138" s="153"/>
      <c r="E138" s="153"/>
      <c r="F138" s="153"/>
      <c r="G138" s="133"/>
      <c r="H138" s="154"/>
      <c r="I138" s="152" t="s">
        <v>119</v>
      </c>
      <c r="J138" s="155">
        <v>160.0</v>
      </c>
      <c r="K138" s="129"/>
      <c r="L138" s="17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</row>
    <row r="139">
      <c r="A139" s="129"/>
      <c r="B139" s="129"/>
      <c r="C139" s="152">
        <v>45485.0</v>
      </c>
      <c r="D139" s="153"/>
      <c r="E139" s="153"/>
      <c r="F139" s="153"/>
      <c r="G139" s="133"/>
      <c r="H139" s="154"/>
      <c r="I139" s="152" t="s">
        <v>120</v>
      </c>
      <c r="J139" s="155">
        <v>380.0</v>
      </c>
      <c r="K139" s="129"/>
      <c r="L139" s="17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</row>
    <row r="140">
      <c r="A140" s="129"/>
      <c r="B140" s="129"/>
      <c r="C140" s="152">
        <v>45486.0</v>
      </c>
      <c r="D140" s="153"/>
      <c r="E140" s="153"/>
      <c r="F140" s="153"/>
      <c r="G140" s="133"/>
      <c r="H140" s="154"/>
      <c r="I140" s="152" t="s">
        <v>121</v>
      </c>
      <c r="J140" s="155">
        <v>60.0</v>
      </c>
      <c r="K140" s="129"/>
      <c r="L140" s="17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</row>
    <row r="141">
      <c r="A141" s="129"/>
      <c r="B141" s="129"/>
      <c r="C141" s="152">
        <v>45487.0</v>
      </c>
      <c r="D141" s="153"/>
      <c r="E141" s="153"/>
      <c r="F141" s="153"/>
      <c r="G141" s="133"/>
      <c r="H141" s="133"/>
      <c r="I141" s="133"/>
      <c r="J141" s="133"/>
      <c r="K141" s="129"/>
      <c r="L141" s="17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29"/>
    </row>
    <row r="142">
      <c r="A142" s="129"/>
      <c r="B142" s="129"/>
      <c r="C142" s="152">
        <v>45488.0</v>
      </c>
      <c r="D142" s="163"/>
      <c r="E142" s="153"/>
      <c r="F142" s="153"/>
      <c r="G142" s="133"/>
      <c r="H142" s="133"/>
      <c r="I142" s="133"/>
      <c r="J142" s="133"/>
      <c r="K142" s="129"/>
      <c r="L142" s="17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29"/>
    </row>
    <row r="143">
      <c r="A143" s="129"/>
      <c r="B143" s="129"/>
      <c r="C143" s="152">
        <v>45489.0</v>
      </c>
      <c r="D143" s="163"/>
      <c r="E143" s="153"/>
      <c r="F143" s="163"/>
      <c r="G143" s="133"/>
      <c r="H143" s="133"/>
      <c r="I143" s="133"/>
      <c r="J143" s="133"/>
      <c r="K143" s="129"/>
      <c r="L143" s="17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29"/>
    </row>
    <row r="144">
      <c r="A144" s="129"/>
      <c r="B144" s="129"/>
      <c r="C144" s="164" t="s">
        <v>122</v>
      </c>
      <c r="D144" s="165" t="str">
        <f t="shared" ref="D144:F144" si="21">AVERAGE(D137:D143)</f>
        <v>#DIV/0!</v>
      </c>
      <c r="E144" s="165" t="str">
        <f t="shared" si="21"/>
        <v>#DIV/0!</v>
      </c>
      <c r="F144" s="165" t="str">
        <f t="shared" si="21"/>
        <v>#DIV/0!</v>
      </c>
      <c r="G144" s="133"/>
      <c r="H144" s="133"/>
      <c r="I144" s="133"/>
      <c r="J144" s="133"/>
      <c r="K144" s="129"/>
      <c r="L144" s="17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</row>
    <row r="145">
      <c r="A145" s="129"/>
      <c r="B145" s="129"/>
      <c r="C145" s="134"/>
      <c r="D145" s="134"/>
      <c r="E145" s="134"/>
      <c r="F145" s="134"/>
      <c r="G145" s="133"/>
      <c r="H145" s="133"/>
      <c r="I145" s="133"/>
      <c r="J145" s="133"/>
      <c r="K145" s="129"/>
      <c r="L145" s="17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29"/>
    </row>
    <row r="146">
      <c r="A146" s="129"/>
      <c r="B146" s="129"/>
      <c r="C146" s="148" t="s">
        <v>123</v>
      </c>
      <c r="D146" s="38"/>
      <c r="E146" s="38"/>
      <c r="F146" s="38"/>
      <c r="G146" s="24"/>
      <c r="H146" s="167"/>
      <c r="I146" s="167"/>
      <c r="J146" s="167"/>
      <c r="K146" s="129"/>
      <c r="L146" s="17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29"/>
    </row>
    <row r="147">
      <c r="A147" s="129"/>
      <c r="B147" s="129"/>
      <c r="C147" s="152" t="s">
        <v>107</v>
      </c>
      <c r="D147" s="176" t="s">
        <v>140</v>
      </c>
      <c r="E147" s="152" t="s">
        <v>141</v>
      </c>
      <c r="F147" s="152" t="s">
        <v>110</v>
      </c>
      <c r="G147" s="152" t="s">
        <v>111</v>
      </c>
      <c r="H147" s="167"/>
      <c r="I147" s="167"/>
      <c r="J147" s="167"/>
      <c r="K147" s="129"/>
      <c r="L147" s="17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29"/>
    </row>
    <row r="148">
      <c r="A148" s="129"/>
      <c r="B148" s="129"/>
      <c r="C148" s="168"/>
      <c r="D148" s="168"/>
      <c r="E148" s="168"/>
      <c r="F148" s="168"/>
      <c r="G148" s="168"/>
      <c r="H148" s="167"/>
      <c r="I148" s="167"/>
      <c r="J148" s="167"/>
      <c r="K148" s="129"/>
      <c r="L148" s="17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</row>
    <row r="149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7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29"/>
    </row>
    <row r="150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7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29"/>
    </row>
    <row r="151" ht="28.5" customHeight="1">
      <c r="A151" s="129"/>
      <c r="B151" s="129"/>
      <c r="C151" s="134"/>
      <c r="D151" s="172" t="s">
        <v>133</v>
      </c>
      <c r="E151" s="24"/>
      <c r="F151" s="134"/>
      <c r="G151" s="133"/>
      <c r="H151" s="133"/>
      <c r="I151" s="133"/>
      <c r="J151" s="133"/>
      <c r="K151" s="129"/>
      <c r="L151" s="17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</row>
    <row r="152">
      <c r="A152" s="129"/>
      <c r="B152" s="129"/>
      <c r="C152" s="145" t="s">
        <v>112</v>
      </c>
      <c r="D152" s="145" t="s">
        <v>113</v>
      </c>
      <c r="E152" s="145" t="s">
        <v>114</v>
      </c>
      <c r="F152" s="145" t="s">
        <v>115</v>
      </c>
      <c r="G152" s="133"/>
      <c r="H152" s="147"/>
      <c r="I152" s="148" t="s">
        <v>116</v>
      </c>
      <c r="J152" s="24"/>
      <c r="K152" s="129"/>
      <c r="L152" s="17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29"/>
    </row>
    <row r="153">
      <c r="A153" s="129"/>
      <c r="B153" s="129"/>
      <c r="C153" s="152">
        <v>45483.0</v>
      </c>
      <c r="D153" s="153"/>
      <c r="E153" s="153"/>
      <c r="F153" s="153"/>
      <c r="G153" s="133"/>
      <c r="H153" s="154"/>
      <c r="I153" s="152" t="s">
        <v>118</v>
      </c>
      <c r="J153" s="155">
        <v>2700.0</v>
      </c>
      <c r="K153" s="129"/>
      <c r="L153" s="17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29"/>
    </row>
    <row r="154">
      <c r="A154" s="129"/>
      <c r="B154" s="129"/>
      <c r="C154" s="152">
        <v>45484.0</v>
      </c>
      <c r="D154" s="153"/>
      <c r="E154" s="153"/>
      <c r="F154" s="153"/>
      <c r="G154" s="133"/>
      <c r="H154" s="154"/>
      <c r="I154" s="152" t="s">
        <v>119</v>
      </c>
      <c r="J154" s="155">
        <v>160.0</v>
      </c>
      <c r="K154" s="129"/>
      <c r="L154" s="17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</row>
    <row r="155">
      <c r="A155" s="129"/>
      <c r="B155" s="129"/>
      <c r="C155" s="152">
        <v>45485.0</v>
      </c>
      <c r="D155" s="153"/>
      <c r="E155" s="153"/>
      <c r="F155" s="153"/>
      <c r="G155" s="133"/>
      <c r="H155" s="154"/>
      <c r="I155" s="152" t="s">
        <v>120</v>
      </c>
      <c r="J155" s="155">
        <v>380.0</v>
      </c>
      <c r="K155" s="129"/>
      <c r="L155" s="17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</row>
    <row r="156">
      <c r="A156" s="129"/>
      <c r="B156" s="129"/>
      <c r="C156" s="152">
        <v>45486.0</v>
      </c>
      <c r="D156" s="153"/>
      <c r="E156" s="153"/>
      <c r="F156" s="153"/>
      <c r="G156" s="133"/>
      <c r="H156" s="154"/>
      <c r="I156" s="152" t="s">
        <v>121</v>
      </c>
      <c r="J156" s="155">
        <v>60.0</v>
      </c>
      <c r="K156" s="129"/>
      <c r="L156" s="17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29"/>
    </row>
    <row r="157">
      <c r="A157" s="129"/>
      <c r="B157" s="129"/>
      <c r="C157" s="152">
        <v>45487.0</v>
      </c>
      <c r="D157" s="153"/>
      <c r="E157" s="153"/>
      <c r="F157" s="153"/>
      <c r="G157" s="133"/>
      <c r="H157" s="133"/>
      <c r="I157" s="133"/>
      <c r="J157" s="133"/>
      <c r="K157" s="129"/>
      <c r="L157" s="17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29"/>
    </row>
    <row r="158">
      <c r="A158" s="129"/>
      <c r="B158" s="129"/>
      <c r="C158" s="152">
        <v>45488.0</v>
      </c>
      <c r="D158" s="163"/>
      <c r="E158" s="153"/>
      <c r="F158" s="153"/>
      <c r="G158" s="133"/>
      <c r="H158" s="133"/>
      <c r="I158" s="133"/>
      <c r="J158" s="133"/>
      <c r="K158" s="129"/>
      <c r="L158" s="17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</row>
    <row r="159">
      <c r="A159" s="129"/>
      <c r="B159" s="129"/>
      <c r="C159" s="152">
        <v>45489.0</v>
      </c>
      <c r="D159" s="163"/>
      <c r="E159" s="153"/>
      <c r="F159" s="163"/>
      <c r="G159" s="133"/>
      <c r="H159" s="133"/>
      <c r="I159" s="133"/>
      <c r="J159" s="133"/>
      <c r="K159" s="129"/>
      <c r="L159" s="17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</row>
    <row r="160">
      <c r="A160" s="129"/>
      <c r="B160" s="129"/>
      <c r="C160" s="164" t="s">
        <v>122</v>
      </c>
      <c r="D160" s="165" t="str">
        <f t="shared" ref="D160:F160" si="22">AVERAGE(D153:D159)</f>
        <v>#DIV/0!</v>
      </c>
      <c r="E160" s="165" t="str">
        <f t="shared" si="22"/>
        <v>#DIV/0!</v>
      </c>
      <c r="F160" s="165" t="str">
        <f t="shared" si="22"/>
        <v>#DIV/0!</v>
      </c>
      <c r="G160" s="133"/>
      <c r="H160" s="133"/>
      <c r="I160" s="133"/>
      <c r="J160" s="133"/>
      <c r="K160" s="129"/>
      <c r="L160" s="17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</row>
    <row r="161">
      <c r="A161" s="129"/>
      <c r="B161" s="129"/>
      <c r="C161" s="134"/>
      <c r="D161" s="134"/>
      <c r="E161" s="134"/>
      <c r="F161" s="134"/>
      <c r="G161" s="133"/>
      <c r="H161" s="133"/>
      <c r="I161" s="133"/>
      <c r="J161" s="133"/>
      <c r="K161" s="129"/>
      <c r="L161" s="17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</row>
    <row r="162">
      <c r="A162" s="129"/>
      <c r="B162" s="129"/>
      <c r="C162" s="148" t="s">
        <v>123</v>
      </c>
      <c r="D162" s="38"/>
      <c r="E162" s="38"/>
      <c r="F162" s="38"/>
      <c r="G162" s="24"/>
      <c r="H162" s="167"/>
      <c r="I162" s="167"/>
      <c r="J162" s="167"/>
      <c r="K162" s="129"/>
      <c r="L162" s="17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</row>
    <row r="163">
      <c r="A163" s="129"/>
      <c r="B163" s="129"/>
      <c r="C163" s="152" t="s">
        <v>107</v>
      </c>
      <c r="D163" s="176" t="s">
        <v>140</v>
      </c>
      <c r="E163" s="152" t="s">
        <v>141</v>
      </c>
      <c r="F163" s="152" t="s">
        <v>110</v>
      </c>
      <c r="G163" s="152" t="s">
        <v>111</v>
      </c>
      <c r="H163" s="167"/>
      <c r="I163" s="167"/>
      <c r="J163" s="167"/>
      <c r="K163" s="129"/>
      <c r="L163" s="17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</row>
    <row r="164">
      <c r="A164" s="129"/>
      <c r="B164" s="129"/>
      <c r="C164" s="168"/>
      <c r="D164" s="168"/>
      <c r="E164" s="168"/>
      <c r="F164" s="168"/>
      <c r="G164" s="168"/>
      <c r="H164" s="167"/>
      <c r="I164" s="167"/>
      <c r="J164" s="167"/>
      <c r="K164" s="129"/>
      <c r="L164" s="17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</row>
    <row r="165">
      <c r="A165" s="129"/>
      <c r="B165" s="129"/>
      <c r="C165" s="129"/>
      <c r="D165" s="129"/>
      <c r="E165" s="129"/>
      <c r="F165" s="129"/>
      <c r="G165" s="129"/>
      <c r="H165" s="167"/>
      <c r="I165" s="167"/>
      <c r="J165" s="167"/>
      <c r="K165" s="129"/>
      <c r="L165" s="17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</row>
    <row r="166">
      <c r="A166" s="129"/>
      <c r="B166" s="129"/>
      <c r="C166" s="129"/>
      <c r="D166" s="129"/>
      <c r="E166" s="129"/>
      <c r="F166" s="129"/>
      <c r="G166" s="129"/>
      <c r="H166" s="167"/>
      <c r="I166" s="167"/>
      <c r="J166" s="167"/>
      <c r="K166" s="129"/>
      <c r="L166" s="17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</row>
    <row r="167" ht="31.5" customHeight="1">
      <c r="A167" s="129"/>
      <c r="B167" s="129"/>
      <c r="C167" s="134"/>
      <c r="D167" s="172" t="s">
        <v>134</v>
      </c>
      <c r="E167" s="24"/>
      <c r="F167" s="134"/>
      <c r="G167" s="133"/>
      <c r="H167" s="133"/>
      <c r="I167" s="133"/>
      <c r="J167" s="133"/>
      <c r="K167" s="129"/>
      <c r="L167" s="17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</row>
    <row r="168">
      <c r="A168" s="129"/>
      <c r="B168" s="129"/>
      <c r="C168" s="145" t="s">
        <v>112</v>
      </c>
      <c r="D168" s="145" t="s">
        <v>113</v>
      </c>
      <c r="E168" s="145" t="s">
        <v>114</v>
      </c>
      <c r="F168" s="145" t="s">
        <v>115</v>
      </c>
      <c r="G168" s="133"/>
      <c r="H168" s="147"/>
      <c r="I168" s="148" t="s">
        <v>116</v>
      </c>
      <c r="J168" s="24"/>
      <c r="K168" s="129"/>
      <c r="L168" s="17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</row>
    <row r="169">
      <c r="A169" s="129"/>
      <c r="B169" s="129"/>
      <c r="C169" s="152">
        <v>45483.0</v>
      </c>
      <c r="D169" s="153"/>
      <c r="E169" s="153"/>
      <c r="F169" s="153"/>
      <c r="G169" s="133"/>
      <c r="H169" s="154"/>
      <c r="I169" s="152" t="s">
        <v>118</v>
      </c>
      <c r="J169" s="155">
        <v>2700.0</v>
      </c>
      <c r="K169" s="129"/>
      <c r="L169" s="17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</row>
    <row r="170">
      <c r="A170" s="129"/>
      <c r="B170" s="129"/>
      <c r="C170" s="152">
        <v>45484.0</v>
      </c>
      <c r="D170" s="153"/>
      <c r="E170" s="153"/>
      <c r="F170" s="153"/>
      <c r="G170" s="133"/>
      <c r="H170" s="154"/>
      <c r="I170" s="152" t="s">
        <v>119</v>
      </c>
      <c r="J170" s="155">
        <v>160.0</v>
      </c>
      <c r="K170" s="129"/>
      <c r="L170" s="17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</row>
    <row r="171">
      <c r="A171" s="129"/>
      <c r="B171" s="129"/>
      <c r="C171" s="152">
        <v>45485.0</v>
      </c>
      <c r="D171" s="153"/>
      <c r="E171" s="153"/>
      <c r="F171" s="153"/>
      <c r="G171" s="133"/>
      <c r="H171" s="154"/>
      <c r="I171" s="152" t="s">
        <v>120</v>
      </c>
      <c r="J171" s="155">
        <v>380.0</v>
      </c>
      <c r="K171" s="129"/>
      <c r="L171" s="17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</row>
    <row r="172">
      <c r="A172" s="129"/>
      <c r="B172" s="129"/>
      <c r="C172" s="152">
        <v>45486.0</v>
      </c>
      <c r="D172" s="153"/>
      <c r="E172" s="153"/>
      <c r="F172" s="153"/>
      <c r="G172" s="133"/>
      <c r="H172" s="154"/>
      <c r="I172" s="152" t="s">
        <v>121</v>
      </c>
      <c r="J172" s="155">
        <v>60.0</v>
      </c>
      <c r="K172" s="129"/>
      <c r="L172" s="17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</row>
    <row r="173">
      <c r="A173" s="129"/>
      <c r="B173" s="129"/>
      <c r="C173" s="152">
        <v>45487.0</v>
      </c>
      <c r="D173" s="153"/>
      <c r="E173" s="153"/>
      <c r="F173" s="153"/>
      <c r="G173" s="133"/>
      <c r="H173" s="133"/>
      <c r="I173" s="133"/>
      <c r="J173" s="133"/>
      <c r="K173" s="129"/>
      <c r="L173" s="17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29"/>
    </row>
    <row r="174">
      <c r="A174" s="129"/>
      <c r="B174" s="129"/>
      <c r="C174" s="152">
        <v>45488.0</v>
      </c>
      <c r="D174" s="163"/>
      <c r="E174" s="153"/>
      <c r="F174" s="153"/>
      <c r="G174" s="133"/>
      <c r="H174" s="133"/>
      <c r="I174" s="133"/>
      <c r="J174" s="133"/>
      <c r="K174" s="129"/>
      <c r="L174" s="17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29"/>
    </row>
    <row r="175">
      <c r="A175" s="129"/>
      <c r="B175" s="129"/>
      <c r="C175" s="152">
        <v>45489.0</v>
      </c>
      <c r="D175" s="163"/>
      <c r="E175" s="153"/>
      <c r="F175" s="163"/>
      <c r="G175" s="133"/>
      <c r="H175" s="133"/>
      <c r="I175" s="133"/>
      <c r="J175" s="133"/>
      <c r="K175" s="129"/>
      <c r="L175" s="17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</row>
    <row r="176">
      <c r="A176" s="129"/>
      <c r="B176" s="129"/>
      <c r="C176" s="164" t="s">
        <v>122</v>
      </c>
      <c r="D176" s="165" t="str">
        <f t="shared" ref="D176:F176" si="23">AVERAGE(D169:D175)</f>
        <v>#DIV/0!</v>
      </c>
      <c r="E176" s="165" t="str">
        <f t="shared" si="23"/>
        <v>#DIV/0!</v>
      </c>
      <c r="F176" s="165" t="str">
        <f t="shared" si="23"/>
        <v>#DIV/0!</v>
      </c>
      <c r="G176" s="133"/>
      <c r="H176" s="133"/>
      <c r="I176" s="133"/>
      <c r="J176" s="133"/>
      <c r="K176" s="129"/>
      <c r="L176" s="17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</row>
    <row r="177">
      <c r="A177" s="129"/>
      <c r="B177" s="129"/>
      <c r="C177" s="134"/>
      <c r="D177" s="134"/>
      <c r="E177" s="134"/>
      <c r="F177" s="134"/>
      <c r="G177" s="133"/>
      <c r="H177" s="133"/>
      <c r="I177" s="133"/>
      <c r="J177" s="133"/>
      <c r="K177" s="129"/>
      <c r="L177" s="17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</row>
    <row r="178">
      <c r="A178" s="129"/>
      <c r="B178" s="129"/>
      <c r="C178" s="148" t="s">
        <v>123</v>
      </c>
      <c r="D178" s="38"/>
      <c r="E178" s="38"/>
      <c r="F178" s="38"/>
      <c r="G178" s="24"/>
      <c r="H178" s="167"/>
      <c r="I178" s="167"/>
      <c r="J178" s="167"/>
      <c r="K178" s="129"/>
      <c r="L178" s="17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</row>
    <row r="179">
      <c r="A179" s="129"/>
      <c r="B179" s="129"/>
      <c r="C179" s="152" t="s">
        <v>107</v>
      </c>
      <c r="D179" s="176" t="s">
        <v>140</v>
      </c>
      <c r="E179" s="152" t="s">
        <v>141</v>
      </c>
      <c r="F179" s="152" t="s">
        <v>110</v>
      </c>
      <c r="G179" s="152" t="s">
        <v>111</v>
      </c>
      <c r="H179" s="167"/>
      <c r="I179" s="167"/>
      <c r="J179" s="167"/>
      <c r="K179" s="129"/>
      <c r="L179" s="17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</row>
    <row r="180">
      <c r="A180" s="129"/>
      <c r="B180" s="129"/>
      <c r="C180" s="168"/>
      <c r="D180" s="168"/>
      <c r="E180" s="168"/>
      <c r="F180" s="168"/>
      <c r="G180" s="168"/>
      <c r="H180" s="167"/>
      <c r="I180" s="167"/>
      <c r="J180" s="167"/>
      <c r="K180" s="129"/>
      <c r="L180" s="17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</row>
    <row r="181">
      <c r="A181" s="129"/>
      <c r="B181" s="129"/>
      <c r="C181" s="129"/>
      <c r="D181" s="129"/>
      <c r="E181" s="129"/>
      <c r="F181" s="129"/>
      <c r="G181" s="129"/>
      <c r="H181" s="167"/>
      <c r="I181" s="167"/>
      <c r="J181" s="167"/>
      <c r="K181" s="129"/>
      <c r="L181" s="17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</row>
    <row r="182">
      <c r="A182" s="129"/>
      <c r="B182" s="129"/>
      <c r="C182" s="129"/>
      <c r="D182" s="129"/>
      <c r="E182" s="129"/>
      <c r="F182" s="129"/>
      <c r="G182" s="129"/>
      <c r="H182" s="167"/>
      <c r="I182" s="167"/>
      <c r="J182" s="167"/>
      <c r="K182" s="129"/>
      <c r="L182" s="17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</row>
    <row r="183" ht="30.0" customHeight="1">
      <c r="A183" s="129"/>
      <c r="B183" s="129"/>
      <c r="C183" s="134"/>
      <c r="D183" s="172" t="s">
        <v>135</v>
      </c>
      <c r="E183" s="24"/>
      <c r="F183" s="134"/>
      <c r="G183" s="133"/>
      <c r="H183" s="133"/>
      <c r="I183" s="133"/>
      <c r="J183" s="133"/>
      <c r="K183" s="129"/>
      <c r="L183" s="17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</row>
    <row r="184">
      <c r="A184" s="129"/>
      <c r="B184" s="129"/>
      <c r="C184" s="145" t="s">
        <v>112</v>
      </c>
      <c r="D184" s="145" t="s">
        <v>113</v>
      </c>
      <c r="E184" s="145" t="s">
        <v>114</v>
      </c>
      <c r="F184" s="145" t="s">
        <v>115</v>
      </c>
      <c r="G184" s="133"/>
      <c r="H184" s="147"/>
      <c r="I184" s="148" t="s">
        <v>116</v>
      </c>
      <c r="J184" s="24"/>
      <c r="K184" s="129"/>
      <c r="L184" s="17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29"/>
    </row>
    <row r="185">
      <c r="A185" s="129"/>
      <c r="B185" s="129"/>
      <c r="C185" s="152">
        <v>45483.0</v>
      </c>
      <c r="D185" s="153"/>
      <c r="E185" s="153"/>
      <c r="F185" s="153"/>
      <c r="G185" s="133"/>
      <c r="H185" s="154"/>
      <c r="I185" s="152" t="s">
        <v>118</v>
      </c>
      <c r="J185" s="155">
        <v>2700.0</v>
      </c>
      <c r="K185" s="129"/>
      <c r="L185" s="17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29"/>
    </row>
    <row r="186">
      <c r="A186" s="129"/>
      <c r="B186" s="129"/>
      <c r="C186" s="152">
        <v>45484.0</v>
      </c>
      <c r="D186" s="153"/>
      <c r="E186" s="153"/>
      <c r="F186" s="153"/>
      <c r="G186" s="133"/>
      <c r="H186" s="154"/>
      <c r="I186" s="152" t="s">
        <v>119</v>
      </c>
      <c r="J186" s="155">
        <v>160.0</v>
      </c>
      <c r="K186" s="129"/>
      <c r="L186" s="17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29"/>
    </row>
    <row r="187">
      <c r="A187" s="129"/>
      <c r="B187" s="129"/>
      <c r="C187" s="152">
        <v>45485.0</v>
      </c>
      <c r="D187" s="153"/>
      <c r="E187" s="153"/>
      <c r="F187" s="153"/>
      <c r="G187" s="133"/>
      <c r="H187" s="154"/>
      <c r="I187" s="152" t="s">
        <v>120</v>
      </c>
      <c r="J187" s="155">
        <v>380.0</v>
      </c>
      <c r="K187" s="129"/>
      <c r="L187" s="17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29"/>
    </row>
    <row r="188">
      <c r="A188" s="129"/>
      <c r="B188" s="129"/>
      <c r="C188" s="152">
        <v>45486.0</v>
      </c>
      <c r="D188" s="153"/>
      <c r="E188" s="153"/>
      <c r="F188" s="153"/>
      <c r="G188" s="133"/>
      <c r="H188" s="154"/>
      <c r="I188" s="152" t="s">
        <v>121</v>
      </c>
      <c r="J188" s="155">
        <v>60.0</v>
      </c>
      <c r="K188" s="129"/>
      <c r="L188" s="17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29"/>
    </row>
    <row r="189">
      <c r="A189" s="129"/>
      <c r="B189" s="129"/>
      <c r="C189" s="152">
        <v>45487.0</v>
      </c>
      <c r="D189" s="153"/>
      <c r="E189" s="153"/>
      <c r="F189" s="153"/>
      <c r="G189" s="133"/>
      <c r="H189" s="133"/>
      <c r="I189" s="133"/>
      <c r="J189" s="133"/>
      <c r="K189" s="129"/>
      <c r="L189" s="17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29"/>
    </row>
    <row r="190">
      <c r="A190" s="129"/>
      <c r="B190" s="129"/>
      <c r="C190" s="152">
        <v>45488.0</v>
      </c>
      <c r="D190" s="163"/>
      <c r="E190" s="153"/>
      <c r="F190" s="153"/>
      <c r="G190" s="133"/>
      <c r="H190" s="133"/>
      <c r="I190" s="133"/>
      <c r="J190" s="133"/>
      <c r="K190" s="129"/>
      <c r="L190" s="17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29"/>
    </row>
    <row r="191">
      <c r="A191" s="129"/>
      <c r="B191" s="129"/>
      <c r="C191" s="152">
        <v>45489.0</v>
      </c>
      <c r="D191" s="163"/>
      <c r="E191" s="153"/>
      <c r="F191" s="163"/>
      <c r="G191" s="133"/>
      <c r="H191" s="133"/>
      <c r="I191" s="133"/>
      <c r="J191" s="133"/>
      <c r="K191" s="129"/>
      <c r="L191" s="17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29"/>
    </row>
    <row r="192">
      <c r="A192" s="129"/>
      <c r="B192" s="129"/>
      <c r="C192" s="164" t="s">
        <v>122</v>
      </c>
      <c r="D192" s="165" t="str">
        <f t="shared" ref="D192:F192" si="24">AVERAGE(D185:D191)</f>
        <v>#DIV/0!</v>
      </c>
      <c r="E192" s="165" t="str">
        <f t="shared" si="24"/>
        <v>#DIV/0!</v>
      </c>
      <c r="F192" s="165" t="str">
        <f t="shared" si="24"/>
        <v>#DIV/0!</v>
      </c>
      <c r="G192" s="133"/>
      <c r="H192" s="133"/>
      <c r="I192" s="133"/>
      <c r="J192" s="133"/>
      <c r="K192" s="129"/>
      <c r="L192" s="17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29"/>
    </row>
    <row r="193">
      <c r="A193" s="129"/>
      <c r="B193" s="129"/>
      <c r="C193" s="134"/>
      <c r="D193" s="134"/>
      <c r="E193" s="134"/>
      <c r="F193" s="134"/>
      <c r="G193" s="133"/>
      <c r="H193" s="133"/>
      <c r="I193" s="133"/>
      <c r="J193" s="133"/>
      <c r="K193" s="129"/>
      <c r="L193" s="17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29"/>
    </row>
    <row r="194">
      <c r="A194" s="129"/>
      <c r="B194" s="129"/>
      <c r="C194" s="148" t="s">
        <v>123</v>
      </c>
      <c r="D194" s="38"/>
      <c r="E194" s="38"/>
      <c r="F194" s="38"/>
      <c r="G194" s="24"/>
      <c r="H194" s="167"/>
      <c r="I194" s="167"/>
      <c r="J194" s="167"/>
      <c r="K194" s="129"/>
      <c r="L194" s="17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29"/>
    </row>
    <row r="195">
      <c r="A195" s="129"/>
      <c r="B195" s="129"/>
      <c r="C195" s="152" t="s">
        <v>107</v>
      </c>
      <c r="D195" s="176" t="s">
        <v>140</v>
      </c>
      <c r="E195" s="152" t="s">
        <v>141</v>
      </c>
      <c r="F195" s="152" t="s">
        <v>110</v>
      </c>
      <c r="G195" s="152" t="s">
        <v>111</v>
      </c>
      <c r="H195" s="167"/>
      <c r="I195" s="167"/>
      <c r="J195" s="167"/>
      <c r="K195" s="129"/>
      <c r="L195" s="17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29"/>
    </row>
    <row r="196">
      <c r="A196" s="129"/>
      <c r="B196" s="129"/>
      <c r="C196" s="168"/>
      <c r="D196" s="168"/>
      <c r="E196" s="168"/>
      <c r="F196" s="168"/>
      <c r="G196" s="168"/>
      <c r="H196" s="167"/>
      <c r="I196" s="167"/>
      <c r="J196" s="167"/>
      <c r="K196" s="129"/>
      <c r="L196" s="17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</row>
    <row r="197">
      <c r="A197" s="129"/>
      <c r="B197" s="129"/>
      <c r="C197" s="129"/>
      <c r="D197" s="129"/>
      <c r="E197" s="129"/>
      <c r="F197" s="129"/>
      <c r="G197" s="129"/>
      <c r="H197" s="167"/>
      <c r="I197" s="167"/>
      <c r="J197" s="167"/>
      <c r="K197" s="129"/>
      <c r="L197" s="17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</row>
    <row r="198">
      <c r="A198" s="129"/>
      <c r="B198" s="129"/>
      <c r="C198" s="129"/>
      <c r="D198" s="129"/>
      <c r="E198" s="129"/>
      <c r="F198" s="129"/>
      <c r="G198" s="129"/>
      <c r="H198" s="167"/>
      <c r="I198" s="167"/>
      <c r="J198" s="167"/>
      <c r="K198" s="129"/>
      <c r="L198" s="17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29"/>
    </row>
    <row r="199" ht="25.5" customHeight="1">
      <c r="A199" s="129"/>
      <c r="B199" s="129"/>
      <c r="C199" s="134"/>
      <c r="D199" s="172" t="s">
        <v>136</v>
      </c>
      <c r="E199" s="24"/>
      <c r="F199" s="134"/>
      <c r="G199" s="133"/>
      <c r="H199" s="133"/>
      <c r="I199" s="133"/>
      <c r="J199" s="133"/>
      <c r="K199" s="129"/>
      <c r="L199" s="17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</row>
    <row r="200">
      <c r="A200" s="129"/>
      <c r="B200" s="129"/>
      <c r="C200" s="145" t="s">
        <v>112</v>
      </c>
      <c r="D200" s="145" t="s">
        <v>113</v>
      </c>
      <c r="E200" s="145" t="s">
        <v>114</v>
      </c>
      <c r="F200" s="145" t="s">
        <v>115</v>
      </c>
      <c r="G200" s="133"/>
      <c r="H200" s="147"/>
      <c r="I200" s="148" t="s">
        <v>116</v>
      </c>
      <c r="J200" s="24"/>
      <c r="K200" s="129"/>
      <c r="L200" s="17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</row>
    <row r="201">
      <c r="A201" s="129"/>
      <c r="B201" s="129"/>
      <c r="C201" s="152">
        <v>45483.0</v>
      </c>
      <c r="D201" s="153"/>
      <c r="E201" s="153"/>
      <c r="F201" s="153"/>
      <c r="G201" s="133"/>
      <c r="H201" s="154"/>
      <c r="I201" s="152" t="s">
        <v>118</v>
      </c>
      <c r="J201" s="155">
        <v>2700.0</v>
      </c>
      <c r="K201" s="129"/>
      <c r="L201" s="17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</row>
    <row r="202">
      <c r="A202" s="129"/>
      <c r="B202" s="129"/>
      <c r="C202" s="152">
        <v>45484.0</v>
      </c>
      <c r="D202" s="153"/>
      <c r="E202" s="153"/>
      <c r="F202" s="153"/>
      <c r="G202" s="133"/>
      <c r="H202" s="154"/>
      <c r="I202" s="152" t="s">
        <v>119</v>
      </c>
      <c r="J202" s="155">
        <v>160.0</v>
      </c>
      <c r="K202" s="129"/>
      <c r="L202" s="17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</row>
    <row r="203">
      <c r="A203" s="129"/>
      <c r="B203" s="129"/>
      <c r="C203" s="152">
        <v>45485.0</v>
      </c>
      <c r="D203" s="153"/>
      <c r="E203" s="153"/>
      <c r="F203" s="153"/>
      <c r="G203" s="133"/>
      <c r="H203" s="154"/>
      <c r="I203" s="152" t="s">
        <v>120</v>
      </c>
      <c r="J203" s="155">
        <v>380.0</v>
      </c>
      <c r="K203" s="129"/>
      <c r="L203" s="17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</row>
    <row r="204">
      <c r="A204" s="129"/>
      <c r="B204" s="129"/>
      <c r="C204" s="152">
        <v>45486.0</v>
      </c>
      <c r="D204" s="153"/>
      <c r="E204" s="153"/>
      <c r="F204" s="153"/>
      <c r="G204" s="133"/>
      <c r="H204" s="154"/>
      <c r="I204" s="152" t="s">
        <v>121</v>
      </c>
      <c r="J204" s="155">
        <v>60.0</v>
      </c>
      <c r="K204" s="129"/>
      <c r="L204" s="17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</row>
    <row r="205">
      <c r="A205" s="129"/>
      <c r="B205" s="129"/>
      <c r="C205" s="152">
        <v>45487.0</v>
      </c>
      <c r="D205" s="153"/>
      <c r="E205" s="153"/>
      <c r="F205" s="153"/>
      <c r="G205" s="133"/>
      <c r="H205" s="133"/>
      <c r="I205" s="133"/>
      <c r="J205" s="133"/>
      <c r="K205" s="129"/>
      <c r="L205" s="17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</row>
    <row r="206">
      <c r="A206" s="129"/>
      <c r="B206" s="129"/>
      <c r="C206" s="152">
        <v>45488.0</v>
      </c>
      <c r="D206" s="163"/>
      <c r="E206" s="153"/>
      <c r="F206" s="153"/>
      <c r="G206" s="133"/>
      <c r="H206" s="133"/>
      <c r="I206" s="133"/>
      <c r="J206" s="133"/>
      <c r="K206" s="129"/>
      <c r="L206" s="17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</row>
    <row r="207">
      <c r="A207" s="129"/>
      <c r="B207" s="129"/>
      <c r="C207" s="152">
        <v>45489.0</v>
      </c>
      <c r="D207" s="163"/>
      <c r="E207" s="153"/>
      <c r="F207" s="163"/>
      <c r="G207" s="133"/>
      <c r="H207" s="133"/>
      <c r="I207" s="133"/>
      <c r="J207" s="133"/>
      <c r="K207" s="129"/>
      <c r="L207" s="17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</row>
    <row r="208">
      <c r="A208" s="129"/>
      <c r="B208" s="129"/>
      <c r="C208" s="164" t="s">
        <v>122</v>
      </c>
      <c r="D208" s="165" t="str">
        <f t="shared" ref="D208:F208" si="25">AVERAGE(D201:D207)</f>
        <v>#DIV/0!</v>
      </c>
      <c r="E208" s="165" t="str">
        <f t="shared" si="25"/>
        <v>#DIV/0!</v>
      </c>
      <c r="F208" s="165" t="str">
        <f t="shared" si="25"/>
        <v>#DIV/0!</v>
      </c>
      <c r="G208" s="133"/>
      <c r="H208" s="133"/>
      <c r="I208" s="133"/>
      <c r="J208" s="133"/>
      <c r="K208" s="129"/>
      <c r="L208" s="17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</row>
    <row r="209">
      <c r="A209" s="129"/>
      <c r="B209" s="129"/>
      <c r="C209" s="134"/>
      <c r="D209" s="134"/>
      <c r="E209" s="134"/>
      <c r="F209" s="134"/>
      <c r="G209" s="133"/>
      <c r="H209" s="133"/>
      <c r="I209" s="133"/>
      <c r="J209" s="133"/>
      <c r="K209" s="129"/>
      <c r="L209" s="17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</row>
    <row r="210">
      <c r="A210" s="129"/>
      <c r="B210" s="129"/>
      <c r="C210" s="148" t="s">
        <v>123</v>
      </c>
      <c r="D210" s="38"/>
      <c r="E210" s="38"/>
      <c r="F210" s="38"/>
      <c r="G210" s="24"/>
      <c r="H210" s="167"/>
      <c r="I210" s="167"/>
      <c r="J210" s="167"/>
      <c r="K210" s="129"/>
      <c r="L210" s="17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29"/>
    </row>
    <row r="211">
      <c r="A211" s="129"/>
      <c r="B211" s="129"/>
      <c r="C211" s="152" t="s">
        <v>107</v>
      </c>
      <c r="D211" s="176" t="s">
        <v>140</v>
      </c>
      <c r="E211" s="152" t="s">
        <v>141</v>
      </c>
      <c r="F211" s="152" t="s">
        <v>110</v>
      </c>
      <c r="G211" s="152" t="s">
        <v>111</v>
      </c>
      <c r="H211" s="167"/>
      <c r="I211" s="167"/>
      <c r="J211" s="167"/>
      <c r="K211" s="129"/>
      <c r="L211" s="17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29"/>
    </row>
    <row r="212">
      <c r="A212" s="129"/>
      <c r="B212" s="129"/>
      <c r="C212" s="168"/>
      <c r="D212" s="168"/>
      <c r="E212" s="168"/>
      <c r="F212" s="168"/>
      <c r="G212" s="168"/>
      <c r="H212" s="167"/>
      <c r="I212" s="167"/>
      <c r="J212" s="167"/>
      <c r="K212" s="129"/>
      <c r="L212" s="17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29"/>
    </row>
    <row r="213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7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</row>
    <row r="214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7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29"/>
    </row>
    <row r="215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7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29"/>
    </row>
    <row r="216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7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29"/>
    </row>
    <row r="217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7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29"/>
    </row>
    <row r="218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7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29"/>
    </row>
    <row r="219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7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29"/>
    </row>
    <row r="220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7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29"/>
    </row>
    <row r="22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7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29"/>
    </row>
    <row r="222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7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29"/>
    </row>
    <row r="223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7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29"/>
    </row>
    <row r="224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7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29"/>
    </row>
    <row r="225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7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29"/>
    </row>
    <row r="226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7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29"/>
    </row>
    <row r="227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7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29"/>
    </row>
    <row r="228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7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29"/>
    </row>
    <row r="229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7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</row>
    <row r="230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7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29"/>
    </row>
    <row r="23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7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29"/>
    </row>
    <row r="232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7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29"/>
    </row>
    <row r="233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7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29"/>
    </row>
    <row r="234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7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</row>
    <row r="235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7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</row>
    <row r="236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7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</row>
    <row r="237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7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</row>
    <row r="238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7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</row>
    <row r="239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7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</row>
    <row r="240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7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</row>
    <row r="24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7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</row>
    <row r="242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7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</row>
    <row r="243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7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</row>
    <row r="244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7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</row>
    <row r="245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7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</row>
    <row r="246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7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</row>
    <row r="247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7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</row>
    <row r="248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7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</row>
    <row r="249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7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</row>
    <row r="250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7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</row>
    <row r="25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7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</row>
    <row r="252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7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</row>
    <row r="253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7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</row>
    <row r="254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7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</row>
    <row r="255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7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</row>
    <row r="256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7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</row>
    <row r="257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7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</row>
    <row r="258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7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</row>
    <row r="259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7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</row>
    <row r="260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7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</row>
    <row r="26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7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</row>
    <row r="262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7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</row>
    <row r="263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7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</row>
    <row r="264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7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</row>
    <row r="265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7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</row>
    <row r="266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7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</row>
    <row r="267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7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</row>
    <row r="268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7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</row>
    <row r="269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7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  <c r="AE269" s="129"/>
      <c r="AF269" s="129"/>
      <c r="AG269" s="129"/>
    </row>
    <row r="270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7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</row>
    <row r="27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7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</row>
    <row r="272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7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</row>
    <row r="273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7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</row>
    <row r="274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7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</row>
    <row r="275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7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</row>
    <row r="276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7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</row>
    <row r="277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7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</row>
    <row r="278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7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</row>
    <row r="279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7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</row>
    <row r="280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7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</row>
    <row r="28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7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</row>
    <row r="282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7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</row>
    <row r="283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7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</row>
    <row r="284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7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</row>
    <row r="285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7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</row>
    <row r="286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7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</row>
    <row r="287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7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</row>
    <row r="288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7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</row>
    <row r="289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7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</row>
    <row r="290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7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</row>
    <row r="29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7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</row>
    <row r="292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7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</row>
    <row r="293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7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</row>
    <row r="294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7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</row>
    <row r="295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7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</row>
    <row r="296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7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</row>
    <row r="297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7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</row>
    <row r="298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7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</row>
    <row r="299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7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</row>
    <row r="300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7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</row>
    <row r="30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7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</row>
    <row r="302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7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</row>
    <row r="303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7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</row>
    <row r="304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7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</row>
    <row r="305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7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</row>
    <row r="306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7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</row>
    <row r="307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7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</row>
    <row r="308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7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</row>
    <row r="309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7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</row>
    <row r="310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7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</row>
    <row r="31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7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</row>
    <row r="312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7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</row>
    <row r="313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7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</row>
    <row r="314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7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</row>
    <row r="315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7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</row>
    <row r="316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7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</row>
    <row r="317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7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</row>
    <row r="318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7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</row>
    <row r="319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7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</row>
    <row r="320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7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</row>
    <row r="32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7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</row>
    <row r="322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7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</row>
    <row r="323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7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</row>
    <row r="324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7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</row>
    <row r="325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7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  <c r="AE325" s="129"/>
      <c r="AF325" s="129"/>
      <c r="AG325" s="129"/>
    </row>
    <row r="326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7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  <c r="AE326" s="129"/>
      <c r="AF326" s="129"/>
      <c r="AG326" s="129"/>
    </row>
    <row r="327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7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  <c r="AD327" s="129"/>
      <c r="AE327" s="129"/>
      <c r="AF327" s="129"/>
      <c r="AG327" s="129"/>
    </row>
    <row r="328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7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  <c r="AD328" s="129"/>
      <c r="AE328" s="129"/>
      <c r="AF328" s="129"/>
      <c r="AG328" s="129"/>
    </row>
    <row r="329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7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  <c r="AE329" s="129"/>
      <c r="AF329" s="129"/>
      <c r="AG329" s="129"/>
    </row>
    <row r="330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7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  <c r="AD330" s="129"/>
      <c r="AE330" s="129"/>
      <c r="AF330" s="129"/>
      <c r="AG330" s="129"/>
    </row>
    <row r="33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7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  <c r="AD331" s="129"/>
      <c r="AE331" s="129"/>
      <c r="AF331" s="129"/>
      <c r="AG331" s="129"/>
    </row>
    <row r="332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7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  <c r="AD332" s="129"/>
      <c r="AE332" s="129"/>
      <c r="AF332" s="129"/>
      <c r="AG332" s="129"/>
    </row>
    <row r="333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7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  <c r="AD333" s="129"/>
      <c r="AE333" s="129"/>
      <c r="AF333" s="129"/>
      <c r="AG333" s="129"/>
    </row>
    <row r="334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7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  <c r="AD334" s="129"/>
      <c r="AE334" s="129"/>
      <c r="AF334" s="129"/>
      <c r="AG334" s="129"/>
    </row>
    <row r="335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7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  <c r="AD335" s="129"/>
      <c r="AE335" s="129"/>
      <c r="AF335" s="129"/>
      <c r="AG335" s="129"/>
    </row>
    <row r="336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7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  <c r="AD336" s="129"/>
      <c r="AE336" s="129"/>
      <c r="AF336" s="129"/>
      <c r="AG336" s="129"/>
    </row>
    <row r="337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7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  <c r="AD337" s="129"/>
      <c r="AE337" s="129"/>
      <c r="AF337" s="129"/>
      <c r="AG337" s="129"/>
    </row>
    <row r="338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7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  <c r="AD338" s="129"/>
      <c r="AE338" s="129"/>
      <c r="AF338" s="129"/>
      <c r="AG338" s="129"/>
    </row>
    <row r="339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7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  <c r="AD339" s="129"/>
      <c r="AE339" s="129"/>
      <c r="AF339" s="129"/>
      <c r="AG339" s="129"/>
    </row>
    <row r="340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7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  <c r="AD340" s="129"/>
      <c r="AE340" s="129"/>
      <c r="AF340" s="129"/>
      <c r="AG340" s="129"/>
    </row>
    <row r="34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7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  <c r="AD341" s="129"/>
      <c r="AE341" s="129"/>
      <c r="AF341" s="129"/>
      <c r="AG341" s="129"/>
    </row>
    <row r="342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7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  <c r="AD342" s="129"/>
      <c r="AE342" s="129"/>
      <c r="AF342" s="129"/>
      <c r="AG342" s="129"/>
    </row>
    <row r="343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7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  <c r="AD343" s="129"/>
      <c r="AE343" s="129"/>
      <c r="AF343" s="129"/>
      <c r="AG343" s="129"/>
    </row>
    <row r="344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7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  <c r="AD344" s="129"/>
      <c r="AE344" s="129"/>
      <c r="AF344" s="129"/>
      <c r="AG344" s="129"/>
    </row>
    <row r="345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7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  <c r="AD345" s="129"/>
      <c r="AE345" s="129"/>
      <c r="AF345" s="129"/>
      <c r="AG345" s="129"/>
    </row>
    <row r="346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7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  <c r="AD346" s="129"/>
      <c r="AE346" s="129"/>
      <c r="AF346" s="129"/>
      <c r="AG346" s="129"/>
    </row>
    <row r="347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7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  <c r="AD347" s="129"/>
      <c r="AE347" s="129"/>
      <c r="AF347" s="129"/>
      <c r="AG347" s="129"/>
    </row>
    <row r="348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7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</row>
    <row r="349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7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</row>
    <row r="350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7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  <c r="AD350" s="129"/>
      <c r="AE350" s="129"/>
      <c r="AF350" s="129"/>
      <c r="AG350" s="129"/>
    </row>
    <row r="35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7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</row>
    <row r="352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7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</row>
    <row r="353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7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</row>
    <row r="354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7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</row>
    <row r="355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7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</row>
    <row r="356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7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</row>
    <row r="357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7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</row>
    <row r="358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7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</row>
    <row r="359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7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</row>
    <row r="360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7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</row>
    <row r="36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7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</row>
    <row r="362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7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  <c r="AE362" s="129"/>
      <c r="AF362" s="129"/>
      <c r="AG362" s="129"/>
    </row>
    <row r="363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7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  <c r="AE363" s="129"/>
      <c r="AF363" s="129"/>
      <c r="AG363" s="129"/>
    </row>
    <row r="364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7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  <c r="AE364" s="129"/>
      <c r="AF364" s="129"/>
      <c r="AG364" s="129"/>
    </row>
    <row r="365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7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  <c r="AE365" s="129"/>
      <c r="AF365" s="129"/>
      <c r="AG365" s="129"/>
    </row>
    <row r="366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7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  <c r="AE366" s="129"/>
      <c r="AF366" s="129"/>
      <c r="AG366" s="129"/>
    </row>
    <row r="367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7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  <c r="AE367" s="129"/>
      <c r="AF367" s="129"/>
      <c r="AG367" s="129"/>
    </row>
    <row r="368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7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</row>
    <row r="369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7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  <c r="AE369" s="129"/>
      <c r="AF369" s="129"/>
      <c r="AG369" s="129"/>
    </row>
    <row r="370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7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  <c r="AE370" s="129"/>
      <c r="AF370" s="129"/>
      <c r="AG370" s="129"/>
    </row>
    <row r="37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7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  <c r="AE371" s="129"/>
      <c r="AF371" s="129"/>
      <c r="AG371" s="129"/>
    </row>
    <row r="372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7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  <c r="AE372" s="129"/>
      <c r="AF372" s="129"/>
      <c r="AG372" s="129"/>
    </row>
    <row r="373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7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</row>
    <row r="374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7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</row>
    <row r="375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7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</row>
    <row r="376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7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</row>
    <row r="377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7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  <c r="AE377" s="129"/>
      <c r="AF377" s="129"/>
      <c r="AG377" s="129"/>
    </row>
    <row r="378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7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  <c r="AE378" s="129"/>
      <c r="AF378" s="129"/>
      <c r="AG378" s="129"/>
    </row>
    <row r="379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7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  <c r="AE379" s="129"/>
      <c r="AF379" s="129"/>
      <c r="AG379" s="129"/>
    </row>
    <row r="380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7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  <c r="AE380" s="129"/>
      <c r="AF380" s="129"/>
      <c r="AG380" s="129"/>
    </row>
    <row r="38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7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  <c r="AE381" s="129"/>
      <c r="AF381" s="129"/>
      <c r="AG381" s="129"/>
    </row>
    <row r="382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7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  <c r="AE382" s="129"/>
      <c r="AF382" s="129"/>
      <c r="AG382" s="129"/>
    </row>
    <row r="383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7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  <c r="AE383" s="129"/>
      <c r="AF383" s="129"/>
      <c r="AG383" s="129"/>
    </row>
    <row r="384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7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  <c r="AE384" s="129"/>
      <c r="AF384" s="129"/>
      <c r="AG384" s="129"/>
    </row>
    <row r="385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7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  <c r="AE385" s="129"/>
      <c r="AF385" s="129"/>
      <c r="AG385" s="129"/>
    </row>
    <row r="386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7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</row>
    <row r="387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7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</row>
    <row r="388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7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  <c r="AE388" s="129"/>
      <c r="AF388" s="129"/>
      <c r="AG388" s="129"/>
    </row>
    <row r="389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7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</row>
    <row r="390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7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</row>
    <row r="39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7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</row>
    <row r="392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7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</row>
    <row r="393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7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</row>
    <row r="394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7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</row>
    <row r="395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7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</row>
    <row r="396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7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</row>
    <row r="397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7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</row>
    <row r="398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7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</row>
    <row r="399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7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</row>
    <row r="400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7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  <c r="AE400" s="129"/>
      <c r="AF400" s="129"/>
      <c r="AG400" s="129"/>
    </row>
    <row r="40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7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  <c r="AE401" s="129"/>
      <c r="AF401" s="129"/>
      <c r="AG401" s="129"/>
    </row>
    <row r="402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7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  <c r="AE402" s="129"/>
      <c r="AF402" s="129"/>
      <c r="AG402" s="129"/>
    </row>
    <row r="403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7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  <c r="AE403" s="129"/>
      <c r="AF403" s="129"/>
      <c r="AG403" s="129"/>
    </row>
    <row r="404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7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  <c r="AD404" s="129"/>
      <c r="AE404" s="129"/>
      <c r="AF404" s="129"/>
      <c r="AG404" s="129"/>
    </row>
    <row r="405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7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129"/>
    </row>
    <row r="406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7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29"/>
      <c r="AG406" s="129"/>
    </row>
    <row r="407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7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  <c r="AE407" s="129"/>
      <c r="AF407" s="129"/>
      <c r="AG407" s="129"/>
    </row>
    <row r="408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7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  <c r="AE408" s="129"/>
      <c r="AF408" s="129"/>
      <c r="AG408" s="129"/>
    </row>
    <row r="409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7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  <c r="AE409" s="129"/>
      <c r="AF409" s="129"/>
      <c r="AG409" s="129"/>
    </row>
    <row r="410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7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  <c r="AE410" s="129"/>
      <c r="AF410" s="129"/>
      <c r="AG410" s="129"/>
    </row>
    <row r="41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7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  <c r="AD411" s="129"/>
      <c r="AE411" s="129"/>
      <c r="AF411" s="129"/>
      <c r="AG411" s="129"/>
    </row>
    <row r="412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7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  <c r="AE412" s="129"/>
      <c r="AF412" s="129"/>
      <c r="AG412" s="129"/>
    </row>
    <row r="413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7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  <c r="AE413" s="129"/>
      <c r="AF413" s="129"/>
      <c r="AG413" s="129"/>
    </row>
    <row r="414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7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</row>
    <row r="415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7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  <c r="AE415" s="129"/>
      <c r="AF415" s="129"/>
      <c r="AG415" s="129"/>
    </row>
    <row r="416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7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  <c r="AE416" s="129"/>
      <c r="AF416" s="129"/>
      <c r="AG416" s="129"/>
    </row>
    <row r="417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7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  <c r="AE417" s="129"/>
      <c r="AF417" s="129"/>
      <c r="AG417" s="129"/>
    </row>
    <row r="418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7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</row>
    <row r="419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7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  <c r="AE419" s="129"/>
      <c r="AF419" s="129"/>
      <c r="AG419" s="129"/>
    </row>
    <row r="420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7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  <c r="AE420" s="129"/>
      <c r="AF420" s="129"/>
      <c r="AG420" s="129"/>
    </row>
    <row r="42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7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  <c r="AE421" s="129"/>
      <c r="AF421" s="129"/>
      <c r="AG421" s="129"/>
    </row>
    <row r="422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7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</row>
    <row r="423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7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  <c r="AE423" s="129"/>
      <c r="AF423" s="129"/>
      <c r="AG423" s="129"/>
    </row>
    <row r="424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7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</row>
    <row r="425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7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</row>
    <row r="426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7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  <c r="AE426" s="129"/>
      <c r="AF426" s="129"/>
      <c r="AG426" s="129"/>
    </row>
    <row r="427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7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</row>
    <row r="428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7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</row>
    <row r="429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7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</row>
    <row r="430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7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</row>
    <row r="43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7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</row>
    <row r="432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7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</row>
    <row r="433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7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</row>
    <row r="434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7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</row>
    <row r="435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7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</row>
    <row r="436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7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</row>
    <row r="437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7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</row>
    <row r="438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7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</row>
    <row r="439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7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</row>
    <row r="440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7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</row>
    <row r="44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7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</row>
    <row r="442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7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</row>
    <row r="443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7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</row>
    <row r="444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7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</row>
    <row r="445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7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</row>
    <row r="446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7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</row>
    <row r="447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7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</row>
    <row r="448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7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</row>
    <row r="449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7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</row>
    <row r="450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7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</row>
    <row r="45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7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</row>
    <row r="452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7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</row>
    <row r="453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7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</row>
    <row r="454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7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</row>
    <row r="455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7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</row>
    <row r="456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7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  <c r="AE456" s="129"/>
      <c r="AF456" s="129"/>
      <c r="AG456" s="129"/>
    </row>
    <row r="457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7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</row>
    <row r="458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7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</row>
    <row r="459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7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  <c r="AE459" s="129"/>
      <c r="AF459" s="129"/>
      <c r="AG459" s="129"/>
    </row>
    <row r="460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7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  <c r="AE460" s="129"/>
      <c r="AF460" s="129"/>
      <c r="AG460" s="129"/>
    </row>
    <row r="46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7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  <c r="AE461" s="129"/>
      <c r="AF461" s="129"/>
      <c r="AG461" s="129"/>
    </row>
    <row r="462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7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</row>
    <row r="463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7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</row>
    <row r="464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7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</row>
    <row r="465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7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</row>
    <row r="466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7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</row>
    <row r="467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7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</row>
    <row r="468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7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</row>
    <row r="469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7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</row>
    <row r="470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7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</row>
    <row r="47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7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</row>
    <row r="472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7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</row>
    <row r="473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7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</row>
    <row r="474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7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</row>
    <row r="475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7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</row>
    <row r="476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7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  <c r="AE476" s="129"/>
      <c r="AF476" s="129"/>
      <c r="AG476" s="129"/>
    </row>
    <row r="477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7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</row>
    <row r="478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7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  <c r="AE478" s="129"/>
      <c r="AF478" s="129"/>
      <c r="AG478" s="129"/>
    </row>
    <row r="479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7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  <c r="AE479" s="129"/>
      <c r="AF479" s="129"/>
      <c r="AG479" s="129"/>
    </row>
    <row r="480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7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  <c r="AE480" s="129"/>
      <c r="AF480" s="129"/>
      <c r="AG480" s="129"/>
    </row>
    <row r="48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7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</row>
    <row r="482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7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</row>
    <row r="483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7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</row>
    <row r="484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7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</row>
    <row r="485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7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</row>
    <row r="486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7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</row>
    <row r="487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7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</row>
    <row r="488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7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</row>
    <row r="489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7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</row>
    <row r="490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7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</row>
    <row r="49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7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</row>
    <row r="492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7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</row>
    <row r="493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7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</row>
    <row r="494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7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</row>
    <row r="495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7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</row>
    <row r="496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7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</row>
    <row r="497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7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</row>
    <row r="498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7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</row>
    <row r="499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7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</row>
    <row r="500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7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</row>
    <row r="50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7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</row>
    <row r="502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7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</row>
    <row r="503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7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</row>
    <row r="504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7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</row>
    <row r="505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7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</row>
    <row r="506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7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</row>
    <row r="507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7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</row>
    <row r="508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7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</row>
    <row r="509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7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</row>
    <row r="510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7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</row>
    <row r="51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7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</row>
    <row r="512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7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</row>
    <row r="513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7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</row>
    <row r="514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7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</row>
    <row r="515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7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</row>
    <row r="516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7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</row>
    <row r="517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7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</row>
    <row r="518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7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</row>
    <row r="519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7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</row>
    <row r="520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7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</row>
    <row r="52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7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</row>
    <row r="522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7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</row>
    <row r="523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7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</row>
    <row r="524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7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</row>
    <row r="525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7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</row>
    <row r="526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7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</row>
    <row r="527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7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</row>
    <row r="528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7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</row>
    <row r="529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7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</row>
    <row r="530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7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</row>
    <row r="53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7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</row>
    <row r="532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7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</row>
    <row r="533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7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</row>
    <row r="534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7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</row>
    <row r="535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7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</row>
    <row r="536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7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</row>
    <row r="537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7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</row>
    <row r="538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7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</row>
    <row r="539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7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</row>
    <row r="540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7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</row>
    <row r="54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7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</row>
    <row r="542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7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</row>
    <row r="543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7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</row>
    <row r="544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7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</row>
    <row r="545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7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</row>
    <row r="546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7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</row>
    <row r="547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7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</row>
    <row r="548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7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</row>
    <row r="549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7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</row>
    <row r="550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7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</row>
    <row r="55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7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</row>
    <row r="552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7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</row>
    <row r="553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7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</row>
    <row r="554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7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</row>
    <row r="555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7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</row>
    <row r="556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7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</row>
    <row r="557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7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</row>
    <row r="558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7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</row>
    <row r="559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7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</row>
    <row r="560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7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</row>
    <row r="56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7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</row>
    <row r="562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7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</row>
    <row r="563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7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</row>
    <row r="564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7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</row>
    <row r="565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7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</row>
    <row r="566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7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</row>
    <row r="567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7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</row>
    <row r="568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7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</row>
    <row r="569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7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</row>
    <row r="570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7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</row>
    <row r="57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7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</row>
    <row r="572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7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</row>
    <row r="573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7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</row>
    <row r="574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7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</row>
    <row r="575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7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</row>
    <row r="576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7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</row>
    <row r="577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7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</row>
    <row r="578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7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</row>
    <row r="579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7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</row>
    <row r="580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7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</row>
    <row r="58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7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</row>
    <row r="582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7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</row>
    <row r="583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7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</row>
    <row r="584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7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</row>
    <row r="585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7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</row>
    <row r="586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7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</row>
    <row r="587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7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</row>
    <row r="588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7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</row>
    <row r="589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7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</row>
    <row r="590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7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</row>
    <row r="59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7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</row>
    <row r="592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7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</row>
    <row r="593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7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</row>
    <row r="594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7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</row>
    <row r="595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7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</row>
    <row r="596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7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</row>
    <row r="597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7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</row>
    <row r="598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7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</row>
    <row r="599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7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</row>
    <row r="600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7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</row>
    <row r="60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7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</row>
    <row r="602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7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</row>
    <row r="603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7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</row>
    <row r="604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7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</row>
    <row r="605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7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</row>
    <row r="606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7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</row>
    <row r="607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7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</row>
    <row r="608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7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</row>
    <row r="609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7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</row>
    <row r="610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7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</row>
    <row r="61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7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</row>
    <row r="612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7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</row>
    <row r="613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7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</row>
    <row r="614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7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</row>
    <row r="615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7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</row>
    <row r="616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7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</row>
    <row r="617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7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</row>
    <row r="618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7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</row>
    <row r="619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7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</row>
    <row r="620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7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</row>
    <row r="62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7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</row>
    <row r="622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7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</row>
    <row r="623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7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</row>
    <row r="624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7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</row>
    <row r="625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7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</row>
    <row r="626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7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</row>
    <row r="627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7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</row>
    <row r="628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7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</row>
    <row r="629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7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</row>
    <row r="630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7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</row>
    <row r="63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7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</row>
    <row r="632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7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</row>
    <row r="633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7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</row>
    <row r="634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7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</row>
    <row r="635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7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</row>
    <row r="636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7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</row>
    <row r="637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7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</row>
    <row r="638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7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</row>
    <row r="639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7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</row>
    <row r="640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7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</row>
    <row r="64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7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</row>
    <row r="642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7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</row>
    <row r="643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7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</row>
    <row r="644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7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</row>
    <row r="645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7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</row>
    <row r="646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7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</row>
    <row r="647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7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</row>
    <row r="648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7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</row>
    <row r="649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7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</row>
    <row r="650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7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</row>
    <row r="65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7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</row>
    <row r="652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7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</row>
    <row r="653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7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</row>
    <row r="654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7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</row>
    <row r="655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7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</row>
    <row r="656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7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</row>
    <row r="657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7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</row>
    <row r="658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7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</row>
    <row r="659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7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</row>
    <row r="660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7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</row>
    <row r="66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7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</row>
    <row r="662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7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</row>
    <row r="663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7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</row>
    <row r="664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7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</row>
    <row r="665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7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</row>
    <row r="666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7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</row>
    <row r="667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7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  <c r="AE667" s="129"/>
      <c r="AF667" s="129"/>
      <c r="AG667" s="129"/>
    </row>
    <row r="668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7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</row>
    <row r="669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7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</row>
    <row r="670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7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</row>
    <row r="67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7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</row>
    <row r="672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7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</row>
    <row r="673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7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</row>
    <row r="674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7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</row>
    <row r="675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7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</row>
    <row r="676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7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</row>
    <row r="677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7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</row>
    <row r="678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7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</row>
    <row r="679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7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</row>
    <row r="680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7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</row>
    <row r="68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7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</row>
    <row r="682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7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</row>
    <row r="683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7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</row>
    <row r="684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7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</row>
    <row r="685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7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</row>
    <row r="686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7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</row>
    <row r="687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7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</row>
    <row r="688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7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</row>
    <row r="689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7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</row>
    <row r="690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7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</row>
    <row r="69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7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</row>
    <row r="692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7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</row>
    <row r="693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7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</row>
    <row r="694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7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</row>
    <row r="695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7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</row>
    <row r="696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7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</row>
    <row r="697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7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</row>
    <row r="698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7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</row>
    <row r="699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7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</row>
    <row r="700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7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</row>
    <row r="70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7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</row>
    <row r="702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7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</row>
    <row r="703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7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</row>
    <row r="704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7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</row>
    <row r="705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7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</row>
    <row r="706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7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</row>
    <row r="707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7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</row>
    <row r="708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7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</row>
    <row r="709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7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</row>
    <row r="710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7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</row>
    <row r="71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7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</row>
    <row r="712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7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</row>
    <row r="713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7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</row>
    <row r="714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7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</row>
    <row r="715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7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</row>
    <row r="716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7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</row>
    <row r="717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7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</row>
    <row r="718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7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</row>
    <row r="719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7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</row>
    <row r="720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7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</row>
    <row r="72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7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</row>
    <row r="722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7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</row>
    <row r="723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7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</row>
    <row r="724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7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</row>
    <row r="725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7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</row>
    <row r="726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7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</row>
    <row r="727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7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</row>
    <row r="728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7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</row>
    <row r="729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7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</row>
    <row r="730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7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</row>
    <row r="73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7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</row>
    <row r="732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7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</row>
    <row r="733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7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</row>
    <row r="734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7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</row>
    <row r="735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7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</row>
    <row r="736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7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</row>
    <row r="737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7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</row>
    <row r="738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7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</row>
    <row r="739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7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</row>
    <row r="740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7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</row>
    <row r="74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7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</row>
    <row r="742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7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</row>
    <row r="743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7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</row>
    <row r="744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7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</row>
    <row r="745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7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</row>
    <row r="746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7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</row>
    <row r="747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7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</row>
    <row r="748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7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</row>
    <row r="749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7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</row>
    <row r="750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7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</row>
    <row r="75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7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</row>
    <row r="752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7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</row>
    <row r="753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7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</row>
    <row r="754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7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</row>
    <row r="755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7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</row>
    <row r="756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7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</row>
    <row r="757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7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</row>
    <row r="758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7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</row>
    <row r="759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7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</row>
    <row r="760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7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</row>
    <row r="76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7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</row>
    <row r="762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7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</row>
    <row r="763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7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</row>
    <row r="764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7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</row>
    <row r="765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7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</row>
    <row r="766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7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</row>
    <row r="767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7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</row>
    <row r="768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7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</row>
    <row r="769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7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</row>
    <row r="770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7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</row>
    <row r="77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7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</row>
    <row r="772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7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</row>
    <row r="773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7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</row>
    <row r="774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7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</row>
    <row r="775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7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</row>
    <row r="776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7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</row>
    <row r="777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7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</row>
    <row r="778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7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</row>
    <row r="779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7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</row>
    <row r="780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7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</row>
    <row r="78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7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</row>
    <row r="782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7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</row>
    <row r="783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7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</row>
    <row r="784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7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  <c r="AE784" s="129"/>
      <c r="AF784" s="129"/>
      <c r="AG784" s="129"/>
    </row>
    <row r="785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7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</row>
    <row r="786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7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</row>
    <row r="787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7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</row>
    <row r="788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7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</row>
    <row r="789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7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  <c r="AE789" s="129"/>
      <c r="AF789" s="129"/>
      <c r="AG789" s="129"/>
    </row>
    <row r="790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7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</row>
    <row r="79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7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</row>
    <row r="792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7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</row>
    <row r="793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7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</row>
    <row r="794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7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</row>
    <row r="795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7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</row>
    <row r="796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7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</row>
    <row r="797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7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</row>
    <row r="798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7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</row>
    <row r="799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7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</row>
    <row r="800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7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</row>
    <row r="80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7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</row>
    <row r="802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7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</row>
    <row r="803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7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</row>
    <row r="804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7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</row>
    <row r="805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7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</row>
    <row r="806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7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</row>
    <row r="807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7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</row>
    <row r="808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7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</row>
    <row r="809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7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</row>
    <row r="810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7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</row>
    <row r="81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7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</row>
    <row r="812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7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</row>
    <row r="813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7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</row>
    <row r="814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7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</row>
    <row r="815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7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</row>
    <row r="816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7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</row>
    <row r="817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7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</row>
    <row r="818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7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</row>
    <row r="819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7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</row>
    <row r="820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7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</row>
    <row r="82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7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</row>
    <row r="822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7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</row>
    <row r="823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7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</row>
    <row r="824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7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</row>
    <row r="825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7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</row>
    <row r="826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7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</row>
    <row r="827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7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</row>
    <row r="828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7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</row>
    <row r="829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7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</row>
    <row r="830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7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</row>
    <row r="83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7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</row>
    <row r="832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7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</row>
    <row r="833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7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</row>
    <row r="834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7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</row>
    <row r="835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7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</row>
    <row r="836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7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</row>
    <row r="837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7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</row>
    <row r="838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7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</row>
    <row r="839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7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</row>
    <row r="840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7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</row>
    <row r="84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7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</row>
    <row r="842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7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</row>
    <row r="843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7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</row>
    <row r="844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7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</row>
    <row r="845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7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</row>
    <row r="846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7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</row>
    <row r="847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7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</row>
    <row r="848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7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</row>
    <row r="849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7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</row>
    <row r="850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7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</row>
    <row r="85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7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</row>
    <row r="852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7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</row>
    <row r="853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7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</row>
    <row r="854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7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</row>
    <row r="855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7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</row>
    <row r="856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7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  <c r="AE856" s="129"/>
      <c r="AF856" s="129"/>
      <c r="AG856" s="129"/>
    </row>
    <row r="857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7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  <c r="AE857" s="129"/>
      <c r="AF857" s="129"/>
      <c r="AG857" s="129"/>
    </row>
    <row r="858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7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  <c r="AE858" s="129"/>
      <c r="AF858" s="129"/>
      <c r="AG858" s="129"/>
    </row>
    <row r="859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7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  <c r="AE859" s="129"/>
      <c r="AF859" s="129"/>
      <c r="AG859" s="129"/>
    </row>
    <row r="860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7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  <c r="AE860" s="129"/>
      <c r="AF860" s="129"/>
      <c r="AG860" s="129"/>
    </row>
    <row r="86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7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  <c r="AE861" s="129"/>
      <c r="AF861" s="129"/>
      <c r="AG861" s="129"/>
    </row>
    <row r="862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7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  <c r="AE862" s="129"/>
      <c r="AF862" s="129"/>
      <c r="AG862" s="129"/>
    </row>
    <row r="863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7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  <c r="AE863" s="129"/>
      <c r="AF863" s="129"/>
      <c r="AG863" s="129"/>
    </row>
    <row r="864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7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  <c r="AE864" s="129"/>
      <c r="AF864" s="129"/>
      <c r="AG864" s="129"/>
    </row>
    <row r="865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7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  <c r="AE865" s="129"/>
      <c r="AF865" s="129"/>
      <c r="AG865" s="129"/>
    </row>
    <row r="866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7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  <c r="AE866" s="129"/>
      <c r="AF866" s="129"/>
      <c r="AG866" s="129"/>
    </row>
    <row r="867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7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  <c r="AE867" s="129"/>
      <c r="AF867" s="129"/>
      <c r="AG867" s="129"/>
    </row>
    <row r="868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7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  <c r="AE868" s="129"/>
      <c r="AF868" s="129"/>
      <c r="AG868" s="129"/>
    </row>
    <row r="869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7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/>
      <c r="AG869" s="129"/>
    </row>
    <row r="870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7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  <c r="AE870" s="129"/>
      <c r="AF870" s="129"/>
      <c r="AG870" s="129"/>
    </row>
    <row r="87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7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  <c r="AE871" s="129"/>
      <c r="AF871" s="129"/>
      <c r="AG871" s="129"/>
    </row>
    <row r="872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7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  <c r="AE872" s="129"/>
      <c r="AF872" s="129"/>
      <c r="AG872" s="129"/>
    </row>
    <row r="873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7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  <c r="AE873" s="129"/>
      <c r="AF873" s="129"/>
      <c r="AG873" s="129"/>
    </row>
    <row r="874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7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  <c r="AE874" s="129"/>
      <c r="AF874" s="129"/>
      <c r="AG874" s="129"/>
    </row>
    <row r="875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7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  <c r="AE875" s="129"/>
      <c r="AF875" s="129"/>
      <c r="AG875" s="129"/>
    </row>
    <row r="876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7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  <c r="AE876" s="129"/>
      <c r="AF876" s="129"/>
      <c r="AG876" s="129"/>
    </row>
    <row r="877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7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  <c r="AE877" s="129"/>
      <c r="AF877" s="129"/>
      <c r="AG877" s="129"/>
    </row>
    <row r="878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7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  <c r="AE878" s="129"/>
      <c r="AF878" s="129"/>
      <c r="AG878" s="129"/>
    </row>
    <row r="879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7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  <c r="AE879" s="129"/>
      <c r="AF879" s="129"/>
      <c r="AG879" s="129"/>
    </row>
    <row r="880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7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</row>
    <row r="88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7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</row>
    <row r="882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7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  <c r="AE882" s="129"/>
      <c r="AF882" s="129"/>
      <c r="AG882" s="129"/>
    </row>
    <row r="883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7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</row>
    <row r="884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7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</row>
    <row r="885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7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</row>
    <row r="886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7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</row>
    <row r="887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7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</row>
    <row r="888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7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</row>
    <row r="889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7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</row>
    <row r="890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7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</row>
    <row r="89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7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</row>
    <row r="892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7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</row>
    <row r="893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7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</row>
    <row r="894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7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  <c r="AE894" s="129"/>
      <c r="AF894" s="129"/>
      <c r="AG894" s="129"/>
    </row>
    <row r="895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7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  <c r="AE895" s="129"/>
      <c r="AF895" s="129"/>
      <c r="AG895" s="129"/>
    </row>
    <row r="896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7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  <c r="AE896" s="129"/>
      <c r="AF896" s="129"/>
      <c r="AG896" s="129"/>
    </row>
    <row r="897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7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  <c r="AE897" s="129"/>
      <c r="AF897" s="129"/>
      <c r="AG897" s="129"/>
    </row>
    <row r="898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7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  <c r="AE898" s="129"/>
      <c r="AF898" s="129"/>
      <c r="AG898" s="129"/>
    </row>
    <row r="899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7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  <c r="AE899" s="129"/>
      <c r="AF899" s="129"/>
      <c r="AG899" s="129"/>
    </row>
    <row r="900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7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  <c r="AE900" s="129"/>
      <c r="AF900" s="129"/>
      <c r="AG900" s="129"/>
    </row>
    <row r="90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7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  <c r="AE901" s="129"/>
      <c r="AF901" s="129"/>
      <c r="AG901" s="129"/>
    </row>
    <row r="902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7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  <c r="AE902" s="129"/>
      <c r="AF902" s="129"/>
      <c r="AG902" s="129"/>
    </row>
    <row r="903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7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  <c r="AE903" s="129"/>
      <c r="AF903" s="129"/>
      <c r="AG903" s="129"/>
    </row>
    <row r="904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7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  <c r="AE904" s="129"/>
      <c r="AF904" s="129"/>
      <c r="AG904" s="129"/>
    </row>
    <row r="905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7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  <c r="AE905" s="129"/>
      <c r="AF905" s="129"/>
      <c r="AG905" s="129"/>
    </row>
    <row r="906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7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  <c r="AE906" s="129"/>
      <c r="AF906" s="129"/>
      <c r="AG906" s="129"/>
    </row>
    <row r="907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7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  <c r="AE907" s="129"/>
      <c r="AF907" s="129"/>
      <c r="AG907" s="129"/>
    </row>
    <row r="908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7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  <c r="AE908" s="129"/>
      <c r="AF908" s="129"/>
      <c r="AG908" s="129"/>
    </row>
    <row r="909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7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  <c r="AE909" s="129"/>
      <c r="AF909" s="129"/>
      <c r="AG909" s="129"/>
    </row>
    <row r="910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7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  <c r="AE910" s="129"/>
      <c r="AF910" s="129"/>
      <c r="AG910" s="129"/>
    </row>
    <row r="91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7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  <c r="AE911" s="129"/>
      <c r="AF911" s="129"/>
      <c r="AG911" s="129"/>
    </row>
    <row r="912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7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  <c r="AE912" s="129"/>
      <c r="AF912" s="129"/>
      <c r="AG912" s="129"/>
    </row>
    <row r="913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7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  <c r="AE913" s="129"/>
      <c r="AF913" s="129"/>
      <c r="AG913" s="129"/>
    </row>
    <row r="914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7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  <c r="AE914" s="129"/>
      <c r="AF914" s="129"/>
      <c r="AG914" s="129"/>
    </row>
    <row r="915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7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  <c r="AE915" s="129"/>
      <c r="AF915" s="129"/>
      <c r="AG915" s="129"/>
    </row>
    <row r="916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7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  <c r="AE916" s="129"/>
      <c r="AF916" s="129"/>
      <c r="AG916" s="129"/>
    </row>
    <row r="917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7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  <c r="AE917" s="129"/>
      <c r="AF917" s="129"/>
      <c r="AG917" s="129"/>
    </row>
    <row r="918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7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</row>
    <row r="919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7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</row>
    <row r="920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7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  <c r="AE920" s="129"/>
      <c r="AF920" s="129"/>
      <c r="AG920" s="129"/>
    </row>
    <row r="92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7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</row>
    <row r="922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7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</row>
    <row r="923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7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</row>
    <row r="924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7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</row>
    <row r="925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7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</row>
    <row r="926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7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</row>
    <row r="927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7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</row>
    <row r="928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7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</row>
    <row r="929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7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</row>
    <row r="930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7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</row>
    <row r="93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7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</row>
    <row r="932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7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  <c r="AE932" s="129"/>
      <c r="AF932" s="129"/>
      <c r="AG932" s="129"/>
    </row>
    <row r="933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7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  <c r="AE933" s="129"/>
      <c r="AF933" s="129"/>
      <c r="AG933" s="129"/>
    </row>
    <row r="934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7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  <c r="AE934" s="129"/>
      <c r="AF934" s="129"/>
      <c r="AG934" s="129"/>
    </row>
    <row r="935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7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  <c r="AE935" s="129"/>
      <c r="AF935" s="129"/>
      <c r="AG935" s="129"/>
    </row>
    <row r="936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7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  <c r="AE936" s="129"/>
      <c r="AF936" s="129"/>
      <c r="AG936" s="129"/>
    </row>
    <row r="937">
      <c r="A937" s="129"/>
      <c r="B937" s="129"/>
      <c r="C937" s="174"/>
      <c r="D937" s="174"/>
      <c r="E937" s="174"/>
      <c r="F937" s="174"/>
      <c r="G937" s="174"/>
      <c r="H937" s="174"/>
      <c r="I937" s="174"/>
      <c r="J937" s="174"/>
      <c r="K937" s="174"/>
      <c r="L937" s="17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  <c r="AA937" s="174"/>
      <c r="AB937" s="174"/>
      <c r="AC937" s="174"/>
      <c r="AD937" s="174"/>
      <c r="AE937" s="174"/>
      <c r="AF937" s="174"/>
      <c r="AG937" s="174"/>
    </row>
  </sheetData>
  <mergeCells count="46">
    <mergeCell ref="D15:E15"/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8:E8"/>
    <mergeCell ref="C12:E12"/>
    <mergeCell ref="D13:E13"/>
    <mergeCell ref="D14:E14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drawing r:id="rId1"/>
</worksheet>
</file>